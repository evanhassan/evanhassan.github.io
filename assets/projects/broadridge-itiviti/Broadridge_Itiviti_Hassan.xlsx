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vanhassan/Downloads/Investment_Banking_Projects/proj6/"/>
    </mc:Choice>
  </mc:AlternateContent>
  <xr:revisionPtr revIDLastSave="0" documentId="13_ncr:1_{D09DC5BE-7BC6-3A43-90F7-71D022E6C2CF}" xr6:coauthVersionLast="47" xr6:coauthVersionMax="47" xr10:uidLastSave="{00000000-0000-0000-0000-000000000000}"/>
  <bookViews>
    <workbookView xWindow="0" yWindow="760" windowWidth="30240" windowHeight="18880" activeTab="3" xr2:uid="{E039FEAD-A582-9341-8665-353D2F62B898}"/>
  </bookViews>
  <sheets>
    <sheet name="Assumptions" sheetId="5" r:id="rId1"/>
    <sheet name="Broadridge Consolidated Financi" sheetId="6" r:id="rId2"/>
    <sheet name="Transaction Adjustments" sheetId="2" r:id="rId3"/>
    <sheet name="Accretion-Dilutio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5" i="1"/>
  <c r="F27" i="1"/>
  <c r="D38" i="6"/>
  <c r="E38" i="6"/>
  <c r="F38" i="6"/>
  <c r="G38" i="6"/>
  <c r="C38" i="6"/>
  <c r="E36" i="6"/>
  <c r="F36" i="6"/>
  <c r="G36" i="6"/>
  <c r="D36" i="6"/>
  <c r="I36" i="6" s="1"/>
  <c r="G35" i="6"/>
  <c r="F35" i="6"/>
  <c r="E35" i="6"/>
  <c r="D35" i="6"/>
  <c r="C35" i="6"/>
  <c r="G34" i="6"/>
  <c r="F34" i="6"/>
  <c r="E34" i="6"/>
  <c r="D34" i="6"/>
  <c r="C34" i="6"/>
  <c r="G21" i="6"/>
  <c r="G22" i="6" s="1"/>
  <c r="F21" i="6"/>
  <c r="F22" i="6" s="1"/>
  <c r="E21" i="6"/>
  <c r="E22" i="6" s="1"/>
  <c r="D21" i="6"/>
  <c r="D22" i="6" s="1"/>
  <c r="C21" i="6"/>
  <c r="C22" i="6" s="1"/>
  <c r="G20" i="6"/>
  <c r="F20" i="6"/>
  <c r="E20" i="6"/>
  <c r="D20" i="6"/>
  <c r="C20" i="6"/>
  <c r="G8" i="6"/>
  <c r="F8" i="6"/>
  <c r="E8" i="6"/>
  <c r="D8" i="6"/>
  <c r="H7" i="6"/>
  <c r="H12" i="6" s="1"/>
  <c r="I38" i="6" l="1"/>
  <c r="H38" i="6"/>
  <c r="H27" i="6"/>
  <c r="H36" i="6"/>
  <c r="H24" i="6" s="1"/>
  <c r="I24" i="6" s="1"/>
  <c r="H8" i="6"/>
  <c r="H10" i="6"/>
  <c r="H18" i="6" s="1"/>
  <c r="H19" i="6" s="1"/>
  <c r="H25" i="6" s="1"/>
  <c r="I7" i="6"/>
  <c r="I27" i="6" l="1"/>
  <c r="H11" i="6"/>
  <c r="I12" i="6"/>
  <c r="I10" i="6"/>
  <c r="I8" i="6"/>
  <c r="H20" i="6"/>
  <c r="H21" i="6"/>
  <c r="H22" i="6" s="1"/>
  <c r="I18" i="6" l="1"/>
  <c r="I19" i="6" s="1"/>
  <c r="I11" i="6"/>
  <c r="I20" i="6" l="1"/>
  <c r="I25" i="6"/>
  <c r="I21" i="6"/>
  <c r="I22" i="6" s="1"/>
  <c r="F34" i="1"/>
  <c r="C34" i="1"/>
  <c r="E30" i="2"/>
  <c r="E31" i="2"/>
  <c r="C35" i="2"/>
  <c r="C36" i="2" s="1"/>
  <c r="G7" i="2"/>
  <c r="C17" i="5"/>
  <c r="C22" i="5" s="1"/>
  <c r="G3" i="2" s="1"/>
  <c r="G4" i="2" s="1"/>
  <c r="G9" i="2" s="1"/>
  <c r="G10" i="2" s="1"/>
  <c r="G13" i="2" s="1"/>
  <c r="G16" i="2" s="1"/>
  <c r="D4" i="2"/>
  <c r="C7" i="2" s="1"/>
  <c r="C8" i="2" s="1"/>
  <c r="F11" i="1"/>
  <c r="C11" i="1"/>
  <c r="F14" i="1"/>
  <c r="F13" i="1"/>
  <c r="F12" i="1"/>
  <c r="C13" i="1"/>
  <c r="C14" i="1"/>
  <c r="C12" i="1"/>
  <c r="C19" i="5"/>
  <c r="C18" i="5"/>
  <c r="C5" i="1" l="1"/>
  <c r="F20" i="1"/>
  <c r="C20" i="1"/>
  <c r="F21" i="1"/>
  <c r="F28" i="1" s="1"/>
  <c r="F18" i="1"/>
  <c r="C18" i="1"/>
  <c r="C21" i="5"/>
  <c r="C23" i="5" s="1"/>
  <c r="C21" i="1" l="1"/>
  <c r="C9" i="1"/>
  <c r="C16" i="1" s="1"/>
  <c r="F9" i="1"/>
  <c r="F16" i="1" s="1"/>
  <c r="F24" i="1" s="1"/>
  <c r="F30" i="1" s="1"/>
  <c r="F36" i="1" l="1"/>
  <c r="F37" i="1" s="1"/>
  <c r="F38" i="1" s="1"/>
  <c r="C24" i="1"/>
  <c r="C36" i="1" s="1"/>
  <c r="C7" i="1"/>
  <c r="C37" i="1" l="1"/>
  <c r="C38" i="1" s="1"/>
</calcChain>
</file>

<file path=xl/sharedStrings.xml><?xml version="1.0" encoding="utf-8"?>
<sst xmlns="http://schemas.openxmlformats.org/spreadsheetml/2006/main" count="160" uniqueCount="119">
  <si>
    <t>Purchase Price</t>
  </si>
  <si>
    <t>% financed with debt</t>
  </si>
  <si>
    <t>% financed with cash</t>
  </si>
  <si>
    <t>% financed with equity</t>
  </si>
  <si>
    <t>Combined Net Income before Adjustment</t>
  </si>
  <si>
    <t>Adjustments to Net Income</t>
  </si>
  <si>
    <t>Combined EPS</t>
  </si>
  <si>
    <t>Decision</t>
  </si>
  <si>
    <t>Accretion - Dilution (GAAP)</t>
  </si>
  <si>
    <t>Accretion - Dilution (Adjusted)</t>
  </si>
  <si>
    <t>GAAP Net Income</t>
  </si>
  <si>
    <t xml:space="preserve">Adjusted EPS Bridge </t>
  </si>
  <si>
    <t>Add Back: after-tax acquisition-related amoritization</t>
  </si>
  <si>
    <t xml:space="preserve">   Less: After-Tax Annual Interest Expense from Debt</t>
  </si>
  <si>
    <t xml:space="preserve">   Less: After-Tax Annual Interest Income (Lost) from Cash</t>
  </si>
  <si>
    <t>Less: Acquisiton-related amoritization</t>
  </si>
  <si>
    <t>Less: Integration costs</t>
  </si>
  <si>
    <t>Add Back: Integration costs</t>
  </si>
  <si>
    <t>Interest Expense Calculation</t>
  </si>
  <si>
    <t>Benchmark Rate</t>
  </si>
  <si>
    <t>Assumptions</t>
  </si>
  <si>
    <t>Tax Rate</t>
  </si>
  <si>
    <t>notes</t>
  </si>
  <si>
    <t>3-month average LIBOR from June 2021-2022</t>
  </si>
  <si>
    <t>Broadridge 2022 Diluted Shares</t>
  </si>
  <si>
    <t>Debt Balance(mm)</t>
  </si>
  <si>
    <t xml:space="preserve">Debt </t>
  </si>
  <si>
    <t>Senior Notes</t>
  </si>
  <si>
    <t>Term Loan</t>
  </si>
  <si>
    <t>3-year credit spread</t>
  </si>
  <si>
    <t>via sec filing</t>
  </si>
  <si>
    <t>Itiviti Earnings Growth</t>
  </si>
  <si>
    <t>Itiviti 2020A Net Income</t>
  </si>
  <si>
    <t>2021 8-k Broadridge</t>
  </si>
  <si>
    <t>limited financials - read analysis</t>
  </si>
  <si>
    <t>privco</t>
  </si>
  <si>
    <t>Itivity 2020A Financial Expense</t>
  </si>
  <si>
    <t>Broadridge 2022E Net Income</t>
  </si>
  <si>
    <t>Itiviti 2022E Net Income</t>
  </si>
  <si>
    <t>Broadridge 2022E EPS</t>
  </si>
  <si>
    <t>Adjusted Combined EPS</t>
  </si>
  <si>
    <t xml:space="preserve">   Add: 2022E After-Tax Synergies</t>
  </si>
  <si>
    <t>Acquisition-Related Amoritization</t>
  </si>
  <si>
    <t>Value</t>
  </si>
  <si>
    <t>Life</t>
  </si>
  <si>
    <t>Software technology</t>
  </si>
  <si>
    <t>Customer relationships and trade names</t>
  </si>
  <si>
    <t>New Acquired Intangible</t>
  </si>
  <si>
    <t>Amoritization Adjustment</t>
  </si>
  <si>
    <t>Old Amoritization</t>
  </si>
  <si>
    <t>Pre-tax incremental acquisiton amoritization</t>
  </si>
  <si>
    <t>After-tax incremental acquisiton amoritization</t>
  </si>
  <si>
    <t>LIBOR</t>
  </si>
  <si>
    <t>for benchmark debt</t>
  </si>
  <si>
    <t>Rate</t>
  </si>
  <si>
    <t>Total After-tax annual interest expense</t>
  </si>
  <si>
    <t>Total Pre-tax annual interest expense</t>
  </si>
  <si>
    <t>Integration Costs</t>
  </si>
  <si>
    <t>Itiviti Customers</t>
  </si>
  <si>
    <t>Average Revenue per Customer ($000)</t>
  </si>
  <si>
    <t>Cross-Sell Penetration</t>
  </si>
  <si>
    <t>Converted Customers</t>
  </si>
  <si>
    <t>Revenue per Converted Customer ($000)</t>
  </si>
  <si>
    <t>Revenue Synergies ($mm)</t>
  </si>
  <si>
    <t>Incremental Operating Margin</t>
  </si>
  <si>
    <t>Pre-Tax Earnings Synergies ($mm)</t>
  </si>
  <si>
    <t>After-Tax Synergies ($mm)</t>
  </si>
  <si>
    <t>Cross-Selling Synergy Build(FY 2022)</t>
  </si>
  <si>
    <t>Itiviti 2020A Net Revenue</t>
  </si>
  <si>
    <t>Itiviti 2022E Revenue ($mm)</t>
  </si>
  <si>
    <t>Adjusted Income</t>
  </si>
  <si>
    <t>Broadridge FDSO</t>
  </si>
  <si>
    <t>Adjustment to Broadridge FDSO</t>
  </si>
  <si>
    <t>Accretin/Dilution %</t>
  </si>
  <si>
    <t>Adjusted Accretion/Dilution %</t>
  </si>
  <si>
    <t>Amoritization($mm)</t>
  </si>
  <si>
    <t>($mm except %s)</t>
  </si>
  <si>
    <t>Itiviti 2020 Debt Free Net Income</t>
  </si>
  <si>
    <t>Iitiviti Projected 2022 Revenue</t>
  </si>
  <si>
    <t>Itibiti FY2022E Debt-Free Net Income</t>
  </si>
  <si>
    <t>Pro Forma FDSO</t>
  </si>
  <si>
    <t>(mm besides EPS and %)</t>
  </si>
  <si>
    <t>Broadridge Financial Solutions Inc.</t>
  </si>
  <si>
    <t>Income Statement - Annual</t>
  </si>
  <si>
    <t>Actuals</t>
  </si>
  <si>
    <t>Forecast</t>
  </si>
  <si>
    <t>FYE June</t>
  </si>
  <si>
    <t>Currency</t>
  </si>
  <si>
    <t>USD</t>
  </si>
  <si>
    <t>Scale</t>
  </si>
  <si>
    <t>Million</t>
  </si>
  <si>
    <t>Total Revenue</t>
  </si>
  <si>
    <t>Year-over-year growth</t>
  </si>
  <si>
    <t>Cost of Revenue, Total</t>
  </si>
  <si>
    <t>Gross Profit</t>
  </si>
  <si>
    <t>Selling/General/Admin. Expenses, Total</t>
  </si>
  <si>
    <t>Research &amp; Development</t>
  </si>
  <si>
    <t>Depreciation/Amortization</t>
  </si>
  <si>
    <t>Interest Exp.(Inc.), Net-Operating, Total</t>
  </si>
  <si>
    <t>Unusual Expense (Income)</t>
  </si>
  <si>
    <t>Other Operating Expenses, Total</t>
  </si>
  <si>
    <t>Total Operating Expense</t>
  </si>
  <si>
    <t>Operating Income</t>
  </si>
  <si>
    <t>Operating Margin</t>
  </si>
  <si>
    <t>EBITDA</t>
  </si>
  <si>
    <t>EBITDA Margin</t>
  </si>
  <si>
    <t>Key Model Drivers</t>
  </si>
  <si>
    <t>Revenue Drivers</t>
  </si>
  <si>
    <t>Cost Drivers</t>
  </si>
  <si>
    <t>Cost of revenue (% Revenue)</t>
  </si>
  <si>
    <t>SG&amp;A (% of Revenue)</t>
  </si>
  <si>
    <t>Interest Expense, Net</t>
  </si>
  <si>
    <t>Net Income</t>
  </si>
  <si>
    <t>Change in Interest Expense(%)</t>
  </si>
  <si>
    <t>Effecive Tax Rate</t>
  </si>
  <si>
    <t>Add Back: broad ridge stand alone non-gaap adjustments</t>
  </si>
  <si>
    <t>Adjusted - GAAP net adjustments</t>
  </si>
  <si>
    <t>GAAP add backs(% Revenue)</t>
  </si>
  <si>
    <t>Broadridge 2022E Adjusted Diluted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</si>
</sst>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;[Red]\(\$#,##0.0\);\-"/>
    <numFmt numFmtId="165" formatCode="0.0\x;[Red]\(0.0\x\);\-"/>
    <numFmt numFmtId="166" formatCode="#,##0;[Red]\(#,##0\);\-"/>
    <numFmt numFmtId="167" formatCode="0\ &quot;years&quot;"/>
    <numFmt numFmtId="168" formatCode="0.0"/>
    <numFmt numFmtId="169" formatCode="0.0%"/>
    <numFmt numFmtId="170" formatCode="#,##0.0;[Red]\(#,##0.0\);\-"/>
    <numFmt numFmtId="172" formatCode="#,##0.0"/>
  </numFmts>
  <fonts count="39" x14ac:knownFonts="1">
    <font>
      <sz val="11"/>
      <name val="arial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8000"/>
      <name val="Arial"/>
      <family val="2"/>
    </font>
    <font>
      <i/>
      <sz val="12"/>
      <color rgb="FF7F7F7F"/>
      <name val="Aptos Narrow"/>
      <family val="2"/>
      <scheme val="minor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6100"/>
      <name val="Aptos Narrow"/>
      <family val="2"/>
      <scheme val="minor"/>
    </font>
    <font>
      <sz val="10"/>
      <color rgb="FF0000FF"/>
      <name val="Arial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0"/>
      <color rgb="FF1F2D3D"/>
      <name val="Arial"/>
      <family val="2"/>
    </font>
    <font>
      <sz val="10"/>
      <color rgb="FF202124"/>
      <name val="Arial"/>
      <family val="2"/>
    </font>
    <font>
      <i/>
      <sz val="10"/>
      <color rgb="FF50647A"/>
      <name val="Arial"/>
      <family val="2"/>
    </font>
    <font>
      <sz val="12"/>
      <color rgb="FF3F3F76"/>
      <name val="Aptos Narrow"/>
      <family val="2"/>
      <scheme val="minor"/>
    </font>
    <font>
      <b/>
      <sz val="11"/>
      <color rgb="FF1F2D3D"/>
      <name val="Arial"/>
      <family val="2"/>
    </font>
    <font>
      <sz val="12"/>
      <color rgb="FFFA7D00"/>
      <name val="Aptos Narrow"/>
      <family val="2"/>
      <scheme val="minor"/>
    </font>
    <font>
      <b/>
      <sz val="16"/>
      <color rgb="FF1F2D3D"/>
      <name val="Arial"/>
      <family val="2"/>
    </font>
    <font>
      <sz val="12"/>
      <color rgb="FF9C5700"/>
      <name val="Aptos Narrow"/>
      <family val="2"/>
      <scheme val="minor"/>
    </font>
    <font>
      <sz val="10"/>
      <name val="Arial"/>
      <family val="2"/>
    </font>
    <font>
      <b/>
      <sz val="12"/>
      <color rgb="FF3F3F3F"/>
      <name val="Aptos Narrow"/>
      <family val="2"/>
      <scheme val="minor"/>
    </font>
    <font>
      <b/>
      <sz val="10"/>
      <color rgb="FF202124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rgb="FFFF0000"/>
      <name val="Arial"/>
      <family val="2"/>
    </font>
    <font>
      <sz val="12"/>
      <color rgb="FFFF0000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4"/>
      <color rgb="FF1F2D3D"/>
      <name val="Arial"/>
      <family val="2"/>
    </font>
    <font>
      <b/>
      <sz val="10"/>
      <color theme="1"/>
      <name val="Arial"/>
      <family val="2"/>
    </font>
    <font>
      <b/>
      <i/>
      <sz val="10"/>
      <color rgb="FF1F2D3D"/>
      <name val="Arial"/>
      <family val="2"/>
    </font>
    <font>
      <i/>
      <sz val="10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EFD8"/>
      </patternFill>
    </fill>
    <fill>
      <patternFill patternType="solid">
        <fgColor rgb="FFEAF2F8"/>
      </patternFill>
    </fill>
    <fill>
      <patternFill patternType="solid">
        <fgColor rgb="FFDDE5EB"/>
      </patternFill>
    </fill>
    <fill>
      <patternFill patternType="solid">
        <fgColor rgb="FF1F2D3D"/>
      </patternFill>
    </fill>
    <fill>
      <patternFill patternType="solid">
        <fgColor theme="2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202124"/>
      </bottom>
      <diagonal/>
    </border>
    <border>
      <left/>
      <right/>
      <top style="thin">
        <color rgb="FF202124"/>
      </top>
      <bottom style="double">
        <color indexed="64"/>
      </bottom>
      <diagonal/>
    </border>
    <border>
      <left style="thin">
        <color rgb="FFEAF2F8"/>
      </left>
      <right/>
      <top style="thin">
        <color rgb="FFEAF2F8"/>
      </top>
      <bottom style="thin">
        <color rgb="FFEAF2F8"/>
      </bottom>
      <diagonal/>
    </border>
    <border>
      <left/>
      <right/>
      <top style="thin">
        <color rgb="FF1F2D3D"/>
      </top>
      <bottom style="thin">
        <color rgb="FF1F2D3D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A7A7A3"/>
      </bottom>
      <diagonal/>
    </border>
    <border>
      <left/>
      <right/>
      <top style="thin">
        <color rgb="FF20212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EAF2F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3" fillId="3" borderId="0" applyNumberFormat="0" applyBorder="0" applyAlignment="0" applyProtection="0"/>
    <xf numFmtId="0" fontId="23" fillId="4" borderId="0" applyNumberFormat="0" applyBorder="0" applyAlignment="0" applyProtection="0"/>
    <xf numFmtId="0" fontId="19" fillId="5" borderId="4" applyNumberFormat="0" applyAlignment="0" applyProtection="0"/>
    <xf numFmtId="0" fontId="25" fillId="6" borderId="5" applyNumberFormat="0" applyAlignment="0" applyProtection="0"/>
    <xf numFmtId="0" fontId="4" fillId="6" borderId="4" applyNumberFormat="0" applyAlignment="0" applyProtection="0"/>
    <xf numFmtId="0" fontId="21" fillId="0" borderId="6" applyNumberFormat="0" applyFill="0" applyAlignment="0" applyProtection="0"/>
    <xf numFmtId="0" fontId="5" fillId="7" borderId="7" applyNumberFormat="0" applyAlignment="0" applyProtection="0"/>
    <xf numFmtId="0" fontId="3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6" fillId="0" borderId="0">
      <alignment vertical="center"/>
    </xf>
    <xf numFmtId="164" fontId="8" fillId="0" borderId="0">
      <alignment vertical="center"/>
    </xf>
    <xf numFmtId="0" fontId="9" fillId="0" borderId="9">
      <alignment horizontal="left" vertical="center"/>
    </xf>
    <xf numFmtId="0" fontId="9" fillId="0" borderId="10" applyAlignment="0">
      <alignment horizontal="left" vertical="center"/>
    </xf>
    <xf numFmtId="164" fontId="10" fillId="0" borderId="0">
      <alignment vertical="center"/>
    </xf>
    <xf numFmtId="164" fontId="12" fillId="32" borderId="0">
      <alignment vertical="center"/>
    </xf>
    <xf numFmtId="0" fontId="16" fillId="33" borderId="11"/>
    <xf numFmtId="0" fontId="17" fillId="0" borderId="0">
      <alignment horizontal="left"/>
    </xf>
    <xf numFmtId="0" fontId="18" fillId="0" borderId="0">
      <alignment horizontal="left"/>
    </xf>
    <xf numFmtId="165" fontId="20" fillId="33" borderId="12">
      <alignment vertical="center"/>
    </xf>
    <xf numFmtId="0" fontId="22" fillId="0" borderId="13">
      <alignment vertical="center"/>
    </xf>
    <xf numFmtId="0" fontId="24" fillId="0" borderId="0"/>
    <xf numFmtId="0" fontId="26" fillId="34" borderId="14">
      <alignment vertical="center"/>
    </xf>
    <xf numFmtId="0" fontId="27" fillId="35" borderId="0">
      <alignment vertical="center"/>
    </xf>
    <xf numFmtId="0" fontId="9" fillId="0" borderId="15">
      <alignment horizontal="left" vertical="center"/>
    </xf>
    <xf numFmtId="166" fontId="29" fillId="0" borderId="16">
      <alignment vertical="center"/>
    </xf>
    <xf numFmtId="0" fontId="17" fillId="0" borderId="0" applyNumberFormat="0">
      <alignment horizontal="left"/>
    </xf>
    <xf numFmtId="0" fontId="31" fillId="0" borderId="0"/>
  </cellStyleXfs>
  <cellXfs count="108">
    <xf numFmtId="0" fontId="0" fillId="0" borderId="0" xfId="0"/>
    <xf numFmtId="0" fontId="27" fillId="35" borderId="0" xfId="53">
      <alignment vertical="center"/>
    </xf>
    <xf numFmtId="0" fontId="27" fillId="0" borderId="0" xfId="53" applyFill="1">
      <alignment vertical="center"/>
    </xf>
    <xf numFmtId="0" fontId="24" fillId="0" borderId="0" xfId="0" applyFont="1"/>
    <xf numFmtId="0" fontId="0" fillId="0" borderId="0" xfId="0" applyAlignment="1">
      <alignment horizontal="left" indent="1"/>
    </xf>
    <xf numFmtId="0" fontId="24" fillId="0" borderId="0" xfId="0" applyFont="1" applyAlignment="1">
      <alignment horizontal="left" indent="1"/>
    </xf>
    <xf numFmtId="0" fontId="26" fillId="34" borderId="14" xfId="52">
      <alignment vertical="center"/>
    </xf>
    <xf numFmtId="0" fontId="24" fillId="0" borderId="0" xfId="0" applyFont="1" applyAlignment="1">
      <alignment horizontal="left"/>
    </xf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9" fontId="24" fillId="0" borderId="0" xfId="0" applyNumberFormat="1" applyFont="1"/>
    <xf numFmtId="10" fontId="24" fillId="0" borderId="0" xfId="0" applyNumberFormat="1" applyFont="1"/>
    <xf numFmtId="4" fontId="24" fillId="0" borderId="0" xfId="0" applyNumberFormat="1" applyFont="1"/>
    <xf numFmtId="168" fontId="24" fillId="0" borderId="0" xfId="0" applyNumberFormat="1" applyFont="1"/>
    <xf numFmtId="2" fontId="24" fillId="0" borderId="0" xfId="0" applyNumberFormat="1" applyFont="1"/>
    <xf numFmtId="0" fontId="33" fillId="0" borderId="0" xfId="0" applyFont="1"/>
    <xf numFmtId="2" fontId="33" fillId="0" borderId="0" xfId="0" applyNumberFormat="1" applyFont="1"/>
    <xf numFmtId="0" fontId="33" fillId="0" borderId="17" xfId="0" applyFont="1" applyBorder="1"/>
    <xf numFmtId="2" fontId="33" fillId="0" borderId="17" xfId="0" applyNumberFormat="1" applyFont="1" applyBorder="1"/>
    <xf numFmtId="0" fontId="24" fillId="0" borderId="17" xfId="0" applyFont="1" applyBorder="1"/>
    <xf numFmtId="167" fontId="24" fillId="0" borderId="0" xfId="0" applyNumberFormat="1" applyFont="1"/>
    <xf numFmtId="0" fontId="17" fillId="0" borderId="0" xfId="47">
      <alignment horizontal="left"/>
    </xf>
    <xf numFmtId="0" fontId="34" fillId="35" borderId="0" xfId="53" applyFont="1">
      <alignment vertical="center"/>
    </xf>
    <xf numFmtId="40" fontId="0" fillId="0" borderId="0" xfId="0" applyNumberFormat="1"/>
    <xf numFmtId="3" fontId="24" fillId="0" borderId="0" xfId="0" applyNumberFormat="1" applyFont="1"/>
    <xf numFmtId="40" fontId="24" fillId="0" borderId="0" xfId="0" applyNumberFormat="1" applyFont="1"/>
    <xf numFmtId="0" fontId="9" fillId="0" borderId="15" xfId="54">
      <alignment horizontal="left" vertical="center"/>
    </xf>
    <xf numFmtId="2" fontId="9" fillId="0" borderId="15" xfId="54" applyNumberFormat="1" applyAlignment="1">
      <alignment horizontal="right" vertical="center"/>
    </xf>
    <xf numFmtId="40" fontId="33" fillId="0" borderId="17" xfId="0" applyNumberFormat="1" applyFont="1" applyBorder="1"/>
    <xf numFmtId="0" fontId="32" fillId="0" borderId="0" xfId="0" applyFont="1" applyAlignment="1">
      <alignment horizontal="right"/>
    </xf>
    <xf numFmtId="0" fontId="26" fillId="34" borderId="14" xfId="52" applyAlignment="1">
      <alignment horizontal="right" vertical="center"/>
    </xf>
    <xf numFmtId="10" fontId="12" fillId="32" borderId="0" xfId="45" applyNumberFormat="1">
      <alignment vertical="center"/>
    </xf>
    <xf numFmtId="0" fontId="35" fillId="0" borderId="13" xfId="50" applyFont="1">
      <alignment vertical="center"/>
    </xf>
    <xf numFmtId="0" fontId="16" fillId="0" borderId="13" xfId="50" applyFont="1">
      <alignment vertical="center"/>
    </xf>
    <xf numFmtId="0" fontId="27" fillId="36" borderId="0" xfId="53" applyFill="1">
      <alignment vertical="center"/>
    </xf>
    <xf numFmtId="0" fontId="36" fillId="36" borderId="0" xfId="53" applyFont="1" applyFill="1" applyAlignment="1">
      <alignment horizontal="center" vertical="center"/>
    </xf>
    <xf numFmtId="0" fontId="27" fillId="36" borderId="0" xfId="53" applyFill="1" applyAlignment="1">
      <alignment horizontal="center" vertical="center"/>
    </xf>
    <xf numFmtId="0" fontId="36" fillId="16" borderId="18" xfId="53" applyFont="1" applyFill="1" applyBorder="1" applyAlignment="1">
      <alignment horizontal="center" vertical="center"/>
    </xf>
    <xf numFmtId="0" fontId="26" fillId="34" borderId="19" xfId="52" applyBorder="1">
      <alignment vertical="center"/>
    </xf>
    <xf numFmtId="14" fontId="26" fillId="34" borderId="19" xfId="52" applyNumberFormat="1" applyBorder="1">
      <alignment vertical="center"/>
    </xf>
    <xf numFmtId="14" fontId="26" fillId="34" borderId="20" xfId="52" applyNumberFormat="1" applyBorder="1">
      <alignment vertical="center"/>
    </xf>
    <xf numFmtId="0" fontId="24" fillId="0" borderId="18" xfId="0" applyFont="1" applyBorder="1"/>
    <xf numFmtId="0" fontId="24" fillId="0" borderId="19" xfId="0" applyFont="1" applyBorder="1"/>
    <xf numFmtId="0" fontId="24" fillId="0" borderId="20" xfId="0" applyFont="1" applyBorder="1"/>
    <xf numFmtId="168" fontId="24" fillId="0" borderId="18" xfId="0" applyNumberFormat="1" applyFont="1" applyBorder="1"/>
    <xf numFmtId="0" fontId="37" fillId="33" borderId="21" xfId="46" applyFont="1" applyBorder="1"/>
    <xf numFmtId="10" fontId="16" fillId="33" borderId="22" xfId="46" applyNumberFormat="1" applyBorder="1"/>
    <xf numFmtId="169" fontId="37" fillId="33" borderId="22" xfId="46" applyNumberFormat="1" applyFont="1" applyBorder="1"/>
    <xf numFmtId="169" fontId="37" fillId="33" borderId="21" xfId="46" applyNumberFormat="1" applyFont="1" applyBorder="1"/>
    <xf numFmtId="1" fontId="24" fillId="0" borderId="18" xfId="0" applyNumberFormat="1" applyFont="1" applyBorder="1"/>
    <xf numFmtId="0" fontId="9" fillId="0" borderId="17" xfId="54" applyBorder="1">
      <alignment horizontal="left" vertical="center"/>
    </xf>
    <xf numFmtId="168" fontId="9" fillId="0" borderId="17" xfId="54" applyNumberFormat="1" applyBorder="1" applyAlignment="1">
      <alignment horizontal="right" vertical="center"/>
    </xf>
    <xf numFmtId="168" fontId="9" fillId="0" borderId="23" xfId="54" applyNumberFormat="1" applyBorder="1" applyAlignment="1">
      <alignment horizontal="right" vertical="center"/>
    </xf>
    <xf numFmtId="0" fontId="9" fillId="0" borderId="0" xfId="54" applyBorder="1">
      <alignment horizontal="left" vertical="center"/>
    </xf>
    <xf numFmtId="0" fontId="9" fillId="0" borderId="0" xfId="54" applyBorder="1" applyAlignment="1">
      <alignment horizontal="right" vertical="center"/>
    </xf>
    <xf numFmtId="2" fontId="9" fillId="0" borderId="0" xfId="54" applyNumberFormat="1" applyBorder="1" applyAlignment="1">
      <alignment horizontal="right" vertical="center"/>
    </xf>
    <xf numFmtId="0" fontId="38" fillId="0" borderId="0" xfId="54" applyFont="1" applyBorder="1">
      <alignment horizontal="left" vertical="center"/>
    </xf>
    <xf numFmtId="169" fontId="38" fillId="0" borderId="0" xfId="54" applyNumberFormat="1" applyFont="1" applyBorder="1" applyAlignment="1">
      <alignment horizontal="right" vertical="center"/>
    </xf>
    <xf numFmtId="169" fontId="38" fillId="0" borderId="18" xfId="54" applyNumberFormat="1" applyFont="1" applyBorder="1" applyAlignment="1">
      <alignment horizontal="right" vertical="center"/>
    </xf>
    <xf numFmtId="168" fontId="9" fillId="0" borderId="0" xfId="54" applyNumberFormat="1" applyBorder="1" applyAlignment="1">
      <alignment horizontal="right" vertical="center"/>
    </xf>
    <xf numFmtId="168" fontId="9" fillId="0" borderId="18" xfId="54" applyNumberFormat="1" applyBorder="1" applyAlignment="1">
      <alignment horizontal="right" vertical="center"/>
    </xf>
    <xf numFmtId="0" fontId="26" fillId="34" borderId="0" xfId="52" applyBorder="1">
      <alignment vertical="center"/>
    </xf>
    <xf numFmtId="169" fontId="24" fillId="0" borderId="0" xfId="0" applyNumberFormat="1" applyFont="1"/>
    <xf numFmtId="169" fontId="12" fillId="32" borderId="23" xfId="45" applyNumberFormat="1" applyBorder="1">
      <alignment vertical="center"/>
    </xf>
    <xf numFmtId="0" fontId="24" fillId="0" borderId="0" xfId="51"/>
    <xf numFmtId="169" fontId="12" fillId="32" borderId="18" xfId="45" applyNumberFormat="1" applyBorder="1">
      <alignment vertical="center"/>
    </xf>
    <xf numFmtId="169" fontId="12" fillId="32" borderId="20" xfId="45" applyNumberFormat="1" applyBorder="1">
      <alignment vertical="center"/>
    </xf>
    <xf numFmtId="0" fontId="10" fillId="0" borderId="0" xfId="54" applyFont="1" applyBorder="1">
      <alignment horizontal="left" vertical="center"/>
    </xf>
    <xf numFmtId="169" fontId="10" fillId="0" borderId="0" xfId="54" applyNumberFormat="1" applyFont="1" applyBorder="1" applyAlignment="1">
      <alignment horizontal="right" vertical="center"/>
    </xf>
    <xf numFmtId="0" fontId="36" fillId="16" borderId="24" xfId="53" applyFont="1" applyFill="1" applyBorder="1" applyAlignment="1">
      <alignment horizontal="center" vertical="center"/>
    </xf>
    <xf numFmtId="14" fontId="26" fillId="34" borderId="25" xfId="52" applyNumberFormat="1" applyBorder="1">
      <alignment vertical="center"/>
    </xf>
    <xf numFmtId="0" fontId="24" fillId="0" borderId="24" xfId="0" applyFont="1" applyBorder="1"/>
    <xf numFmtId="0" fontId="24" fillId="0" borderId="25" xfId="0" applyFont="1" applyBorder="1"/>
    <xf numFmtId="168" fontId="24" fillId="0" borderId="24" xfId="0" applyNumberFormat="1" applyFont="1" applyBorder="1"/>
    <xf numFmtId="169" fontId="37" fillId="33" borderId="26" xfId="46" applyNumberFormat="1" applyFont="1" applyBorder="1"/>
    <xf numFmtId="1" fontId="24" fillId="0" borderId="24" xfId="0" applyNumberFormat="1" applyFont="1" applyBorder="1"/>
    <xf numFmtId="168" fontId="9" fillId="0" borderId="27" xfId="54" applyNumberFormat="1" applyBorder="1" applyAlignment="1">
      <alignment horizontal="right" vertical="center"/>
    </xf>
    <xf numFmtId="169" fontId="38" fillId="0" borderId="24" xfId="54" applyNumberFormat="1" applyFont="1" applyBorder="1" applyAlignment="1">
      <alignment horizontal="right" vertical="center"/>
    </xf>
    <xf numFmtId="168" fontId="9" fillId="0" borderId="24" xfId="54" applyNumberFormat="1" applyBorder="1" applyAlignment="1">
      <alignment horizontal="right" vertical="center"/>
    </xf>
    <xf numFmtId="169" fontId="12" fillId="32" borderId="21" xfId="45" applyNumberFormat="1" applyBorder="1">
      <alignment vertical="center"/>
    </xf>
    <xf numFmtId="169" fontId="12" fillId="32" borderId="28" xfId="45" applyNumberFormat="1" applyBorder="1">
      <alignment vertical="center"/>
    </xf>
    <xf numFmtId="169" fontId="12" fillId="32" borderId="27" xfId="45" applyNumberFormat="1" applyBorder="1">
      <alignment vertical="center"/>
    </xf>
    <xf numFmtId="169" fontId="12" fillId="32" borderId="24" xfId="45" applyNumberFormat="1" applyBorder="1">
      <alignment vertical="center"/>
    </xf>
    <xf numFmtId="169" fontId="12" fillId="32" borderId="25" xfId="45" applyNumberFormat="1" applyBorder="1">
      <alignment vertical="center"/>
    </xf>
    <xf numFmtId="0" fontId="24" fillId="0" borderId="0" xfId="0" applyFont="1" applyFill="1" applyBorder="1"/>
    <xf numFmtId="0" fontId="0" fillId="0" borderId="0" xfId="0" applyFill="1" applyBorder="1"/>
    <xf numFmtId="0" fontId="10" fillId="0" borderId="0" xfId="54" applyFont="1" applyFill="1" applyBorder="1">
      <alignment horizontal="left" vertical="center"/>
    </xf>
    <xf numFmtId="169" fontId="24" fillId="0" borderId="0" xfId="0" applyNumberFormat="1" applyFont="1" applyFill="1" applyBorder="1"/>
    <xf numFmtId="169" fontId="12" fillId="0" borderId="0" xfId="45" applyNumberFormat="1" applyFill="1" applyBorder="1">
      <alignment vertical="center"/>
    </xf>
    <xf numFmtId="169" fontId="10" fillId="0" borderId="0" xfId="54" applyNumberFormat="1" applyFont="1" applyFill="1" applyBorder="1" applyAlignment="1">
      <alignment horizontal="right" vertical="center"/>
    </xf>
    <xf numFmtId="10" fontId="10" fillId="0" borderId="0" xfId="54" applyNumberFormat="1" applyFont="1" applyFill="1" applyBorder="1" applyAlignment="1">
      <alignment horizontal="right" vertical="center"/>
    </xf>
    <xf numFmtId="0" fontId="38" fillId="0" borderId="0" xfId="0" applyFont="1" applyAlignment="1">
      <alignment horizontal="left" vertical="center"/>
    </xf>
    <xf numFmtId="170" fontId="38" fillId="0" borderId="0" xfId="0" applyNumberFormat="1" applyFont="1" applyAlignment="1">
      <alignment horizontal="right" vertical="center"/>
    </xf>
    <xf numFmtId="0" fontId="17" fillId="0" borderId="0" xfId="52" applyFont="1" applyFill="1" applyBorder="1">
      <alignment vertical="center"/>
    </xf>
    <xf numFmtId="0" fontId="10" fillId="0" borderId="0" xfId="0" applyFont="1" applyAlignment="1">
      <alignment horizontal="left" vertical="center"/>
    </xf>
    <xf numFmtId="172" fontId="10" fillId="0" borderId="0" xfId="0" applyNumberFormat="1" applyFont="1" applyAlignment="1">
      <alignment horizontal="right" vertical="center"/>
    </xf>
    <xf numFmtId="172" fontId="10" fillId="0" borderId="18" xfId="0" applyNumberFormat="1" applyFont="1" applyBorder="1" applyAlignment="1">
      <alignment horizontal="right" vertical="center"/>
    </xf>
    <xf numFmtId="172" fontId="10" fillId="0" borderId="24" xfId="0" applyNumberFormat="1" applyFont="1" applyBorder="1" applyAlignment="1">
      <alignment horizontal="right" vertical="center"/>
    </xf>
    <xf numFmtId="0" fontId="38" fillId="0" borderId="13" xfId="0" applyFont="1" applyBorder="1" applyAlignment="1">
      <alignment horizontal="left" vertical="center"/>
    </xf>
    <xf numFmtId="170" fontId="38" fillId="0" borderId="13" xfId="0" applyNumberFormat="1" applyFont="1" applyBorder="1" applyAlignment="1">
      <alignment horizontal="right" vertical="center"/>
    </xf>
    <xf numFmtId="170" fontId="38" fillId="0" borderId="21" xfId="0" applyNumberFormat="1" applyFont="1" applyBorder="1" applyAlignment="1">
      <alignment horizontal="right" vertical="center"/>
    </xf>
    <xf numFmtId="170" fontId="38" fillId="0" borderId="28" xfId="0" applyNumberFormat="1" applyFont="1" applyBorder="1" applyAlignment="1">
      <alignment horizontal="right" vertical="center"/>
    </xf>
    <xf numFmtId="0" fontId="38" fillId="0" borderId="0" xfId="54" applyFont="1" applyBorder="1" applyAlignment="1">
      <alignment horizontal="left" vertical="center" indent="1"/>
    </xf>
    <xf numFmtId="0" fontId="38" fillId="0" borderId="0" xfId="0" applyFont="1" applyBorder="1" applyAlignment="1">
      <alignment horizontal="left" vertical="center"/>
    </xf>
    <xf numFmtId="170" fontId="38" fillId="0" borderId="0" xfId="0" applyNumberFormat="1" applyFont="1" applyBorder="1" applyAlignment="1">
      <alignment horizontal="right" vertical="center"/>
    </xf>
    <xf numFmtId="169" fontId="10" fillId="0" borderId="0" xfId="0" applyNumberFormat="1" applyFont="1" applyAlignment="1">
      <alignment horizontal="right" vertical="center"/>
    </xf>
    <xf numFmtId="40" fontId="0" fillId="0" borderId="0" xfId="0" applyNumberFormat="1" applyAlignment="1">
      <alignment horizontal="right"/>
    </xf>
  </cellXfs>
  <cellStyles count="58">
    <cellStyle name="20% - Accent1" xfId="17" builtinId="30" customBuiltin="1"/>
    <cellStyle name="20% - Accent2" xfId="21" builtinId="34" customBuiltin="1"/>
    <cellStyle name="20% - Accent3" xfId="25" builtinId="38" customBuiltin="1"/>
    <cellStyle name="20% - Accent4" xfId="29" builtinId="42" customBuiltin="1"/>
    <cellStyle name="20% - Accent5" xfId="33" builtinId="46" customBuiltin="1"/>
    <cellStyle name="20% - Accent6" xfId="37" builtinId="50" customBuiltin="1"/>
    <cellStyle name="40% - Accent1" xfId="18" builtinId="31" customBuiltin="1"/>
    <cellStyle name="40% - Accent2" xfId="22" builtinId="35" customBuiltin="1"/>
    <cellStyle name="40% - Accent3" xfId="26" builtinId="39" customBuiltin="1"/>
    <cellStyle name="40% - Accent4" xfId="30" builtinId="43" customBuiltin="1"/>
    <cellStyle name="40% - Accent5" xfId="34" builtinId="47" customBuiltin="1"/>
    <cellStyle name="40% - Accent6" xfId="38" builtinId="51" customBuiltin="1"/>
    <cellStyle name="60% - Accent1" xfId="19" builtinId="32" customBuiltin="1"/>
    <cellStyle name="60% - Accent2" xfId="23" builtinId="36" customBuiltin="1"/>
    <cellStyle name="60% - Accent3" xfId="27" builtinId="40" customBuiltin="1"/>
    <cellStyle name="60% - Accent4" xfId="31" builtinId="44" customBuiltin="1"/>
    <cellStyle name="60% - Accent5" xfId="35" builtinId="48" customBuiltin="1"/>
    <cellStyle name="60% - Accent6" xfId="39" builtinId="52" customBuiltin="1"/>
    <cellStyle name="Accent1" xfId="16" builtinId="29" customBuiltin="1"/>
    <cellStyle name="Accent2" xfId="20" builtinId="33" customBuiltin="1"/>
    <cellStyle name="Accent3" xfId="24" builtinId="37" customBuiltin="1"/>
    <cellStyle name="Accent4" xfId="28" builtinId="41" customBuiltin="1"/>
    <cellStyle name="Accent5" xfId="32" builtinId="45" customBuiltin="1"/>
    <cellStyle name="Accent6" xfId="36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ross-sheet link" xfId="40" xr:uid="{9EDC59C5-DE7F-7040-85FC-6C20C91EEABE}"/>
    <cellStyle name="Explanatory Text" xfId="14" builtinId="53" customBuiltin="1"/>
    <cellStyle name="External link" xfId="41" xr:uid="{328C7BC0-7C8F-124B-BDBF-A7783C6E04CE}"/>
    <cellStyle name="Final total" xfId="42" xr:uid="{6FE781E5-0D9B-DD40-BBE2-F57D5C9C68FC}"/>
    <cellStyle name="Final total 2" xfId="43" xr:uid="{B21CDF87-5A74-7446-A1BF-99B1ACB84EA2}"/>
    <cellStyle name="Formula" xfId="44" xr:uid="{24565F2F-2018-F246-94A2-01CA97EE1E73}"/>
    <cellStyle name="Good" xfId="5" builtinId="26" customBuiltin="1"/>
    <cellStyle name="Hardcoded Input" xfId="45" xr:uid="{270D9442-7AAE-E44B-8A8A-296495E509AE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ighlighted row" xfId="46" xr:uid="{2EA6AB34-FC87-B042-A345-F3F5606120B9}"/>
    <cellStyle name="Indented row label" xfId="47" xr:uid="{DBEDE8E8-16C1-9640-B6BC-1D2AD771A958}"/>
    <cellStyle name="indented submetric" xfId="48" xr:uid="{59BA5EAD-EE77-C648-94C6-179856C7F8DC}"/>
    <cellStyle name="Input" xfId="8" builtinId="20" customBuiltin="1"/>
    <cellStyle name="Key Output" xfId="49" xr:uid="{24065764-CF80-5648-AE73-233F60FBEC7E}"/>
    <cellStyle name="Linked Cell" xfId="11" builtinId="24" customBuiltin="1"/>
    <cellStyle name="Main Title" xfId="50" xr:uid="{B3D8F26D-171C-6242-BDC0-5B42D6CA2509}"/>
    <cellStyle name="Neutral" xfId="7" builtinId="28" customBuiltin="1"/>
    <cellStyle name="Normal" xfId="0" builtinId="0" customBuiltin="1"/>
    <cellStyle name="Normal 2" xfId="51" xr:uid="{F2F40471-5A47-8F45-99AE-C3A1636B64FF}"/>
    <cellStyle name="NORMAL 3" xfId="57" xr:uid="{899F9143-A01B-5A49-A046-CE3D53992255}"/>
    <cellStyle name="NORMAL2" xfId="56" xr:uid="{4937E49A-93D8-4C4E-8D29-92107010896F}"/>
    <cellStyle name="Output" xfId="9" builtinId="21" customBuiltin="1"/>
    <cellStyle name="Section Header" xfId="52" xr:uid="{A437A1C1-BFA3-9444-8CA0-7149A56F9D50}"/>
    <cellStyle name="SECTIONHEADER" xfId="53" xr:uid="{FACFB770-D66A-C94B-9B35-496E59A5E3E0}"/>
    <cellStyle name="Subtotal" xfId="54" xr:uid="{1B9503A9-3567-454E-AABE-EF3AB618E842}"/>
    <cellStyle name="Total" xfId="15" builtinId="25" customBuiltin="1"/>
    <cellStyle name="Warning check" xfId="55" xr:uid="{05A212E3-EFC4-1445-9111-92039A969F40}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202124">
      <a:dk1>
        <a:srgbClr val="202024"/>
      </a:dk1>
      <a:lt1>
        <a:srgbClr val="FFFFFF"/>
      </a:lt1>
      <a:dk2>
        <a:srgbClr val="1F2C3C"/>
      </a:dk2>
      <a:lt2>
        <a:srgbClr val="DDE5EB"/>
      </a:lt2>
      <a:accent1>
        <a:srgbClr val="506479"/>
      </a:accent1>
      <a:accent2>
        <a:srgbClr val="777DB8"/>
      </a:accent2>
      <a:accent3>
        <a:srgbClr val="91B9D5"/>
      </a:accent3>
      <a:accent4>
        <a:srgbClr val="C3B96E"/>
      </a:accent4>
      <a:accent5>
        <a:srgbClr val="EAF2F8"/>
      </a:accent5>
      <a:accent6>
        <a:srgbClr val="F3EFD8"/>
      </a:accent6>
      <a:hlink>
        <a:srgbClr val="0563C1"/>
      </a:hlink>
      <a:folHlink>
        <a:srgbClr val="954F7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8599-D78E-3E46-AC40-808BAAB789E0}">
  <dimension ref="B1:J23"/>
  <sheetViews>
    <sheetView showGridLines="0" workbookViewId="0">
      <selection activeCell="H7" sqref="H7"/>
    </sheetView>
  </sheetViews>
  <sheetFormatPr baseColWidth="10" defaultRowHeight="13" x14ac:dyDescent="0.15"/>
  <cols>
    <col min="1" max="1" width="4" style="3" customWidth="1"/>
    <col min="2" max="2" width="36.6640625" style="3" customWidth="1"/>
    <col min="3" max="3" width="18.83203125" style="3" customWidth="1"/>
    <col min="4" max="4" width="41.33203125" style="3" customWidth="1"/>
    <col min="5" max="5" width="10.83203125" style="3"/>
    <col min="6" max="6" width="36.83203125" style="3" customWidth="1"/>
    <col min="7" max="7" width="11.6640625" style="3" bestFit="1" customWidth="1"/>
    <col min="8" max="8" width="10.83203125" style="3"/>
    <col min="9" max="9" width="20.83203125" style="3" customWidth="1"/>
    <col min="10" max="16384" width="10.83203125" style="3"/>
  </cols>
  <sheetData>
    <row r="1" spans="2:4" ht="14" x14ac:dyDescent="0.15">
      <c r="B1" s="23" t="s">
        <v>20</v>
      </c>
      <c r="C1" s="23"/>
      <c r="D1" s="23"/>
    </row>
    <row r="2" spans="2:4" x14ac:dyDescent="0.15">
      <c r="B2" s="6"/>
      <c r="C2" s="6" t="s">
        <v>76</v>
      </c>
      <c r="D2" s="6" t="s">
        <v>22</v>
      </c>
    </row>
    <row r="3" spans="2:4" x14ac:dyDescent="0.15">
      <c r="B3" s="3" t="s">
        <v>21</v>
      </c>
      <c r="C3" s="32">
        <v>0.25</v>
      </c>
    </row>
    <row r="4" spans="2:4" x14ac:dyDescent="0.15">
      <c r="B4" s="3" t="s">
        <v>19</v>
      </c>
      <c r="C4" s="32">
        <v>5.7999999999999996E-3</v>
      </c>
      <c r="D4" s="3" t="s">
        <v>23</v>
      </c>
    </row>
    <row r="5" spans="2:4" x14ac:dyDescent="0.15">
      <c r="B5" s="3" t="s">
        <v>29</v>
      </c>
      <c r="C5" s="32">
        <v>8.7500000000000008E-3</v>
      </c>
      <c r="D5" s="3" t="s">
        <v>30</v>
      </c>
    </row>
    <row r="6" spans="2:4" x14ac:dyDescent="0.15">
      <c r="B6" s="3" t="s">
        <v>52</v>
      </c>
      <c r="C6" s="32">
        <v>5.4999999999999997E-3</v>
      </c>
      <c r="D6" s="3" t="s">
        <v>53</v>
      </c>
    </row>
    <row r="7" spans="2:4" x14ac:dyDescent="0.15">
      <c r="C7" s="12"/>
    </row>
    <row r="8" spans="2:4" x14ac:dyDescent="0.15">
      <c r="B8" s="18" t="s">
        <v>0</v>
      </c>
      <c r="C8" s="18">
        <v>2604.1</v>
      </c>
      <c r="D8" s="20"/>
    </row>
    <row r="9" spans="2:4" x14ac:dyDescent="0.15">
      <c r="B9" s="5" t="s">
        <v>3</v>
      </c>
      <c r="C9" s="11">
        <v>0</v>
      </c>
    </row>
    <row r="10" spans="2:4" x14ac:dyDescent="0.15">
      <c r="B10" s="5" t="s">
        <v>1</v>
      </c>
      <c r="C10" s="11">
        <v>1</v>
      </c>
    </row>
    <row r="11" spans="2:4" x14ac:dyDescent="0.15">
      <c r="B11" s="5" t="s">
        <v>2</v>
      </c>
      <c r="C11" s="11">
        <v>0</v>
      </c>
    </row>
    <row r="13" spans="2:4" x14ac:dyDescent="0.15">
      <c r="B13" s="7" t="s">
        <v>31</v>
      </c>
      <c r="C13" s="32">
        <v>9.7299999999999998E-2</v>
      </c>
      <c r="D13" s="3" t="s">
        <v>35</v>
      </c>
    </row>
    <row r="14" spans="2:4" x14ac:dyDescent="0.15">
      <c r="B14" s="7" t="s">
        <v>57</v>
      </c>
      <c r="C14" s="13">
        <v>0</v>
      </c>
    </row>
    <row r="15" spans="2:4" x14ac:dyDescent="0.15">
      <c r="B15" s="7" t="s">
        <v>60</v>
      </c>
      <c r="C15" s="32">
        <v>0.03</v>
      </c>
    </row>
    <row r="17" spans="2:10" x14ac:dyDescent="0.15">
      <c r="B17" s="7" t="s">
        <v>68</v>
      </c>
      <c r="C17" s="14">
        <f>210*1.1064</f>
        <v>232.34400000000002</v>
      </c>
      <c r="D17" s="3" t="s">
        <v>33</v>
      </c>
    </row>
    <row r="18" spans="2:10" x14ac:dyDescent="0.15">
      <c r="B18" s="3" t="s">
        <v>32</v>
      </c>
      <c r="C18" s="15">
        <f>12.774*1.1064</f>
        <v>14.1331536</v>
      </c>
      <c r="D18" s="3" t="s">
        <v>33</v>
      </c>
    </row>
    <row r="19" spans="2:10" x14ac:dyDescent="0.15">
      <c r="B19" s="3" t="s">
        <v>36</v>
      </c>
      <c r="C19" s="15">
        <f>29.611*1.1064</f>
        <v>32.761610400000002</v>
      </c>
      <c r="D19" s="3" t="s">
        <v>33</v>
      </c>
    </row>
    <row r="20" spans="2:10" ht="6" customHeight="1" x14ac:dyDescent="0.15">
      <c r="C20" s="15"/>
      <c r="J20" s="22"/>
    </row>
    <row r="21" spans="2:10" x14ac:dyDescent="0.15">
      <c r="B21" s="3" t="s">
        <v>77</v>
      </c>
      <c r="C21" s="15">
        <f>C18+(C19*(1-C3))</f>
        <v>38.704361400000003</v>
      </c>
    </row>
    <row r="22" spans="2:10" x14ac:dyDescent="0.15">
      <c r="B22" s="18" t="s">
        <v>78</v>
      </c>
      <c r="C22" s="19">
        <f>C17*(1+C13)^2</f>
        <v>279.75781042775998</v>
      </c>
      <c r="D22" s="20" t="s">
        <v>34</v>
      </c>
    </row>
    <row r="23" spans="2:10" x14ac:dyDescent="0.15">
      <c r="B23" s="16" t="s">
        <v>79</v>
      </c>
      <c r="C23" s="17">
        <f>C21*(1+C13)^2</f>
        <v>46.602655542078601</v>
      </c>
      <c r="D23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3C31-6B17-7C4F-A6B9-785A75D5BD10}">
  <dimension ref="A1:XEW42"/>
  <sheetViews>
    <sheetView showGridLines="0" workbookViewId="0">
      <selection activeCell="C49" sqref="C49"/>
    </sheetView>
  </sheetViews>
  <sheetFormatPr baseColWidth="10" defaultRowHeight="14" x14ac:dyDescent="0.15"/>
  <cols>
    <col min="1" max="1" width="4" customWidth="1"/>
    <col min="2" max="2" width="35" customWidth="1"/>
    <col min="3" max="3" width="16.33203125" customWidth="1"/>
  </cols>
  <sheetData>
    <row r="1" spans="1:9" ht="18" x14ac:dyDescent="0.15">
      <c r="A1" s="3"/>
      <c r="B1" s="33" t="s">
        <v>82</v>
      </c>
      <c r="C1" s="3"/>
      <c r="D1" s="3"/>
      <c r="E1" s="3"/>
      <c r="F1" s="3"/>
      <c r="G1" s="34"/>
      <c r="H1" s="3"/>
      <c r="I1" s="3"/>
    </row>
    <row r="2" spans="1:9" x14ac:dyDescent="0.15">
      <c r="A2" s="3"/>
      <c r="B2" s="1" t="s">
        <v>83</v>
      </c>
      <c r="C2" s="1"/>
      <c r="D2" s="1"/>
      <c r="E2" s="1"/>
      <c r="F2" s="1"/>
      <c r="G2" s="1"/>
      <c r="H2" s="1"/>
      <c r="I2" s="1"/>
    </row>
    <row r="3" spans="1:9" x14ac:dyDescent="0.15">
      <c r="A3" s="3"/>
      <c r="B3" s="35"/>
      <c r="C3" s="36" t="s">
        <v>84</v>
      </c>
      <c r="D3" s="37"/>
      <c r="E3" s="37"/>
      <c r="F3" s="37"/>
      <c r="G3" s="37"/>
      <c r="H3" s="38" t="s">
        <v>85</v>
      </c>
      <c r="I3" s="70"/>
    </row>
    <row r="4" spans="1:9" x14ac:dyDescent="0.15">
      <c r="A4" s="3"/>
      <c r="B4" s="39" t="s">
        <v>86</v>
      </c>
      <c r="C4" s="40">
        <v>42551</v>
      </c>
      <c r="D4" s="40">
        <v>42916</v>
      </c>
      <c r="E4" s="40">
        <v>43281</v>
      </c>
      <c r="F4" s="40">
        <v>43646</v>
      </c>
      <c r="G4" s="40">
        <v>44012</v>
      </c>
      <c r="H4" s="41">
        <v>44377</v>
      </c>
      <c r="I4" s="71">
        <v>44742</v>
      </c>
    </row>
    <row r="5" spans="1:9" x14ac:dyDescent="0.15">
      <c r="A5" s="3"/>
      <c r="B5" s="3" t="s">
        <v>87</v>
      </c>
      <c r="C5" s="3" t="s">
        <v>88</v>
      </c>
      <c r="D5" s="3" t="s">
        <v>88</v>
      </c>
      <c r="E5" s="3" t="s">
        <v>88</v>
      </c>
      <c r="F5" s="3" t="s">
        <v>88</v>
      </c>
      <c r="G5" s="3" t="s">
        <v>88</v>
      </c>
      <c r="H5" s="42" t="s">
        <v>88</v>
      </c>
      <c r="I5" s="72" t="s">
        <v>88</v>
      </c>
    </row>
    <row r="6" spans="1:9" x14ac:dyDescent="0.15">
      <c r="A6" s="3"/>
      <c r="B6" s="43" t="s">
        <v>89</v>
      </c>
      <c r="C6" s="43" t="s">
        <v>90</v>
      </c>
      <c r="D6" s="43" t="s">
        <v>90</v>
      </c>
      <c r="E6" s="43" t="s">
        <v>90</v>
      </c>
      <c r="F6" s="43" t="s">
        <v>90</v>
      </c>
      <c r="G6" s="43" t="s">
        <v>90</v>
      </c>
      <c r="H6" s="44" t="s">
        <v>90</v>
      </c>
      <c r="I6" s="73" t="s">
        <v>90</v>
      </c>
    </row>
    <row r="7" spans="1:9" x14ac:dyDescent="0.15">
      <c r="A7" s="3"/>
      <c r="B7" s="3" t="s">
        <v>91</v>
      </c>
      <c r="C7" s="14">
        <v>2897</v>
      </c>
      <c r="D7" s="14">
        <v>4142.6000000000004</v>
      </c>
      <c r="E7" s="14">
        <v>4329.8999999999996</v>
      </c>
      <c r="F7" s="14">
        <v>4362.2</v>
      </c>
      <c r="G7" s="14">
        <v>4529</v>
      </c>
      <c r="H7" s="45">
        <f>G7*(1+H32)</f>
        <v>4664.87</v>
      </c>
      <c r="I7" s="74">
        <f>H7*(1+I32)</f>
        <v>4804.8161</v>
      </c>
    </row>
    <row r="8" spans="1:9" x14ac:dyDescent="0.15">
      <c r="A8" s="3"/>
      <c r="B8" s="46" t="s">
        <v>92</v>
      </c>
      <c r="C8" s="47"/>
      <c r="D8" s="48">
        <f>D7/C7-1</f>
        <v>0.42996202968588215</v>
      </c>
      <c r="E8" s="48">
        <f t="shared" ref="E8:I8" si="0">E7/D7-1</f>
        <v>4.5213151161106468E-2</v>
      </c>
      <c r="F8" s="48">
        <f t="shared" si="0"/>
        <v>7.4597565763643292E-3</v>
      </c>
      <c r="G8" s="48">
        <f t="shared" si="0"/>
        <v>3.8237586538902413E-2</v>
      </c>
      <c r="H8" s="49">
        <f t="shared" si="0"/>
        <v>3.0000000000000027E-2</v>
      </c>
      <c r="I8" s="75">
        <f t="shared" si="0"/>
        <v>3.0000000000000027E-2</v>
      </c>
    </row>
    <row r="9" spans="1:9" x14ac:dyDescent="0.15">
      <c r="A9" s="3"/>
      <c r="B9" s="3"/>
      <c r="C9" s="3"/>
      <c r="D9" s="3"/>
      <c r="E9" s="3"/>
      <c r="F9" s="3"/>
      <c r="G9" s="3"/>
      <c r="H9" s="42"/>
      <c r="I9" s="72"/>
    </row>
    <row r="10" spans="1:9" x14ac:dyDescent="0.15">
      <c r="A10" s="3"/>
      <c r="B10" s="3" t="s">
        <v>93</v>
      </c>
      <c r="C10" s="14">
        <v>1975.9</v>
      </c>
      <c r="D10" s="14">
        <v>3109.6</v>
      </c>
      <c r="E10" s="14">
        <v>3169.6</v>
      </c>
      <c r="F10" s="14">
        <v>3131.9</v>
      </c>
      <c r="G10" s="14">
        <v>3265.1</v>
      </c>
      <c r="H10" s="45">
        <f>H7*H34</f>
        <v>3358.7063999999996</v>
      </c>
      <c r="I10" s="74">
        <f>I7*I34</f>
        <v>3459.467592</v>
      </c>
    </row>
    <row r="11" spans="1:9" x14ac:dyDescent="0.15">
      <c r="A11" s="3"/>
      <c r="B11" s="3" t="s">
        <v>94</v>
      </c>
      <c r="C11" s="14">
        <v>921.1</v>
      </c>
      <c r="D11" s="14">
        <v>1033</v>
      </c>
      <c r="E11" s="14">
        <v>1160.3</v>
      </c>
      <c r="F11" s="14">
        <v>1230.3</v>
      </c>
      <c r="G11" s="14">
        <v>1263.9000000000001</v>
      </c>
      <c r="H11" s="45">
        <f>H7-H10</f>
        <v>1306.1636000000003</v>
      </c>
      <c r="I11" s="74">
        <f t="shared" ref="I11" si="1">I7-I10</f>
        <v>1345.348508</v>
      </c>
    </row>
    <row r="12" spans="1:9" x14ac:dyDescent="0.15">
      <c r="A12" s="3"/>
      <c r="B12" s="3" t="s">
        <v>95</v>
      </c>
      <c r="C12" s="14">
        <v>420.9</v>
      </c>
      <c r="D12" s="14">
        <v>501.4</v>
      </c>
      <c r="E12" s="14">
        <v>565.4</v>
      </c>
      <c r="F12" s="14">
        <v>577.5</v>
      </c>
      <c r="G12" s="14">
        <v>639</v>
      </c>
      <c r="H12" s="45">
        <f>H7*H35</f>
        <v>653.08180000000004</v>
      </c>
      <c r="I12" s="74">
        <f>I7*I35</f>
        <v>672.67425400000002</v>
      </c>
    </row>
    <row r="13" spans="1:9" x14ac:dyDescent="0.15">
      <c r="A13" s="3"/>
      <c r="B13" s="3" t="s">
        <v>96</v>
      </c>
      <c r="C13" s="14"/>
      <c r="D13" s="14"/>
      <c r="E13" s="14"/>
      <c r="F13" s="14"/>
      <c r="G13" s="14"/>
      <c r="H13" s="45"/>
      <c r="I13" s="74"/>
    </row>
    <row r="14" spans="1:9" x14ac:dyDescent="0.15">
      <c r="A14" s="3"/>
      <c r="B14" s="3" t="s">
        <v>97</v>
      </c>
      <c r="C14" s="14"/>
      <c r="D14" s="14"/>
      <c r="E14" s="14"/>
      <c r="F14" s="14"/>
      <c r="G14" s="14"/>
      <c r="H14" s="45"/>
      <c r="I14" s="74"/>
    </row>
    <row r="15" spans="1:9" x14ac:dyDescent="0.15">
      <c r="A15" s="3"/>
      <c r="B15" s="3" t="s">
        <v>98</v>
      </c>
      <c r="C15" s="3"/>
      <c r="D15" s="3"/>
      <c r="E15" s="3"/>
      <c r="F15" s="3"/>
      <c r="G15" s="3"/>
      <c r="H15" s="42"/>
      <c r="I15" s="72"/>
    </row>
    <row r="16" spans="1:9" x14ac:dyDescent="0.15">
      <c r="A16" s="3"/>
      <c r="B16" s="3" t="s">
        <v>99</v>
      </c>
      <c r="C16" s="3"/>
      <c r="D16" s="3"/>
      <c r="E16" s="3"/>
      <c r="F16" s="3"/>
      <c r="G16" s="3"/>
      <c r="H16" s="50"/>
      <c r="I16" s="76"/>
    </row>
    <row r="17" spans="1:1017 1025:2041 2049:3065 3073:4089 4097:5113 5121:6137 6145:7161 7169:8185 8193:9209 9217:10233 10241:11257 11265:12281 12289:13305 13313:14329 14337:15353 15361:16377" x14ac:dyDescent="0.15">
      <c r="A17" s="3"/>
      <c r="B17" s="3" t="s">
        <v>100</v>
      </c>
      <c r="C17" s="3"/>
      <c r="D17" s="3"/>
      <c r="E17" s="3"/>
      <c r="F17" s="3"/>
      <c r="G17" s="3"/>
      <c r="H17" s="42"/>
      <c r="I17" s="72"/>
    </row>
    <row r="18" spans="1:1017 1025:2041 2049:3065 3073:4089 4097:5113 5121:6137 6145:7161 7169:8185 8193:9209 9217:10233 10241:11257 11265:12281 12289:13305 13313:14329 14337:15353 15361:16377" x14ac:dyDescent="0.15">
      <c r="A18" s="3"/>
      <c r="B18" s="3" t="s">
        <v>101</v>
      </c>
      <c r="C18" s="3">
        <v>2396.8000000000002</v>
      </c>
      <c r="D18" s="3">
        <v>3611</v>
      </c>
      <c r="E18" s="3">
        <v>3735</v>
      </c>
      <c r="F18" s="3">
        <v>3709.5</v>
      </c>
      <c r="G18" s="3">
        <v>3904.1</v>
      </c>
      <c r="H18" s="42">
        <f>SUM(H10,H12:H17)</f>
        <v>4011.7881999999995</v>
      </c>
      <c r="I18" s="74">
        <f t="shared" ref="I18" si="2">SUM(I10,I12:I17)</f>
        <v>4132.1418460000004</v>
      </c>
    </row>
    <row r="19" spans="1:1017 1025:2041 2049:3065 3073:4089 4097:5113 5121:6137 6145:7161 7169:8185 8193:9209 9217:10233 10241:11257 11265:12281 12289:13305 13313:14329 14337:15353 15361:16377" x14ac:dyDescent="0.15">
      <c r="A19" s="3"/>
      <c r="B19" s="51" t="s">
        <v>102</v>
      </c>
      <c r="C19" s="52">
        <v>500.2</v>
      </c>
      <c r="D19" s="52">
        <v>531.6</v>
      </c>
      <c r="E19" s="52">
        <v>594.9</v>
      </c>
      <c r="F19" s="52">
        <v>652.70000000000005</v>
      </c>
      <c r="G19" s="52">
        <v>624.9</v>
      </c>
      <c r="H19" s="53">
        <f>H7-H18</f>
        <v>653.08180000000038</v>
      </c>
      <c r="I19" s="77">
        <f t="shared" ref="I19" si="3">I7-I18</f>
        <v>672.67425399999956</v>
      </c>
    </row>
    <row r="20" spans="1:1017 1025:2041 2049:3065 3073:4089 4097:5113 5121:6137 6145:7161 7169:8185 8193:9209 9217:10233 10241:11257 11265:12281 12289:13305 13313:14329 14337:15353 15361:16377" x14ac:dyDescent="0.15">
      <c r="A20" s="3"/>
      <c r="B20" s="103" t="s">
        <v>103</v>
      </c>
      <c r="C20" s="58">
        <f>C19/C7</f>
        <v>0.17266137383500171</v>
      </c>
      <c r="D20" s="58">
        <f>D19/D7</f>
        <v>0.12832520639212089</v>
      </c>
      <c r="E20" s="58">
        <f>E19/E7</f>
        <v>0.13739347329037624</v>
      </c>
      <c r="F20" s="58">
        <f>F19/F7</f>
        <v>0.14962633533538125</v>
      </c>
      <c r="G20" s="58">
        <f>G19/G7</f>
        <v>0.13797747847206887</v>
      </c>
      <c r="H20" s="59">
        <f>H19/H7</f>
        <v>0.1400000000000001</v>
      </c>
      <c r="I20" s="78">
        <f>I19/I7</f>
        <v>0.1399999999999999</v>
      </c>
    </row>
    <row r="21" spans="1:1017 1025:2041 2049:3065 3073:4089 4097:5113 5121:6137 6145:7161 7169:8185 8193:9209 9217:10233 10241:11257 11265:12281 12289:13305 13313:14329 14337:15353 15361:16377" x14ac:dyDescent="0.15">
      <c r="A21" s="3"/>
      <c r="B21" s="57" t="s">
        <v>104</v>
      </c>
      <c r="C21" s="60">
        <f>C19</f>
        <v>500.2</v>
      </c>
      <c r="D21" s="60">
        <f>D19</f>
        <v>531.6</v>
      </c>
      <c r="E21" s="60">
        <f>E19</f>
        <v>594.9</v>
      </c>
      <c r="F21" s="60">
        <f>F19</f>
        <v>652.70000000000005</v>
      </c>
      <c r="G21" s="60">
        <f>G19</f>
        <v>624.9</v>
      </c>
      <c r="H21" s="61">
        <f>H19</f>
        <v>653.08180000000038</v>
      </c>
      <c r="I21" s="79">
        <f>I19</f>
        <v>672.67425399999956</v>
      </c>
    </row>
    <row r="22" spans="1:1017 1025:2041 2049:3065 3073:4089 4097:5113 5121:6137 6145:7161 7169:8185 8193:9209 9217:10233 10241:11257 11265:12281 12289:13305 13313:14329 14337:15353 15361:16377" x14ac:dyDescent="0.15">
      <c r="A22" s="3"/>
      <c r="B22" s="103" t="s">
        <v>105</v>
      </c>
      <c r="C22" s="58">
        <f>C21/C7</f>
        <v>0.17266137383500171</v>
      </c>
      <c r="D22" s="58">
        <f>D21/D7</f>
        <v>0.12832520639212089</v>
      </c>
      <c r="E22" s="58">
        <f>E21/E7</f>
        <v>0.13739347329037624</v>
      </c>
      <c r="F22" s="58">
        <f>F21/F7</f>
        <v>0.14962633533538125</v>
      </c>
      <c r="G22" s="58">
        <f>G21/G7</f>
        <v>0.13797747847206887</v>
      </c>
      <c r="H22" s="59">
        <f>H21/H7</f>
        <v>0.1400000000000001</v>
      </c>
      <c r="I22" s="78">
        <f>I21/I7</f>
        <v>0.1399999999999999</v>
      </c>
    </row>
    <row r="23" spans="1:1017 1025:2041 2049:3065 3073:4089 4097:5113 5121:6137 6145:7161 7169:8185 8193:9209 9217:10233 10241:11257 11265:12281 12289:13305 13313:14329 14337:15353 15361:16377" x14ac:dyDescent="0.15">
      <c r="A23" s="3"/>
      <c r="B23" s="57"/>
      <c r="C23" s="58"/>
      <c r="D23" s="58"/>
      <c r="E23" s="58"/>
      <c r="F23" s="58"/>
      <c r="G23" s="58"/>
      <c r="H23" s="59"/>
      <c r="I23" s="78"/>
    </row>
    <row r="24" spans="1:1017 1025:2041 2049:3065 3073:4089 4097:5113 5121:6137 6145:7161 7169:8185 8193:9209 9217:10233 10241:11257 11265:12281 12289:13305 13313:14329 14337:15353 15361:16377" s="93" customFormat="1" x14ac:dyDescent="0.15">
      <c r="A24" s="92"/>
      <c r="B24" s="95" t="s">
        <v>111</v>
      </c>
      <c r="C24" s="96">
        <v>-31.4</v>
      </c>
      <c r="D24" s="96">
        <v>-43.4</v>
      </c>
      <c r="E24" s="96">
        <v>-33.799999999999997</v>
      </c>
      <c r="F24" s="96">
        <v>-41.8</v>
      </c>
      <c r="G24" s="96">
        <v>-58.8</v>
      </c>
      <c r="H24" s="97">
        <f>G24*(1+H36)</f>
        <v>-70.62398033202858</v>
      </c>
      <c r="I24" s="98">
        <f>H24*(1+I36)</f>
        <v>-84.825622413924492</v>
      </c>
      <c r="Q24" s="92"/>
      <c r="Y24" s="92"/>
      <c r="AG24" s="92"/>
      <c r="AO24" s="92"/>
      <c r="AW24" s="92"/>
      <c r="BE24" s="92"/>
      <c r="BM24" s="92"/>
      <c r="BU24" s="92"/>
      <c r="CC24" s="92"/>
      <c r="CK24" s="92"/>
      <c r="CS24" s="92"/>
      <c r="DA24" s="92"/>
      <c r="DI24" s="92"/>
      <c r="DQ24" s="92"/>
      <c r="DY24" s="92"/>
      <c r="EG24" s="92"/>
      <c r="EO24" s="92"/>
      <c r="EW24" s="92"/>
      <c r="FE24" s="92"/>
      <c r="FM24" s="92"/>
      <c r="FU24" s="92"/>
      <c r="GC24" s="92"/>
      <c r="GK24" s="92"/>
      <c r="GS24" s="92"/>
      <c r="HA24" s="92"/>
      <c r="HI24" s="92"/>
      <c r="HQ24" s="92"/>
      <c r="HY24" s="92"/>
      <c r="IG24" s="92"/>
      <c r="IO24" s="92"/>
      <c r="IW24" s="92"/>
      <c r="JE24" s="92"/>
      <c r="JM24" s="92"/>
      <c r="JU24" s="92"/>
      <c r="KC24" s="92"/>
      <c r="KK24" s="92"/>
      <c r="KS24" s="92"/>
      <c r="LA24" s="92"/>
      <c r="LI24" s="92"/>
      <c r="LQ24" s="92"/>
      <c r="LY24" s="92"/>
      <c r="MG24" s="92"/>
      <c r="MO24" s="92"/>
      <c r="MW24" s="92"/>
      <c r="NE24" s="92"/>
      <c r="NM24" s="92"/>
      <c r="NU24" s="92"/>
      <c r="OC24" s="92"/>
      <c r="OK24" s="92"/>
      <c r="OS24" s="92"/>
      <c r="PA24" s="92"/>
      <c r="PI24" s="92"/>
      <c r="PQ24" s="92"/>
      <c r="PY24" s="92"/>
      <c r="QG24" s="92"/>
      <c r="QO24" s="92"/>
      <c r="QW24" s="92"/>
      <c r="RE24" s="92"/>
      <c r="RM24" s="92"/>
      <c r="RU24" s="92"/>
      <c r="SC24" s="92"/>
      <c r="SK24" s="92"/>
      <c r="SS24" s="92"/>
      <c r="TA24" s="92"/>
      <c r="TI24" s="92"/>
      <c r="TQ24" s="92"/>
      <c r="TY24" s="92"/>
      <c r="UG24" s="92"/>
      <c r="UO24" s="92"/>
      <c r="UW24" s="92"/>
      <c r="VE24" s="92"/>
      <c r="VM24" s="92"/>
      <c r="VU24" s="92"/>
      <c r="WC24" s="92"/>
      <c r="WK24" s="92"/>
      <c r="WS24" s="92"/>
      <c r="XA24" s="92"/>
      <c r="XI24" s="92"/>
      <c r="XQ24" s="92"/>
      <c r="XY24" s="92"/>
      <c r="YG24" s="92"/>
      <c r="YO24" s="92"/>
      <c r="YW24" s="92"/>
      <c r="ZE24" s="92"/>
      <c r="ZM24" s="92"/>
      <c r="ZU24" s="92"/>
      <c r="AAC24" s="92"/>
      <c r="AAK24" s="92"/>
      <c r="AAS24" s="92"/>
      <c r="ABA24" s="92"/>
      <c r="ABI24" s="92"/>
      <c r="ABQ24" s="92"/>
      <c r="ABY24" s="92"/>
      <c r="ACG24" s="92"/>
      <c r="ACO24" s="92"/>
      <c r="ACW24" s="92"/>
      <c r="ADE24" s="92"/>
      <c r="ADM24" s="92"/>
      <c r="ADU24" s="92"/>
      <c r="AEC24" s="92"/>
      <c r="AEK24" s="92"/>
      <c r="AES24" s="92"/>
      <c r="AFA24" s="92"/>
      <c r="AFI24" s="92"/>
      <c r="AFQ24" s="92"/>
      <c r="AFY24" s="92"/>
      <c r="AGG24" s="92"/>
      <c r="AGO24" s="92"/>
      <c r="AGW24" s="92"/>
      <c r="AHE24" s="92"/>
      <c r="AHM24" s="92"/>
      <c r="AHU24" s="92"/>
      <c r="AIC24" s="92"/>
      <c r="AIK24" s="92"/>
      <c r="AIS24" s="92"/>
      <c r="AJA24" s="92"/>
      <c r="AJI24" s="92"/>
      <c r="AJQ24" s="92"/>
      <c r="AJY24" s="92"/>
      <c r="AKG24" s="92"/>
      <c r="AKO24" s="92"/>
      <c r="AKW24" s="92"/>
      <c r="ALE24" s="92"/>
      <c r="ALM24" s="92"/>
      <c r="ALU24" s="92"/>
      <c r="AMC24" s="92"/>
      <c r="AMK24" s="92"/>
      <c r="AMS24" s="92"/>
      <c r="ANA24" s="92"/>
      <c r="ANI24" s="92"/>
      <c r="ANQ24" s="92"/>
      <c r="ANY24" s="92"/>
      <c r="AOG24" s="92"/>
      <c r="AOO24" s="92"/>
      <c r="AOW24" s="92"/>
      <c r="APE24" s="92"/>
      <c r="APM24" s="92"/>
      <c r="APU24" s="92"/>
      <c r="AQC24" s="92"/>
      <c r="AQK24" s="92"/>
      <c r="AQS24" s="92"/>
      <c r="ARA24" s="92"/>
      <c r="ARI24" s="92"/>
      <c r="ARQ24" s="92"/>
      <c r="ARY24" s="92"/>
      <c r="ASG24" s="92"/>
      <c r="ASO24" s="92"/>
      <c r="ASW24" s="92"/>
      <c r="ATE24" s="92"/>
      <c r="ATM24" s="92"/>
      <c r="ATU24" s="92"/>
      <c r="AUC24" s="92"/>
      <c r="AUK24" s="92"/>
      <c r="AUS24" s="92"/>
      <c r="AVA24" s="92"/>
      <c r="AVI24" s="92"/>
      <c r="AVQ24" s="92"/>
      <c r="AVY24" s="92"/>
      <c r="AWG24" s="92"/>
      <c r="AWO24" s="92"/>
      <c r="AWW24" s="92"/>
      <c r="AXE24" s="92"/>
      <c r="AXM24" s="92"/>
      <c r="AXU24" s="92"/>
      <c r="AYC24" s="92"/>
      <c r="AYK24" s="92"/>
      <c r="AYS24" s="92"/>
      <c r="AZA24" s="92"/>
      <c r="AZI24" s="92"/>
      <c r="AZQ24" s="92"/>
      <c r="AZY24" s="92"/>
      <c r="BAG24" s="92"/>
      <c r="BAO24" s="92"/>
      <c r="BAW24" s="92"/>
      <c r="BBE24" s="92"/>
      <c r="BBM24" s="92"/>
      <c r="BBU24" s="92"/>
      <c r="BCC24" s="92"/>
      <c r="BCK24" s="92"/>
      <c r="BCS24" s="92"/>
      <c r="BDA24" s="92"/>
      <c r="BDI24" s="92"/>
      <c r="BDQ24" s="92"/>
      <c r="BDY24" s="92"/>
      <c r="BEG24" s="92"/>
      <c r="BEO24" s="92"/>
      <c r="BEW24" s="92"/>
      <c r="BFE24" s="92"/>
      <c r="BFM24" s="92"/>
      <c r="BFU24" s="92"/>
      <c r="BGC24" s="92"/>
      <c r="BGK24" s="92"/>
      <c r="BGS24" s="92"/>
      <c r="BHA24" s="92"/>
      <c r="BHI24" s="92"/>
      <c r="BHQ24" s="92"/>
      <c r="BHY24" s="92"/>
      <c r="BIG24" s="92"/>
      <c r="BIO24" s="92"/>
      <c r="BIW24" s="92"/>
      <c r="BJE24" s="92"/>
      <c r="BJM24" s="92"/>
      <c r="BJU24" s="92"/>
      <c r="BKC24" s="92"/>
      <c r="BKK24" s="92"/>
      <c r="BKS24" s="92"/>
      <c r="BLA24" s="92"/>
      <c r="BLI24" s="92"/>
      <c r="BLQ24" s="92"/>
      <c r="BLY24" s="92"/>
      <c r="BMG24" s="92"/>
      <c r="BMO24" s="92"/>
      <c r="BMW24" s="92"/>
      <c r="BNE24" s="92"/>
      <c r="BNM24" s="92"/>
      <c r="BNU24" s="92"/>
      <c r="BOC24" s="92"/>
      <c r="BOK24" s="92"/>
      <c r="BOS24" s="92"/>
      <c r="BPA24" s="92"/>
      <c r="BPI24" s="92"/>
      <c r="BPQ24" s="92"/>
      <c r="BPY24" s="92"/>
      <c r="BQG24" s="92"/>
      <c r="BQO24" s="92"/>
      <c r="BQW24" s="92"/>
      <c r="BRE24" s="92"/>
      <c r="BRM24" s="92"/>
      <c r="BRU24" s="92"/>
      <c r="BSC24" s="92"/>
      <c r="BSK24" s="92"/>
      <c r="BSS24" s="92"/>
      <c r="BTA24" s="92"/>
      <c r="BTI24" s="92"/>
      <c r="BTQ24" s="92"/>
      <c r="BTY24" s="92"/>
      <c r="BUG24" s="92"/>
      <c r="BUO24" s="92"/>
      <c r="BUW24" s="92"/>
      <c r="BVE24" s="92"/>
      <c r="BVM24" s="92"/>
      <c r="BVU24" s="92"/>
      <c r="BWC24" s="92"/>
      <c r="BWK24" s="92"/>
      <c r="BWS24" s="92"/>
      <c r="BXA24" s="92"/>
      <c r="BXI24" s="92"/>
      <c r="BXQ24" s="92"/>
      <c r="BXY24" s="92"/>
      <c r="BYG24" s="92"/>
      <c r="BYO24" s="92"/>
      <c r="BYW24" s="92"/>
      <c r="BZE24" s="92"/>
      <c r="BZM24" s="92"/>
      <c r="BZU24" s="92"/>
      <c r="CAC24" s="92"/>
      <c r="CAK24" s="92"/>
      <c r="CAS24" s="92"/>
      <c r="CBA24" s="92"/>
      <c r="CBI24" s="92"/>
      <c r="CBQ24" s="92"/>
      <c r="CBY24" s="92"/>
      <c r="CCG24" s="92"/>
      <c r="CCO24" s="92"/>
      <c r="CCW24" s="92"/>
      <c r="CDE24" s="92"/>
      <c r="CDM24" s="92"/>
      <c r="CDU24" s="92"/>
      <c r="CEC24" s="92"/>
      <c r="CEK24" s="92"/>
      <c r="CES24" s="92"/>
      <c r="CFA24" s="92"/>
      <c r="CFI24" s="92"/>
      <c r="CFQ24" s="92"/>
      <c r="CFY24" s="92"/>
      <c r="CGG24" s="92"/>
      <c r="CGO24" s="92"/>
      <c r="CGW24" s="92"/>
      <c r="CHE24" s="92"/>
      <c r="CHM24" s="92"/>
      <c r="CHU24" s="92"/>
      <c r="CIC24" s="92"/>
      <c r="CIK24" s="92"/>
      <c r="CIS24" s="92"/>
      <c r="CJA24" s="92"/>
      <c r="CJI24" s="92"/>
      <c r="CJQ24" s="92"/>
      <c r="CJY24" s="92"/>
      <c r="CKG24" s="92"/>
      <c r="CKO24" s="92"/>
      <c r="CKW24" s="92"/>
      <c r="CLE24" s="92"/>
      <c r="CLM24" s="92"/>
      <c r="CLU24" s="92"/>
      <c r="CMC24" s="92"/>
      <c r="CMK24" s="92"/>
      <c r="CMS24" s="92"/>
      <c r="CNA24" s="92"/>
      <c r="CNI24" s="92"/>
      <c r="CNQ24" s="92"/>
      <c r="CNY24" s="92"/>
      <c r="COG24" s="92"/>
      <c r="COO24" s="92"/>
      <c r="COW24" s="92"/>
      <c r="CPE24" s="92"/>
      <c r="CPM24" s="92"/>
      <c r="CPU24" s="92"/>
      <c r="CQC24" s="92"/>
      <c r="CQK24" s="92"/>
      <c r="CQS24" s="92"/>
      <c r="CRA24" s="92"/>
      <c r="CRI24" s="92"/>
      <c r="CRQ24" s="92"/>
      <c r="CRY24" s="92"/>
      <c r="CSG24" s="92"/>
      <c r="CSO24" s="92"/>
      <c r="CSW24" s="92"/>
      <c r="CTE24" s="92"/>
      <c r="CTM24" s="92"/>
      <c r="CTU24" s="92"/>
      <c r="CUC24" s="92"/>
      <c r="CUK24" s="92"/>
      <c r="CUS24" s="92"/>
      <c r="CVA24" s="92"/>
      <c r="CVI24" s="92"/>
      <c r="CVQ24" s="92"/>
      <c r="CVY24" s="92"/>
      <c r="CWG24" s="92"/>
      <c r="CWO24" s="92"/>
      <c r="CWW24" s="92"/>
      <c r="CXE24" s="92"/>
      <c r="CXM24" s="92"/>
      <c r="CXU24" s="92"/>
      <c r="CYC24" s="92"/>
      <c r="CYK24" s="92"/>
      <c r="CYS24" s="92"/>
      <c r="CZA24" s="92"/>
      <c r="CZI24" s="92"/>
      <c r="CZQ24" s="92"/>
      <c r="CZY24" s="92"/>
      <c r="DAG24" s="92"/>
      <c r="DAO24" s="92"/>
      <c r="DAW24" s="92"/>
      <c r="DBE24" s="92"/>
      <c r="DBM24" s="92"/>
      <c r="DBU24" s="92"/>
      <c r="DCC24" s="92"/>
      <c r="DCK24" s="92"/>
      <c r="DCS24" s="92"/>
      <c r="DDA24" s="92"/>
      <c r="DDI24" s="92"/>
      <c r="DDQ24" s="92"/>
      <c r="DDY24" s="92"/>
      <c r="DEG24" s="92"/>
      <c r="DEO24" s="92"/>
      <c r="DEW24" s="92"/>
      <c r="DFE24" s="92"/>
      <c r="DFM24" s="92"/>
      <c r="DFU24" s="92"/>
      <c r="DGC24" s="92"/>
      <c r="DGK24" s="92"/>
      <c r="DGS24" s="92"/>
      <c r="DHA24" s="92"/>
      <c r="DHI24" s="92"/>
      <c r="DHQ24" s="92"/>
      <c r="DHY24" s="92"/>
      <c r="DIG24" s="92"/>
      <c r="DIO24" s="92"/>
      <c r="DIW24" s="92"/>
      <c r="DJE24" s="92"/>
      <c r="DJM24" s="92"/>
      <c r="DJU24" s="92"/>
      <c r="DKC24" s="92"/>
      <c r="DKK24" s="92"/>
      <c r="DKS24" s="92"/>
      <c r="DLA24" s="92"/>
      <c r="DLI24" s="92"/>
      <c r="DLQ24" s="92"/>
      <c r="DLY24" s="92"/>
      <c r="DMG24" s="92"/>
      <c r="DMO24" s="92"/>
      <c r="DMW24" s="92"/>
      <c r="DNE24" s="92"/>
      <c r="DNM24" s="92"/>
      <c r="DNU24" s="92"/>
      <c r="DOC24" s="92"/>
      <c r="DOK24" s="92"/>
      <c r="DOS24" s="92"/>
      <c r="DPA24" s="92"/>
      <c r="DPI24" s="92"/>
      <c r="DPQ24" s="92"/>
      <c r="DPY24" s="92"/>
      <c r="DQG24" s="92"/>
      <c r="DQO24" s="92"/>
      <c r="DQW24" s="92"/>
      <c r="DRE24" s="92"/>
      <c r="DRM24" s="92"/>
      <c r="DRU24" s="92"/>
      <c r="DSC24" s="92"/>
      <c r="DSK24" s="92"/>
      <c r="DSS24" s="92"/>
      <c r="DTA24" s="92"/>
      <c r="DTI24" s="92"/>
      <c r="DTQ24" s="92"/>
      <c r="DTY24" s="92"/>
      <c r="DUG24" s="92"/>
      <c r="DUO24" s="92"/>
      <c r="DUW24" s="92"/>
      <c r="DVE24" s="92"/>
      <c r="DVM24" s="92"/>
      <c r="DVU24" s="92"/>
      <c r="DWC24" s="92"/>
      <c r="DWK24" s="92"/>
      <c r="DWS24" s="92"/>
      <c r="DXA24" s="92"/>
      <c r="DXI24" s="92"/>
      <c r="DXQ24" s="92"/>
      <c r="DXY24" s="92"/>
      <c r="DYG24" s="92"/>
      <c r="DYO24" s="92"/>
      <c r="DYW24" s="92"/>
      <c r="DZE24" s="92"/>
      <c r="DZM24" s="92"/>
      <c r="DZU24" s="92"/>
      <c r="EAC24" s="92"/>
      <c r="EAK24" s="92"/>
      <c r="EAS24" s="92"/>
      <c r="EBA24" s="92"/>
      <c r="EBI24" s="92"/>
      <c r="EBQ24" s="92"/>
      <c r="EBY24" s="92"/>
      <c r="ECG24" s="92"/>
      <c r="ECO24" s="92"/>
      <c r="ECW24" s="92"/>
      <c r="EDE24" s="92"/>
      <c r="EDM24" s="92"/>
      <c r="EDU24" s="92"/>
      <c r="EEC24" s="92"/>
      <c r="EEK24" s="92"/>
      <c r="EES24" s="92"/>
      <c r="EFA24" s="92"/>
      <c r="EFI24" s="92"/>
      <c r="EFQ24" s="92"/>
      <c r="EFY24" s="92"/>
      <c r="EGG24" s="92"/>
      <c r="EGO24" s="92"/>
      <c r="EGW24" s="92"/>
      <c r="EHE24" s="92"/>
      <c r="EHM24" s="92"/>
      <c r="EHU24" s="92"/>
      <c r="EIC24" s="92"/>
      <c r="EIK24" s="92"/>
      <c r="EIS24" s="92"/>
      <c r="EJA24" s="92"/>
      <c r="EJI24" s="92"/>
      <c r="EJQ24" s="92"/>
      <c r="EJY24" s="92"/>
      <c r="EKG24" s="92"/>
      <c r="EKO24" s="92"/>
      <c r="EKW24" s="92"/>
      <c r="ELE24" s="92"/>
      <c r="ELM24" s="92"/>
      <c r="ELU24" s="92"/>
      <c r="EMC24" s="92"/>
      <c r="EMK24" s="92"/>
      <c r="EMS24" s="92"/>
      <c r="ENA24" s="92"/>
      <c r="ENI24" s="92"/>
      <c r="ENQ24" s="92"/>
      <c r="ENY24" s="92"/>
      <c r="EOG24" s="92"/>
      <c r="EOO24" s="92"/>
      <c r="EOW24" s="92"/>
      <c r="EPE24" s="92"/>
      <c r="EPM24" s="92"/>
      <c r="EPU24" s="92"/>
      <c r="EQC24" s="92"/>
      <c r="EQK24" s="92"/>
      <c r="EQS24" s="92"/>
      <c r="ERA24" s="92"/>
      <c r="ERI24" s="92"/>
      <c r="ERQ24" s="92"/>
      <c r="ERY24" s="92"/>
      <c r="ESG24" s="92"/>
      <c r="ESO24" s="92"/>
      <c r="ESW24" s="92"/>
      <c r="ETE24" s="92"/>
      <c r="ETM24" s="92"/>
      <c r="ETU24" s="92"/>
      <c r="EUC24" s="92"/>
      <c r="EUK24" s="92"/>
      <c r="EUS24" s="92"/>
      <c r="EVA24" s="92"/>
      <c r="EVI24" s="92"/>
      <c r="EVQ24" s="92"/>
      <c r="EVY24" s="92"/>
      <c r="EWG24" s="92"/>
      <c r="EWO24" s="92"/>
      <c r="EWW24" s="92"/>
      <c r="EXE24" s="92"/>
      <c r="EXM24" s="92"/>
      <c r="EXU24" s="92"/>
      <c r="EYC24" s="92"/>
      <c r="EYK24" s="92"/>
      <c r="EYS24" s="92"/>
      <c r="EZA24" s="92"/>
      <c r="EZI24" s="92"/>
      <c r="EZQ24" s="92"/>
      <c r="EZY24" s="92"/>
      <c r="FAG24" s="92"/>
      <c r="FAO24" s="92"/>
      <c r="FAW24" s="92"/>
      <c r="FBE24" s="92"/>
      <c r="FBM24" s="92"/>
      <c r="FBU24" s="92"/>
      <c r="FCC24" s="92"/>
      <c r="FCK24" s="92"/>
      <c r="FCS24" s="92"/>
      <c r="FDA24" s="92"/>
      <c r="FDI24" s="92"/>
      <c r="FDQ24" s="92"/>
      <c r="FDY24" s="92"/>
      <c r="FEG24" s="92"/>
      <c r="FEO24" s="92"/>
      <c r="FEW24" s="92"/>
      <c r="FFE24" s="92"/>
      <c r="FFM24" s="92"/>
      <c r="FFU24" s="92"/>
      <c r="FGC24" s="92"/>
      <c r="FGK24" s="92"/>
      <c r="FGS24" s="92"/>
      <c r="FHA24" s="92"/>
      <c r="FHI24" s="92"/>
      <c r="FHQ24" s="92"/>
      <c r="FHY24" s="92"/>
      <c r="FIG24" s="92"/>
      <c r="FIO24" s="92"/>
      <c r="FIW24" s="92"/>
      <c r="FJE24" s="92"/>
      <c r="FJM24" s="92"/>
      <c r="FJU24" s="92"/>
      <c r="FKC24" s="92"/>
      <c r="FKK24" s="92"/>
      <c r="FKS24" s="92"/>
      <c r="FLA24" s="92"/>
      <c r="FLI24" s="92"/>
      <c r="FLQ24" s="92"/>
      <c r="FLY24" s="92"/>
      <c r="FMG24" s="92"/>
      <c r="FMO24" s="92"/>
      <c r="FMW24" s="92"/>
      <c r="FNE24" s="92"/>
      <c r="FNM24" s="92"/>
      <c r="FNU24" s="92"/>
      <c r="FOC24" s="92"/>
      <c r="FOK24" s="92"/>
      <c r="FOS24" s="92"/>
      <c r="FPA24" s="92"/>
      <c r="FPI24" s="92"/>
      <c r="FPQ24" s="92"/>
      <c r="FPY24" s="92"/>
      <c r="FQG24" s="92"/>
      <c r="FQO24" s="92"/>
      <c r="FQW24" s="92"/>
      <c r="FRE24" s="92"/>
      <c r="FRM24" s="92"/>
      <c r="FRU24" s="92"/>
      <c r="FSC24" s="92"/>
      <c r="FSK24" s="92"/>
      <c r="FSS24" s="92"/>
      <c r="FTA24" s="92"/>
      <c r="FTI24" s="92"/>
      <c r="FTQ24" s="92"/>
      <c r="FTY24" s="92"/>
      <c r="FUG24" s="92"/>
      <c r="FUO24" s="92"/>
      <c r="FUW24" s="92"/>
      <c r="FVE24" s="92"/>
      <c r="FVM24" s="92"/>
      <c r="FVU24" s="92"/>
      <c r="FWC24" s="92"/>
      <c r="FWK24" s="92"/>
      <c r="FWS24" s="92"/>
      <c r="FXA24" s="92"/>
      <c r="FXI24" s="92"/>
      <c r="FXQ24" s="92"/>
      <c r="FXY24" s="92"/>
      <c r="FYG24" s="92"/>
      <c r="FYO24" s="92"/>
      <c r="FYW24" s="92"/>
      <c r="FZE24" s="92"/>
      <c r="FZM24" s="92"/>
      <c r="FZU24" s="92"/>
      <c r="GAC24" s="92"/>
      <c r="GAK24" s="92"/>
      <c r="GAS24" s="92"/>
      <c r="GBA24" s="92"/>
      <c r="GBI24" s="92"/>
      <c r="GBQ24" s="92"/>
      <c r="GBY24" s="92"/>
      <c r="GCG24" s="92"/>
      <c r="GCO24" s="92"/>
      <c r="GCW24" s="92"/>
      <c r="GDE24" s="92"/>
      <c r="GDM24" s="92"/>
      <c r="GDU24" s="92"/>
      <c r="GEC24" s="92"/>
      <c r="GEK24" s="92"/>
      <c r="GES24" s="92"/>
      <c r="GFA24" s="92"/>
      <c r="GFI24" s="92"/>
      <c r="GFQ24" s="92"/>
      <c r="GFY24" s="92"/>
      <c r="GGG24" s="92"/>
      <c r="GGO24" s="92"/>
      <c r="GGW24" s="92"/>
      <c r="GHE24" s="92"/>
      <c r="GHM24" s="92"/>
      <c r="GHU24" s="92"/>
      <c r="GIC24" s="92"/>
      <c r="GIK24" s="92"/>
      <c r="GIS24" s="92"/>
      <c r="GJA24" s="92"/>
      <c r="GJI24" s="92"/>
      <c r="GJQ24" s="92"/>
      <c r="GJY24" s="92"/>
      <c r="GKG24" s="92"/>
      <c r="GKO24" s="92"/>
      <c r="GKW24" s="92"/>
      <c r="GLE24" s="92"/>
      <c r="GLM24" s="92"/>
      <c r="GLU24" s="92"/>
      <c r="GMC24" s="92"/>
      <c r="GMK24" s="92"/>
      <c r="GMS24" s="92"/>
      <c r="GNA24" s="92"/>
      <c r="GNI24" s="92"/>
      <c r="GNQ24" s="92"/>
      <c r="GNY24" s="92"/>
      <c r="GOG24" s="92"/>
      <c r="GOO24" s="92"/>
      <c r="GOW24" s="92"/>
      <c r="GPE24" s="92"/>
      <c r="GPM24" s="92"/>
      <c r="GPU24" s="92"/>
      <c r="GQC24" s="92"/>
      <c r="GQK24" s="92"/>
      <c r="GQS24" s="92"/>
      <c r="GRA24" s="92"/>
      <c r="GRI24" s="92"/>
      <c r="GRQ24" s="92"/>
      <c r="GRY24" s="92"/>
      <c r="GSG24" s="92"/>
      <c r="GSO24" s="92"/>
      <c r="GSW24" s="92"/>
      <c r="GTE24" s="92"/>
      <c r="GTM24" s="92"/>
      <c r="GTU24" s="92"/>
      <c r="GUC24" s="92"/>
      <c r="GUK24" s="92"/>
      <c r="GUS24" s="92"/>
      <c r="GVA24" s="92"/>
      <c r="GVI24" s="92"/>
      <c r="GVQ24" s="92"/>
      <c r="GVY24" s="92"/>
      <c r="GWG24" s="92"/>
      <c r="GWO24" s="92"/>
      <c r="GWW24" s="92"/>
      <c r="GXE24" s="92"/>
      <c r="GXM24" s="92"/>
      <c r="GXU24" s="92"/>
      <c r="GYC24" s="92"/>
      <c r="GYK24" s="92"/>
      <c r="GYS24" s="92"/>
      <c r="GZA24" s="92"/>
      <c r="GZI24" s="92"/>
      <c r="GZQ24" s="92"/>
      <c r="GZY24" s="92"/>
      <c r="HAG24" s="92"/>
      <c r="HAO24" s="92"/>
      <c r="HAW24" s="92"/>
      <c r="HBE24" s="92"/>
      <c r="HBM24" s="92"/>
      <c r="HBU24" s="92"/>
      <c r="HCC24" s="92"/>
      <c r="HCK24" s="92"/>
      <c r="HCS24" s="92"/>
      <c r="HDA24" s="92"/>
      <c r="HDI24" s="92"/>
      <c r="HDQ24" s="92"/>
      <c r="HDY24" s="92"/>
      <c r="HEG24" s="92"/>
      <c r="HEO24" s="92"/>
      <c r="HEW24" s="92"/>
      <c r="HFE24" s="92"/>
      <c r="HFM24" s="92"/>
      <c r="HFU24" s="92"/>
      <c r="HGC24" s="92"/>
      <c r="HGK24" s="92"/>
      <c r="HGS24" s="92"/>
      <c r="HHA24" s="92"/>
      <c r="HHI24" s="92"/>
      <c r="HHQ24" s="92"/>
      <c r="HHY24" s="92"/>
      <c r="HIG24" s="92"/>
      <c r="HIO24" s="92"/>
      <c r="HIW24" s="92"/>
      <c r="HJE24" s="92"/>
      <c r="HJM24" s="92"/>
      <c r="HJU24" s="92"/>
      <c r="HKC24" s="92"/>
      <c r="HKK24" s="92"/>
      <c r="HKS24" s="92"/>
      <c r="HLA24" s="92"/>
      <c r="HLI24" s="92"/>
      <c r="HLQ24" s="92"/>
      <c r="HLY24" s="92"/>
      <c r="HMG24" s="92"/>
      <c r="HMO24" s="92"/>
      <c r="HMW24" s="92"/>
      <c r="HNE24" s="92"/>
      <c r="HNM24" s="92"/>
      <c r="HNU24" s="92"/>
      <c r="HOC24" s="92"/>
      <c r="HOK24" s="92"/>
      <c r="HOS24" s="92"/>
      <c r="HPA24" s="92"/>
      <c r="HPI24" s="92"/>
      <c r="HPQ24" s="92"/>
      <c r="HPY24" s="92"/>
      <c r="HQG24" s="92"/>
      <c r="HQO24" s="92"/>
      <c r="HQW24" s="92"/>
      <c r="HRE24" s="92"/>
      <c r="HRM24" s="92"/>
      <c r="HRU24" s="92"/>
      <c r="HSC24" s="92"/>
      <c r="HSK24" s="92"/>
      <c r="HSS24" s="92"/>
      <c r="HTA24" s="92"/>
      <c r="HTI24" s="92"/>
      <c r="HTQ24" s="92"/>
      <c r="HTY24" s="92"/>
      <c r="HUG24" s="92"/>
      <c r="HUO24" s="92"/>
      <c r="HUW24" s="92"/>
      <c r="HVE24" s="92"/>
      <c r="HVM24" s="92"/>
      <c r="HVU24" s="92"/>
      <c r="HWC24" s="92"/>
      <c r="HWK24" s="92"/>
      <c r="HWS24" s="92"/>
      <c r="HXA24" s="92"/>
      <c r="HXI24" s="92"/>
      <c r="HXQ24" s="92"/>
      <c r="HXY24" s="92"/>
      <c r="HYG24" s="92"/>
      <c r="HYO24" s="92"/>
      <c r="HYW24" s="92"/>
      <c r="HZE24" s="92"/>
      <c r="HZM24" s="92"/>
      <c r="HZU24" s="92"/>
      <c r="IAC24" s="92"/>
      <c r="IAK24" s="92"/>
      <c r="IAS24" s="92"/>
      <c r="IBA24" s="92"/>
      <c r="IBI24" s="92"/>
      <c r="IBQ24" s="92"/>
      <c r="IBY24" s="92"/>
      <c r="ICG24" s="92"/>
      <c r="ICO24" s="92"/>
      <c r="ICW24" s="92"/>
      <c r="IDE24" s="92"/>
      <c r="IDM24" s="92"/>
      <c r="IDU24" s="92"/>
      <c r="IEC24" s="92"/>
      <c r="IEK24" s="92"/>
      <c r="IES24" s="92"/>
      <c r="IFA24" s="92"/>
      <c r="IFI24" s="92"/>
      <c r="IFQ24" s="92"/>
      <c r="IFY24" s="92"/>
      <c r="IGG24" s="92"/>
      <c r="IGO24" s="92"/>
      <c r="IGW24" s="92"/>
      <c r="IHE24" s="92"/>
      <c r="IHM24" s="92"/>
      <c r="IHU24" s="92"/>
      <c r="IIC24" s="92"/>
      <c r="IIK24" s="92"/>
      <c r="IIS24" s="92"/>
      <c r="IJA24" s="92"/>
      <c r="IJI24" s="92"/>
      <c r="IJQ24" s="92"/>
      <c r="IJY24" s="92"/>
      <c r="IKG24" s="92"/>
      <c r="IKO24" s="92"/>
      <c r="IKW24" s="92"/>
      <c r="ILE24" s="92"/>
      <c r="ILM24" s="92"/>
      <c r="ILU24" s="92"/>
      <c r="IMC24" s="92"/>
      <c r="IMK24" s="92"/>
      <c r="IMS24" s="92"/>
      <c r="INA24" s="92"/>
      <c r="INI24" s="92"/>
      <c r="INQ24" s="92"/>
      <c r="INY24" s="92"/>
      <c r="IOG24" s="92"/>
      <c r="IOO24" s="92"/>
      <c r="IOW24" s="92"/>
      <c r="IPE24" s="92"/>
      <c r="IPM24" s="92"/>
      <c r="IPU24" s="92"/>
      <c r="IQC24" s="92"/>
      <c r="IQK24" s="92"/>
      <c r="IQS24" s="92"/>
      <c r="IRA24" s="92"/>
      <c r="IRI24" s="92"/>
      <c r="IRQ24" s="92"/>
      <c r="IRY24" s="92"/>
      <c r="ISG24" s="92"/>
      <c r="ISO24" s="92"/>
      <c r="ISW24" s="92"/>
      <c r="ITE24" s="92"/>
      <c r="ITM24" s="92"/>
      <c r="ITU24" s="92"/>
      <c r="IUC24" s="92"/>
      <c r="IUK24" s="92"/>
      <c r="IUS24" s="92"/>
      <c r="IVA24" s="92"/>
      <c r="IVI24" s="92"/>
      <c r="IVQ24" s="92"/>
      <c r="IVY24" s="92"/>
      <c r="IWG24" s="92"/>
      <c r="IWO24" s="92"/>
      <c r="IWW24" s="92"/>
      <c r="IXE24" s="92"/>
      <c r="IXM24" s="92"/>
      <c r="IXU24" s="92"/>
      <c r="IYC24" s="92"/>
      <c r="IYK24" s="92"/>
      <c r="IYS24" s="92"/>
      <c r="IZA24" s="92"/>
      <c r="IZI24" s="92"/>
      <c r="IZQ24" s="92"/>
      <c r="IZY24" s="92"/>
      <c r="JAG24" s="92"/>
      <c r="JAO24" s="92"/>
      <c r="JAW24" s="92"/>
      <c r="JBE24" s="92"/>
      <c r="JBM24" s="92"/>
      <c r="JBU24" s="92"/>
      <c r="JCC24" s="92"/>
      <c r="JCK24" s="92"/>
      <c r="JCS24" s="92"/>
      <c r="JDA24" s="92"/>
      <c r="JDI24" s="92"/>
      <c r="JDQ24" s="92"/>
      <c r="JDY24" s="92"/>
      <c r="JEG24" s="92"/>
      <c r="JEO24" s="92"/>
      <c r="JEW24" s="92"/>
      <c r="JFE24" s="92"/>
      <c r="JFM24" s="92"/>
      <c r="JFU24" s="92"/>
      <c r="JGC24" s="92"/>
      <c r="JGK24" s="92"/>
      <c r="JGS24" s="92"/>
      <c r="JHA24" s="92"/>
      <c r="JHI24" s="92"/>
      <c r="JHQ24" s="92"/>
      <c r="JHY24" s="92"/>
      <c r="JIG24" s="92"/>
      <c r="JIO24" s="92"/>
      <c r="JIW24" s="92"/>
      <c r="JJE24" s="92"/>
      <c r="JJM24" s="92"/>
      <c r="JJU24" s="92"/>
      <c r="JKC24" s="92"/>
      <c r="JKK24" s="92"/>
      <c r="JKS24" s="92"/>
      <c r="JLA24" s="92"/>
      <c r="JLI24" s="92"/>
      <c r="JLQ24" s="92"/>
      <c r="JLY24" s="92"/>
      <c r="JMG24" s="92"/>
      <c r="JMO24" s="92"/>
      <c r="JMW24" s="92"/>
      <c r="JNE24" s="92"/>
      <c r="JNM24" s="92"/>
      <c r="JNU24" s="92"/>
      <c r="JOC24" s="92"/>
      <c r="JOK24" s="92"/>
      <c r="JOS24" s="92"/>
      <c r="JPA24" s="92"/>
      <c r="JPI24" s="92"/>
      <c r="JPQ24" s="92"/>
      <c r="JPY24" s="92"/>
      <c r="JQG24" s="92"/>
      <c r="JQO24" s="92"/>
      <c r="JQW24" s="92"/>
      <c r="JRE24" s="92"/>
      <c r="JRM24" s="92"/>
      <c r="JRU24" s="92"/>
      <c r="JSC24" s="92"/>
      <c r="JSK24" s="92"/>
      <c r="JSS24" s="92"/>
      <c r="JTA24" s="92"/>
      <c r="JTI24" s="92"/>
      <c r="JTQ24" s="92"/>
      <c r="JTY24" s="92"/>
      <c r="JUG24" s="92"/>
      <c r="JUO24" s="92"/>
      <c r="JUW24" s="92"/>
      <c r="JVE24" s="92"/>
      <c r="JVM24" s="92"/>
      <c r="JVU24" s="92"/>
      <c r="JWC24" s="92"/>
      <c r="JWK24" s="92"/>
      <c r="JWS24" s="92"/>
      <c r="JXA24" s="92"/>
      <c r="JXI24" s="92"/>
      <c r="JXQ24" s="92"/>
      <c r="JXY24" s="92"/>
      <c r="JYG24" s="92"/>
      <c r="JYO24" s="92"/>
      <c r="JYW24" s="92"/>
      <c r="JZE24" s="92"/>
      <c r="JZM24" s="92"/>
      <c r="JZU24" s="92"/>
      <c r="KAC24" s="92"/>
      <c r="KAK24" s="92"/>
      <c r="KAS24" s="92"/>
      <c r="KBA24" s="92"/>
      <c r="KBI24" s="92"/>
      <c r="KBQ24" s="92"/>
      <c r="KBY24" s="92"/>
      <c r="KCG24" s="92"/>
      <c r="KCO24" s="92"/>
      <c r="KCW24" s="92"/>
      <c r="KDE24" s="92"/>
      <c r="KDM24" s="92"/>
      <c r="KDU24" s="92"/>
      <c r="KEC24" s="92"/>
      <c r="KEK24" s="92"/>
      <c r="KES24" s="92"/>
      <c r="KFA24" s="92"/>
      <c r="KFI24" s="92"/>
      <c r="KFQ24" s="92"/>
      <c r="KFY24" s="92"/>
      <c r="KGG24" s="92"/>
      <c r="KGO24" s="92"/>
      <c r="KGW24" s="92"/>
      <c r="KHE24" s="92"/>
      <c r="KHM24" s="92"/>
      <c r="KHU24" s="92"/>
      <c r="KIC24" s="92"/>
      <c r="KIK24" s="92"/>
      <c r="KIS24" s="92"/>
      <c r="KJA24" s="92"/>
      <c r="KJI24" s="92"/>
      <c r="KJQ24" s="92"/>
      <c r="KJY24" s="92"/>
      <c r="KKG24" s="92"/>
      <c r="KKO24" s="92"/>
      <c r="KKW24" s="92"/>
      <c r="KLE24" s="92"/>
      <c r="KLM24" s="92"/>
      <c r="KLU24" s="92"/>
      <c r="KMC24" s="92"/>
      <c r="KMK24" s="92"/>
      <c r="KMS24" s="92"/>
      <c r="KNA24" s="92"/>
      <c r="KNI24" s="92"/>
      <c r="KNQ24" s="92"/>
      <c r="KNY24" s="92"/>
      <c r="KOG24" s="92"/>
      <c r="KOO24" s="92"/>
      <c r="KOW24" s="92"/>
      <c r="KPE24" s="92"/>
      <c r="KPM24" s="92"/>
      <c r="KPU24" s="92"/>
      <c r="KQC24" s="92"/>
      <c r="KQK24" s="92"/>
      <c r="KQS24" s="92"/>
      <c r="KRA24" s="92"/>
      <c r="KRI24" s="92"/>
      <c r="KRQ24" s="92"/>
      <c r="KRY24" s="92"/>
      <c r="KSG24" s="92"/>
      <c r="KSO24" s="92"/>
      <c r="KSW24" s="92"/>
      <c r="KTE24" s="92"/>
      <c r="KTM24" s="92"/>
      <c r="KTU24" s="92"/>
      <c r="KUC24" s="92"/>
      <c r="KUK24" s="92"/>
      <c r="KUS24" s="92"/>
      <c r="KVA24" s="92"/>
      <c r="KVI24" s="92"/>
      <c r="KVQ24" s="92"/>
      <c r="KVY24" s="92"/>
      <c r="KWG24" s="92"/>
      <c r="KWO24" s="92"/>
      <c r="KWW24" s="92"/>
      <c r="KXE24" s="92"/>
      <c r="KXM24" s="92"/>
      <c r="KXU24" s="92"/>
      <c r="KYC24" s="92"/>
      <c r="KYK24" s="92"/>
      <c r="KYS24" s="92"/>
      <c r="KZA24" s="92"/>
      <c r="KZI24" s="92"/>
      <c r="KZQ24" s="92"/>
      <c r="KZY24" s="92"/>
      <c r="LAG24" s="92"/>
      <c r="LAO24" s="92"/>
      <c r="LAW24" s="92"/>
      <c r="LBE24" s="92"/>
      <c r="LBM24" s="92"/>
      <c r="LBU24" s="92"/>
      <c r="LCC24" s="92"/>
      <c r="LCK24" s="92"/>
      <c r="LCS24" s="92"/>
      <c r="LDA24" s="92"/>
      <c r="LDI24" s="92"/>
      <c r="LDQ24" s="92"/>
      <c r="LDY24" s="92"/>
      <c r="LEG24" s="92"/>
      <c r="LEO24" s="92"/>
      <c r="LEW24" s="92"/>
      <c r="LFE24" s="92"/>
      <c r="LFM24" s="92"/>
      <c r="LFU24" s="92"/>
      <c r="LGC24" s="92"/>
      <c r="LGK24" s="92"/>
      <c r="LGS24" s="92"/>
      <c r="LHA24" s="92"/>
      <c r="LHI24" s="92"/>
      <c r="LHQ24" s="92"/>
      <c r="LHY24" s="92"/>
      <c r="LIG24" s="92"/>
      <c r="LIO24" s="92"/>
      <c r="LIW24" s="92"/>
      <c r="LJE24" s="92"/>
      <c r="LJM24" s="92"/>
      <c r="LJU24" s="92"/>
      <c r="LKC24" s="92"/>
      <c r="LKK24" s="92"/>
      <c r="LKS24" s="92"/>
      <c r="LLA24" s="92"/>
      <c r="LLI24" s="92"/>
      <c r="LLQ24" s="92"/>
      <c r="LLY24" s="92"/>
      <c r="LMG24" s="92"/>
      <c r="LMO24" s="92"/>
      <c r="LMW24" s="92"/>
      <c r="LNE24" s="92"/>
      <c r="LNM24" s="92"/>
      <c r="LNU24" s="92"/>
      <c r="LOC24" s="92"/>
      <c r="LOK24" s="92"/>
      <c r="LOS24" s="92"/>
      <c r="LPA24" s="92"/>
      <c r="LPI24" s="92"/>
      <c r="LPQ24" s="92"/>
      <c r="LPY24" s="92"/>
      <c r="LQG24" s="92"/>
      <c r="LQO24" s="92"/>
      <c r="LQW24" s="92"/>
      <c r="LRE24" s="92"/>
      <c r="LRM24" s="92"/>
      <c r="LRU24" s="92"/>
      <c r="LSC24" s="92"/>
      <c r="LSK24" s="92"/>
      <c r="LSS24" s="92"/>
      <c r="LTA24" s="92"/>
      <c r="LTI24" s="92"/>
      <c r="LTQ24" s="92"/>
      <c r="LTY24" s="92"/>
      <c r="LUG24" s="92"/>
      <c r="LUO24" s="92"/>
      <c r="LUW24" s="92"/>
      <c r="LVE24" s="92"/>
      <c r="LVM24" s="92"/>
      <c r="LVU24" s="92"/>
      <c r="LWC24" s="92"/>
      <c r="LWK24" s="92"/>
      <c r="LWS24" s="92"/>
      <c r="LXA24" s="92"/>
      <c r="LXI24" s="92"/>
      <c r="LXQ24" s="92"/>
      <c r="LXY24" s="92"/>
      <c r="LYG24" s="92"/>
      <c r="LYO24" s="92"/>
      <c r="LYW24" s="92"/>
      <c r="LZE24" s="92"/>
      <c r="LZM24" s="92"/>
      <c r="LZU24" s="92"/>
      <c r="MAC24" s="92"/>
      <c r="MAK24" s="92"/>
      <c r="MAS24" s="92"/>
      <c r="MBA24" s="92"/>
      <c r="MBI24" s="92"/>
      <c r="MBQ24" s="92"/>
      <c r="MBY24" s="92"/>
      <c r="MCG24" s="92"/>
      <c r="MCO24" s="92"/>
      <c r="MCW24" s="92"/>
      <c r="MDE24" s="92"/>
      <c r="MDM24" s="92"/>
      <c r="MDU24" s="92"/>
      <c r="MEC24" s="92"/>
      <c r="MEK24" s="92"/>
      <c r="MES24" s="92"/>
      <c r="MFA24" s="92"/>
      <c r="MFI24" s="92"/>
      <c r="MFQ24" s="92"/>
      <c r="MFY24" s="92"/>
      <c r="MGG24" s="92"/>
      <c r="MGO24" s="92"/>
      <c r="MGW24" s="92"/>
      <c r="MHE24" s="92"/>
      <c r="MHM24" s="92"/>
      <c r="MHU24" s="92"/>
      <c r="MIC24" s="92"/>
      <c r="MIK24" s="92"/>
      <c r="MIS24" s="92"/>
      <c r="MJA24" s="92"/>
      <c r="MJI24" s="92"/>
      <c r="MJQ24" s="92"/>
      <c r="MJY24" s="92"/>
      <c r="MKG24" s="92"/>
      <c r="MKO24" s="92"/>
      <c r="MKW24" s="92"/>
      <c r="MLE24" s="92"/>
      <c r="MLM24" s="92"/>
      <c r="MLU24" s="92"/>
      <c r="MMC24" s="92"/>
      <c r="MMK24" s="92"/>
      <c r="MMS24" s="92"/>
      <c r="MNA24" s="92"/>
      <c r="MNI24" s="92"/>
      <c r="MNQ24" s="92"/>
      <c r="MNY24" s="92"/>
      <c r="MOG24" s="92"/>
      <c r="MOO24" s="92"/>
      <c r="MOW24" s="92"/>
      <c r="MPE24" s="92"/>
      <c r="MPM24" s="92"/>
      <c r="MPU24" s="92"/>
      <c r="MQC24" s="92"/>
      <c r="MQK24" s="92"/>
      <c r="MQS24" s="92"/>
      <c r="MRA24" s="92"/>
      <c r="MRI24" s="92"/>
      <c r="MRQ24" s="92"/>
      <c r="MRY24" s="92"/>
      <c r="MSG24" s="92"/>
      <c r="MSO24" s="92"/>
      <c r="MSW24" s="92"/>
      <c r="MTE24" s="92"/>
      <c r="MTM24" s="92"/>
      <c r="MTU24" s="92"/>
      <c r="MUC24" s="92"/>
      <c r="MUK24" s="92"/>
      <c r="MUS24" s="92"/>
      <c r="MVA24" s="92"/>
      <c r="MVI24" s="92"/>
      <c r="MVQ24" s="92"/>
      <c r="MVY24" s="92"/>
      <c r="MWG24" s="92"/>
      <c r="MWO24" s="92"/>
      <c r="MWW24" s="92"/>
      <c r="MXE24" s="92"/>
      <c r="MXM24" s="92"/>
      <c r="MXU24" s="92"/>
      <c r="MYC24" s="92"/>
      <c r="MYK24" s="92"/>
      <c r="MYS24" s="92"/>
      <c r="MZA24" s="92"/>
      <c r="MZI24" s="92"/>
      <c r="MZQ24" s="92"/>
      <c r="MZY24" s="92"/>
      <c r="NAG24" s="92"/>
      <c r="NAO24" s="92"/>
      <c r="NAW24" s="92"/>
      <c r="NBE24" s="92"/>
      <c r="NBM24" s="92"/>
      <c r="NBU24" s="92"/>
      <c r="NCC24" s="92"/>
      <c r="NCK24" s="92"/>
      <c r="NCS24" s="92"/>
      <c r="NDA24" s="92"/>
      <c r="NDI24" s="92"/>
      <c r="NDQ24" s="92"/>
      <c r="NDY24" s="92"/>
      <c r="NEG24" s="92"/>
      <c r="NEO24" s="92"/>
      <c r="NEW24" s="92"/>
      <c r="NFE24" s="92"/>
      <c r="NFM24" s="92"/>
      <c r="NFU24" s="92"/>
      <c r="NGC24" s="92"/>
      <c r="NGK24" s="92"/>
      <c r="NGS24" s="92"/>
      <c r="NHA24" s="92"/>
      <c r="NHI24" s="92"/>
      <c r="NHQ24" s="92"/>
      <c r="NHY24" s="92"/>
      <c r="NIG24" s="92"/>
      <c r="NIO24" s="92"/>
      <c r="NIW24" s="92"/>
      <c r="NJE24" s="92"/>
      <c r="NJM24" s="92"/>
      <c r="NJU24" s="92"/>
      <c r="NKC24" s="92"/>
      <c r="NKK24" s="92"/>
      <c r="NKS24" s="92"/>
      <c r="NLA24" s="92"/>
      <c r="NLI24" s="92"/>
      <c r="NLQ24" s="92"/>
      <c r="NLY24" s="92"/>
      <c r="NMG24" s="92"/>
      <c r="NMO24" s="92"/>
      <c r="NMW24" s="92"/>
      <c r="NNE24" s="92"/>
      <c r="NNM24" s="92"/>
      <c r="NNU24" s="92"/>
      <c r="NOC24" s="92"/>
      <c r="NOK24" s="92"/>
      <c r="NOS24" s="92"/>
      <c r="NPA24" s="92"/>
      <c r="NPI24" s="92"/>
      <c r="NPQ24" s="92"/>
      <c r="NPY24" s="92"/>
      <c r="NQG24" s="92"/>
      <c r="NQO24" s="92"/>
      <c r="NQW24" s="92"/>
      <c r="NRE24" s="92"/>
      <c r="NRM24" s="92"/>
      <c r="NRU24" s="92"/>
      <c r="NSC24" s="92"/>
      <c r="NSK24" s="92"/>
      <c r="NSS24" s="92"/>
      <c r="NTA24" s="92"/>
      <c r="NTI24" s="92"/>
      <c r="NTQ24" s="92"/>
      <c r="NTY24" s="92"/>
      <c r="NUG24" s="92"/>
      <c r="NUO24" s="92"/>
      <c r="NUW24" s="92"/>
      <c r="NVE24" s="92"/>
      <c r="NVM24" s="92"/>
      <c r="NVU24" s="92"/>
      <c r="NWC24" s="92"/>
      <c r="NWK24" s="92"/>
      <c r="NWS24" s="92"/>
      <c r="NXA24" s="92"/>
      <c r="NXI24" s="92"/>
      <c r="NXQ24" s="92"/>
      <c r="NXY24" s="92"/>
      <c r="NYG24" s="92"/>
      <c r="NYO24" s="92"/>
      <c r="NYW24" s="92"/>
      <c r="NZE24" s="92"/>
      <c r="NZM24" s="92"/>
      <c r="NZU24" s="92"/>
      <c r="OAC24" s="92"/>
      <c r="OAK24" s="92"/>
      <c r="OAS24" s="92"/>
      <c r="OBA24" s="92"/>
      <c r="OBI24" s="92"/>
      <c r="OBQ24" s="92"/>
      <c r="OBY24" s="92"/>
      <c r="OCG24" s="92"/>
      <c r="OCO24" s="92"/>
      <c r="OCW24" s="92"/>
      <c r="ODE24" s="92"/>
      <c r="ODM24" s="92"/>
      <c r="ODU24" s="92"/>
      <c r="OEC24" s="92"/>
      <c r="OEK24" s="92"/>
      <c r="OES24" s="92"/>
      <c r="OFA24" s="92"/>
      <c r="OFI24" s="92"/>
      <c r="OFQ24" s="92"/>
      <c r="OFY24" s="92"/>
      <c r="OGG24" s="92"/>
      <c r="OGO24" s="92"/>
      <c r="OGW24" s="92"/>
      <c r="OHE24" s="92"/>
      <c r="OHM24" s="92"/>
      <c r="OHU24" s="92"/>
      <c r="OIC24" s="92"/>
      <c r="OIK24" s="92"/>
      <c r="OIS24" s="92"/>
      <c r="OJA24" s="92"/>
      <c r="OJI24" s="92"/>
      <c r="OJQ24" s="92"/>
      <c r="OJY24" s="92"/>
      <c r="OKG24" s="92"/>
      <c r="OKO24" s="92"/>
      <c r="OKW24" s="92"/>
      <c r="OLE24" s="92"/>
      <c r="OLM24" s="92"/>
      <c r="OLU24" s="92"/>
      <c r="OMC24" s="92"/>
      <c r="OMK24" s="92"/>
      <c r="OMS24" s="92"/>
      <c r="ONA24" s="92"/>
      <c r="ONI24" s="92"/>
      <c r="ONQ24" s="92"/>
      <c r="ONY24" s="92"/>
      <c r="OOG24" s="92"/>
      <c r="OOO24" s="92"/>
      <c r="OOW24" s="92"/>
      <c r="OPE24" s="92"/>
      <c r="OPM24" s="92"/>
      <c r="OPU24" s="92"/>
      <c r="OQC24" s="92"/>
      <c r="OQK24" s="92"/>
      <c r="OQS24" s="92"/>
      <c r="ORA24" s="92"/>
      <c r="ORI24" s="92"/>
      <c r="ORQ24" s="92"/>
      <c r="ORY24" s="92"/>
      <c r="OSG24" s="92"/>
      <c r="OSO24" s="92"/>
      <c r="OSW24" s="92"/>
      <c r="OTE24" s="92"/>
      <c r="OTM24" s="92"/>
      <c r="OTU24" s="92"/>
      <c r="OUC24" s="92"/>
      <c r="OUK24" s="92"/>
      <c r="OUS24" s="92"/>
      <c r="OVA24" s="92"/>
      <c r="OVI24" s="92"/>
      <c r="OVQ24" s="92"/>
      <c r="OVY24" s="92"/>
      <c r="OWG24" s="92"/>
      <c r="OWO24" s="92"/>
      <c r="OWW24" s="92"/>
      <c r="OXE24" s="92"/>
      <c r="OXM24" s="92"/>
      <c r="OXU24" s="92"/>
      <c r="OYC24" s="92"/>
      <c r="OYK24" s="92"/>
      <c r="OYS24" s="92"/>
      <c r="OZA24" s="92"/>
      <c r="OZI24" s="92"/>
      <c r="OZQ24" s="92"/>
      <c r="OZY24" s="92"/>
      <c r="PAG24" s="92"/>
      <c r="PAO24" s="92"/>
      <c r="PAW24" s="92"/>
      <c r="PBE24" s="92"/>
      <c r="PBM24" s="92"/>
      <c r="PBU24" s="92"/>
      <c r="PCC24" s="92"/>
      <c r="PCK24" s="92"/>
      <c r="PCS24" s="92"/>
      <c r="PDA24" s="92"/>
      <c r="PDI24" s="92"/>
      <c r="PDQ24" s="92"/>
      <c r="PDY24" s="92"/>
      <c r="PEG24" s="92"/>
      <c r="PEO24" s="92"/>
      <c r="PEW24" s="92"/>
      <c r="PFE24" s="92"/>
      <c r="PFM24" s="92"/>
      <c r="PFU24" s="92"/>
      <c r="PGC24" s="92"/>
      <c r="PGK24" s="92"/>
      <c r="PGS24" s="92"/>
      <c r="PHA24" s="92"/>
      <c r="PHI24" s="92"/>
      <c r="PHQ24" s="92"/>
      <c r="PHY24" s="92"/>
      <c r="PIG24" s="92"/>
      <c r="PIO24" s="92"/>
      <c r="PIW24" s="92"/>
      <c r="PJE24" s="92"/>
      <c r="PJM24" s="92"/>
      <c r="PJU24" s="92"/>
      <c r="PKC24" s="92"/>
      <c r="PKK24" s="92"/>
      <c r="PKS24" s="92"/>
      <c r="PLA24" s="92"/>
      <c r="PLI24" s="92"/>
      <c r="PLQ24" s="92"/>
      <c r="PLY24" s="92"/>
      <c r="PMG24" s="92"/>
      <c r="PMO24" s="92"/>
      <c r="PMW24" s="92"/>
      <c r="PNE24" s="92"/>
      <c r="PNM24" s="92"/>
      <c r="PNU24" s="92"/>
      <c r="POC24" s="92"/>
      <c r="POK24" s="92"/>
      <c r="POS24" s="92"/>
      <c r="PPA24" s="92"/>
      <c r="PPI24" s="92"/>
      <c r="PPQ24" s="92"/>
      <c r="PPY24" s="92"/>
      <c r="PQG24" s="92"/>
      <c r="PQO24" s="92"/>
      <c r="PQW24" s="92"/>
      <c r="PRE24" s="92"/>
      <c r="PRM24" s="92"/>
      <c r="PRU24" s="92"/>
      <c r="PSC24" s="92"/>
      <c r="PSK24" s="92"/>
      <c r="PSS24" s="92"/>
      <c r="PTA24" s="92"/>
      <c r="PTI24" s="92"/>
      <c r="PTQ24" s="92"/>
      <c r="PTY24" s="92"/>
      <c r="PUG24" s="92"/>
      <c r="PUO24" s="92"/>
      <c r="PUW24" s="92"/>
      <c r="PVE24" s="92"/>
      <c r="PVM24" s="92"/>
      <c r="PVU24" s="92"/>
      <c r="PWC24" s="92"/>
      <c r="PWK24" s="92"/>
      <c r="PWS24" s="92"/>
      <c r="PXA24" s="92"/>
      <c r="PXI24" s="92"/>
      <c r="PXQ24" s="92"/>
      <c r="PXY24" s="92"/>
      <c r="PYG24" s="92"/>
      <c r="PYO24" s="92"/>
      <c r="PYW24" s="92"/>
      <c r="PZE24" s="92"/>
      <c r="PZM24" s="92"/>
      <c r="PZU24" s="92"/>
      <c r="QAC24" s="92"/>
      <c r="QAK24" s="92"/>
      <c r="QAS24" s="92"/>
      <c r="QBA24" s="92"/>
      <c r="QBI24" s="92"/>
      <c r="QBQ24" s="92"/>
      <c r="QBY24" s="92"/>
      <c r="QCG24" s="92"/>
      <c r="QCO24" s="92"/>
      <c r="QCW24" s="92"/>
      <c r="QDE24" s="92"/>
      <c r="QDM24" s="92"/>
      <c r="QDU24" s="92"/>
      <c r="QEC24" s="92"/>
      <c r="QEK24" s="92"/>
      <c r="QES24" s="92"/>
      <c r="QFA24" s="92"/>
      <c r="QFI24" s="92"/>
      <c r="QFQ24" s="92"/>
      <c r="QFY24" s="92"/>
      <c r="QGG24" s="92"/>
      <c r="QGO24" s="92"/>
      <c r="QGW24" s="92"/>
      <c r="QHE24" s="92"/>
      <c r="QHM24" s="92"/>
      <c r="QHU24" s="92"/>
      <c r="QIC24" s="92"/>
      <c r="QIK24" s="92"/>
      <c r="QIS24" s="92"/>
      <c r="QJA24" s="92"/>
      <c r="QJI24" s="92"/>
      <c r="QJQ24" s="92"/>
      <c r="QJY24" s="92"/>
      <c r="QKG24" s="92"/>
      <c r="QKO24" s="92"/>
      <c r="QKW24" s="92"/>
      <c r="QLE24" s="92"/>
      <c r="QLM24" s="92"/>
      <c r="QLU24" s="92"/>
      <c r="QMC24" s="92"/>
      <c r="QMK24" s="92"/>
      <c r="QMS24" s="92"/>
      <c r="QNA24" s="92"/>
      <c r="QNI24" s="92"/>
      <c r="QNQ24" s="92"/>
      <c r="QNY24" s="92"/>
      <c r="QOG24" s="92"/>
      <c r="QOO24" s="92"/>
      <c r="QOW24" s="92"/>
      <c r="QPE24" s="92"/>
      <c r="QPM24" s="92"/>
      <c r="QPU24" s="92"/>
      <c r="QQC24" s="92"/>
      <c r="QQK24" s="92"/>
      <c r="QQS24" s="92"/>
      <c r="QRA24" s="92"/>
      <c r="QRI24" s="92"/>
      <c r="QRQ24" s="92"/>
      <c r="QRY24" s="92"/>
      <c r="QSG24" s="92"/>
      <c r="QSO24" s="92"/>
      <c r="QSW24" s="92"/>
      <c r="QTE24" s="92"/>
      <c r="QTM24" s="92"/>
      <c r="QTU24" s="92"/>
      <c r="QUC24" s="92"/>
      <c r="QUK24" s="92"/>
      <c r="QUS24" s="92"/>
      <c r="QVA24" s="92"/>
      <c r="QVI24" s="92"/>
      <c r="QVQ24" s="92"/>
      <c r="QVY24" s="92"/>
      <c r="QWG24" s="92"/>
      <c r="QWO24" s="92"/>
      <c r="QWW24" s="92"/>
      <c r="QXE24" s="92"/>
      <c r="QXM24" s="92"/>
      <c r="QXU24" s="92"/>
      <c r="QYC24" s="92"/>
      <c r="QYK24" s="92"/>
      <c r="QYS24" s="92"/>
      <c r="QZA24" s="92"/>
      <c r="QZI24" s="92"/>
      <c r="QZQ24" s="92"/>
      <c r="QZY24" s="92"/>
      <c r="RAG24" s="92"/>
      <c r="RAO24" s="92"/>
      <c r="RAW24" s="92"/>
      <c r="RBE24" s="92"/>
      <c r="RBM24" s="92"/>
      <c r="RBU24" s="92"/>
      <c r="RCC24" s="92"/>
      <c r="RCK24" s="92"/>
      <c r="RCS24" s="92"/>
      <c r="RDA24" s="92"/>
      <c r="RDI24" s="92"/>
      <c r="RDQ24" s="92"/>
      <c r="RDY24" s="92"/>
      <c r="REG24" s="92"/>
      <c r="REO24" s="92"/>
      <c r="REW24" s="92"/>
      <c r="RFE24" s="92"/>
      <c r="RFM24" s="92"/>
      <c r="RFU24" s="92"/>
      <c r="RGC24" s="92"/>
      <c r="RGK24" s="92"/>
      <c r="RGS24" s="92"/>
      <c r="RHA24" s="92"/>
      <c r="RHI24" s="92"/>
      <c r="RHQ24" s="92"/>
      <c r="RHY24" s="92"/>
      <c r="RIG24" s="92"/>
      <c r="RIO24" s="92"/>
      <c r="RIW24" s="92"/>
      <c r="RJE24" s="92"/>
      <c r="RJM24" s="92"/>
      <c r="RJU24" s="92"/>
      <c r="RKC24" s="92"/>
      <c r="RKK24" s="92"/>
      <c r="RKS24" s="92"/>
      <c r="RLA24" s="92"/>
      <c r="RLI24" s="92"/>
      <c r="RLQ24" s="92"/>
      <c r="RLY24" s="92"/>
      <c r="RMG24" s="92"/>
      <c r="RMO24" s="92"/>
      <c r="RMW24" s="92"/>
      <c r="RNE24" s="92"/>
      <c r="RNM24" s="92"/>
      <c r="RNU24" s="92"/>
      <c r="ROC24" s="92"/>
      <c r="ROK24" s="92"/>
      <c r="ROS24" s="92"/>
      <c r="RPA24" s="92"/>
      <c r="RPI24" s="92"/>
      <c r="RPQ24" s="92"/>
      <c r="RPY24" s="92"/>
      <c r="RQG24" s="92"/>
      <c r="RQO24" s="92"/>
      <c r="RQW24" s="92"/>
      <c r="RRE24" s="92"/>
      <c r="RRM24" s="92"/>
      <c r="RRU24" s="92"/>
      <c r="RSC24" s="92"/>
      <c r="RSK24" s="92"/>
      <c r="RSS24" s="92"/>
      <c r="RTA24" s="92"/>
      <c r="RTI24" s="92"/>
      <c r="RTQ24" s="92"/>
      <c r="RTY24" s="92"/>
      <c r="RUG24" s="92"/>
      <c r="RUO24" s="92"/>
      <c r="RUW24" s="92"/>
      <c r="RVE24" s="92"/>
      <c r="RVM24" s="92"/>
      <c r="RVU24" s="92"/>
      <c r="RWC24" s="92"/>
      <c r="RWK24" s="92"/>
      <c r="RWS24" s="92"/>
      <c r="RXA24" s="92"/>
      <c r="RXI24" s="92"/>
      <c r="RXQ24" s="92"/>
      <c r="RXY24" s="92"/>
      <c r="RYG24" s="92"/>
      <c r="RYO24" s="92"/>
      <c r="RYW24" s="92"/>
      <c r="RZE24" s="92"/>
      <c r="RZM24" s="92"/>
      <c r="RZU24" s="92"/>
      <c r="SAC24" s="92"/>
      <c r="SAK24" s="92"/>
      <c r="SAS24" s="92"/>
      <c r="SBA24" s="92"/>
      <c r="SBI24" s="92"/>
      <c r="SBQ24" s="92"/>
      <c r="SBY24" s="92"/>
      <c r="SCG24" s="92"/>
      <c r="SCO24" s="92"/>
      <c r="SCW24" s="92"/>
      <c r="SDE24" s="92"/>
      <c r="SDM24" s="92"/>
      <c r="SDU24" s="92"/>
      <c r="SEC24" s="92"/>
      <c r="SEK24" s="92"/>
      <c r="SES24" s="92"/>
      <c r="SFA24" s="92"/>
      <c r="SFI24" s="92"/>
      <c r="SFQ24" s="92"/>
      <c r="SFY24" s="92"/>
      <c r="SGG24" s="92"/>
      <c r="SGO24" s="92"/>
      <c r="SGW24" s="92"/>
      <c r="SHE24" s="92"/>
      <c r="SHM24" s="92"/>
      <c r="SHU24" s="92"/>
      <c r="SIC24" s="92"/>
      <c r="SIK24" s="92"/>
      <c r="SIS24" s="92"/>
      <c r="SJA24" s="92"/>
      <c r="SJI24" s="92"/>
      <c r="SJQ24" s="92"/>
      <c r="SJY24" s="92"/>
      <c r="SKG24" s="92"/>
      <c r="SKO24" s="92"/>
      <c r="SKW24" s="92"/>
      <c r="SLE24" s="92"/>
      <c r="SLM24" s="92"/>
      <c r="SLU24" s="92"/>
      <c r="SMC24" s="92"/>
      <c r="SMK24" s="92"/>
      <c r="SMS24" s="92"/>
      <c r="SNA24" s="92"/>
      <c r="SNI24" s="92"/>
      <c r="SNQ24" s="92"/>
      <c r="SNY24" s="92"/>
      <c r="SOG24" s="92"/>
      <c r="SOO24" s="92"/>
      <c r="SOW24" s="92"/>
      <c r="SPE24" s="92"/>
      <c r="SPM24" s="92"/>
      <c r="SPU24" s="92"/>
      <c r="SQC24" s="92"/>
      <c r="SQK24" s="92"/>
      <c r="SQS24" s="92"/>
      <c r="SRA24" s="92"/>
      <c r="SRI24" s="92"/>
      <c r="SRQ24" s="92"/>
      <c r="SRY24" s="92"/>
      <c r="SSG24" s="92"/>
      <c r="SSO24" s="92"/>
      <c r="SSW24" s="92"/>
      <c r="STE24" s="92"/>
      <c r="STM24" s="92"/>
      <c r="STU24" s="92"/>
      <c r="SUC24" s="92"/>
      <c r="SUK24" s="92"/>
      <c r="SUS24" s="92"/>
      <c r="SVA24" s="92"/>
      <c r="SVI24" s="92"/>
      <c r="SVQ24" s="92"/>
      <c r="SVY24" s="92"/>
      <c r="SWG24" s="92"/>
      <c r="SWO24" s="92"/>
      <c r="SWW24" s="92"/>
      <c r="SXE24" s="92"/>
      <c r="SXM24" s="92"/>
      <c r="SXU24" s="92"/>
      <c r="SYC24" s="92"/>
      <c r="SYK24" s="92"/>
      <c r="SYS24" s="92"/>
      <c r="SZA24" s="92"/>
      <c r="SZI24" s="92"/>
      <c r="SZQ24" s="92"/>
      <c r="SZY24" s="92"/>
      <c r="TAG24" s="92"/>
      <c r="TAO24" s="92"/>
      <c r="TAW24" s="92"/>
      <c r="TBE24" s="92"/>
      <c r="TBM24" s="92"/>
      <c r="TBU24" s="92"/>
      <c r="TCC24" s="92"/>
      <c r="TCK24" s="92"/>
      <c r="TCS24" s="92"/>
      <c r="TDA24" s="92"/>
      <c r="TDI24" s="92"/>
      <c r="TDQ24" s="92"/>
      <c r="TDY24" s="92"/>
      <c r="TEG24" s="92"/>
      <c r="TEO24" s="92"/>
      <c r="TEW24" s="92"/>
      <c r="TFE24" s="92"/>
      <c r="TFM24" s="92"/>
      <c r="TFU24" s="92"/>
      <c r="TGC24" s="92"/>
      <c r="TGK24" s="92"/>
      <c r="TGS24" s="92"/>
      <c r="THA24" s="92"/>
      <c r="THI24" s="92"/>
      <c r="THQ24" s="92"/>
      <c r="THY24" s="92"/>
      <c r="TIG24" s="92"/>
      <c r="TIO24" s="92"/>
      <c r="TIW24" s="92"/>
      <c r="TJE24" s="92"/>
      <c r="TJM24" s="92"/>
      <c r="TJU24" s="92"/>
      <c r="TKC24" s="92"/>
      <c r="TKK24" s="92"/>
      <c r="TKS24" s="92"/>
      <c r="TLA24" s="92"/>
      <c r="TLI24" s="92"/>
      <c r="TLQ24" s="92"/>
      <c r="TLY24" s="92"/>
      <c r="TMG24" s="92"/>
      <c r="TMO24" s="92"/>
      <c r="TMW24" s="92"/>
      <c r="TNE24" s="92"/>
      <c r="TNM24" s="92"/>
      <c r="TNU24" s="92"/>
      <c r="TOC24" s="92"/>
      <c r="TOK24" s="92"/>
      <c r="TOS24" s="92"/>
      <c r="TPA24" s="92"/>
      <c r="TPI24" s="92"/>
      <c r="TPQ24" s="92"/>
      <c r="TPY24" s="92"/>
      <c r="TQG24" s="92"/>
      <c r="TQO24" s="92"/>
      <c r="TQW24" s="92"/>
      <c r="TRE24" s="92"/>
      <c r="TRM24" s="92"/>
      <c r="TRU24" s="92"/>
      <c r="TSC24" s="92"/>
      <c r="TSK24" s="92"/>
      <c r="TSS24" s="92"/>
      <c r="TTA24" s="92"/>
      <c r="TTI24" s="92"/>
      <c r="TTQ24" s="92"/>
      <c r="TTY24" s="92"/>
      <c r="TUG24" s="92"/>
      <c r="TUO24" s="92"/>
      <c r="TUW24" s="92"/>
      <c r="TVE24" s="92"/>
      <c r="TVM24" s="92"/>
      <c r="TVU24" s="92"/>
      <c r="TWC24" s="92"/>
      <c r="TWK24" s="92"/>
      <c r="TWS24" s="92"/>
      <c r="TXA24" s="92"/>
      <c r="TXI24" s="92"/>
      <c r="TXQ24" s="92"/>
      <c r="TXY24" s="92"/>
      <c r="TYG24" s="92"/>
      <c r="TYO24" s="92"/>
      <c r="TYW24" s="92"/>
      <c r="TZE24" s="92"/>
      <c r="TZM24" s="92"/>
      <c r="TZU24" s="92"/>
      <c r="UAC24" s="92"/>
      <c r="UAK24" s="92"/>
      <c r="UAS24" s="92"/>
      <c r="UBA24" s="92"/>
      <c r="UBI24" s="92"/>
      <c r="UBQ24" s="92"/>
      <c r="UBY24" s="92"/>
      <c r="UCG24" s="92"/>
      <c r="UCO24" s="92"/>
      <c r="UCW24" s="92"/>
      <c r="UDE24" s="92"/>
      <c r="UDM24" s="92"/>
      <c r="UDU24" s="92"/>
      <c r="UEC24" s="92"/>
      <c r="UEK24" s="92"/>
      <c r="UES24" s="92"/>
      <c r="UFA24" s="92"/>
      <c r="UFI24" s="92"/>
      <c r="UFQ24" s="92"/>
      <c r="UFY24" s="92"/>
      <c r="UGG24" s="92"/>
      <c r="UGO24" s="92"/>
      <c r="UGW24" s="92"/>
      <c r="UHE24" s="92"/>
      <c r="UHM24" s="92"/>
      <c r="UHU24" s="92"/>
      <c r="UIC24" s="92"/>
      <c r="UIK24" s="92"/>
      <c r="UIS24" s="92"/>
      <c r="UJA24" s="92"/>
      <c r="UJI24" s="92"/>
      <c r="UJQ24" s="92"/>
      <c r="UJY24" s="92"/>
      <c r="UKG24" s="92"/>
      <c r="UKO24" s="92"/>
      <c r="UKW24" s="92"/>
      <c r="ULE24" s="92"/>
      <c r="ULM24" s="92"/>
      <c r="ULU24" s="92"/>
      <c r="UMC24" s="92"/>
      <c r="UMK24" s="92"/>
      <c r="UMS24" s="92"/>
      <c r="UNA24" s="92"/>
      <c r="UNI24" s="92"/>
      <c r="UNQ24" s="92"/>
      <c r="UNY24" s="92"/>
      <c r="UOG24" s="92"/>
      <c r="UOO24" s="92"/>
      <c r="UOW24" s="92"/>
      <c r="UPE24" s="92"/>
      <c r="UPM24" s="92"/>
      <c r="UPU24" s="92"/>
      <c r="UQC24" s="92"/>
      <c r="UQK24" s="92"/>
      <c r="UQS24" s="92"/>
      <c r="URA24" s="92"/>
      <c r="URI24" s="92"/>
      <c r="URQ24" s="92"/>
      <c r="URY24" s="92"/>
      <c r="USG24" s="92"/>
      <c r="USO24" s="92"/>
      <c r="USW24" s="92"/>
      <c r="UTE24" s="92"/>
      <c r="UTM24" s="92"/>
      <c r="UTU24" s="92"/>
      <c r="UUC24" s="92"/>
      <c r="UUK24" s="92"/>
      <c r="UUS24" s="92"/>
      <c r="UVA24" s="92"/>
      <c r="UVI24" s="92"/>
      <c r="UVQ24" s="92"/>
      <c r="UVY24" s="92"/>
      <c r="UWG24" s="92"/>
      <c r="UWO24" s="92"/>
      <c r="UWW24" s="92"/>
      <c r="UXE24" s="92"/>
      <c r="UXM24" s="92"/>
      <c r="UXU24" s="92"/>
      <c r="UYC24" s="92"/>
      <c r="UYK24" s="92"/>
      <c r="UYS24" s="92"/>
      <c r="UZA24" s="92"/>
      <c r="UZI24" s="92"/>
      <c r="UZQ24" s="92"/>
      <c r="UZY24" s="92"/>
      <c r="VAG24" s="92"/>
      <c r="VAO24" s="92"/>
      <c r="VAW24" s="92"/>
      <c r="VBE24" s="92"/>
      <c r="VBM24" s="92"/>
      <c r="VBU24" s="92"/>
      <c r="VCC24" s="92"/>
      <c r="VCK24" s="92"/>
      <c r="VCS24" s="92"/>
      <c r="VDA24" s="92"/>
      <c r="VDI24" s="92"/>
      <c r="VDQ24" s="92"/>
      <c r="VDY24" s="92"/>
      <c r="VEG24" s="92"/>
      <c r="VEO24" s="92"/>
      <c r="VEW24" s="92"/>
      <c r="VFE24" s="92"/>
      <c r="VFM24" s="92"/>
      <c r="VFU24" s="92"/>
      <c r="VGC24" s="92"/>
      <c r="VGK24" s="92"/>
      <c r="VGS24" s="92"/>
      <c r="VHA24" s="92"/>
      <c r="VHI24" s="92"/>
      <c r="VHQ24" s="92"/>
      <c r="VHY24" s="92"/>
      <c r="VIG24" s="92"/>
      <c r="VIO24" s="92"/>
      <c r="VIW24" s="92"/>
      <c r="VJE24" s="92"/>
      <c r="VJM24" s="92"/>
      <c r="VJU24" s="92"/>
      <c r="VKC24" s="92"/>
      <c r="VKK24" s="92"/>
      <c r="VKS24" s="92"/>
      <c r="VLA24" s="92"/>
      <c r="VLI24" s="92"/>
      <c r="VLQ24" s="92"/>
      <c r="VLY24" s="92"/>
      <c r="VMG24" s="92"/>
      <c r="VMO24" s="92"/>
      <c r="VMW24" s="92"/>
      <c r="VNE24" s="92"/>
      <c r="VNM24" s="92"/>
      <c r="VNU24" s="92"/>
      <c r="VOC24" s="92"/>
      <c r="VOK24" s="92"/>
      <c r="VOS24" s="92"/>
      <c r="VPA24" s="92"/>
      <c r="VPI24" s="92"/>
      <c r="VPQ24" s="92"/>
      <c r="VPY24" s="92"/>
      <c r="VQG24" s="92"/>
      <c r="VQO24" s="92"/>
      <c r="VQW24" s="92"/>
      <c r="VRE24" s="92"/>
      <c r="VRM24" s="92"/>
      <c r="VRU24" s="92"/>
      <c r="VSC24" s="92"/>
      <c r="VSK24" s="92"/>
      <c r="VSS24" s="92"/>
      <c r="VTA24" s="92"/>
      <c r="VTI24" s="92"/>
      <c r="VTQ24" s="92"/>
      <c r="VTY24" s="92"/>
      <c r="VUG24" s="92"/>
      <c r="VUO24" s="92"/>
      <c r="VUW24" s="92"/>
      <c r="VVE24" s="92"/>
      <c r="VVM24" s="92"/>
      <c r="VVU24" s="92"/>
      <c r="VWC24" s="92"/>
      <c r="VWK24" s="92"/>
      <c r="VWS24" s="92"/>
      <c r="VXA24" s="92"/>
      <c r="VXI24" s="92"/>
      <c r="VXQ24" s="92"/>
      <c r="VXY24" s="92"/>
      <c r="VYG24" s="92"/>
      <c r="VYO24" s="92"/>
      <c r="VYW24" s="92"/>
      <c r="VZE24" s="92"/>
      <c r="VZM24" s="92"/>
      <c r="VZU24" s="92"/>
      <c r="WAC24" s="92"/>
      <c r="WAK24" s="92"/>
      <c r="WAS24" s="92"/>
      <c r="WBA24" s="92"/>
      <c r="WBI24" s="92"/>
      <c r="WBQ24" s="92"/>
      <c r="WBY24" s="92"/>
      <c r="WCG24" s="92"/>
      <c r="WCO24" s="92"/>
      <c r="WCW24" s="92"/>
      <c r="WDE24" s="92"/>
      <c r="WDM24" s="92"/>
      <c r="WDU24" s="92"/>
      <c r="WEC24" s="92"/>
      <c r="WEK24" s="92"/>
      <c r="WES24" s="92"/>
      <c r="WFA24" s="92"/>
      <c r="WFI24" s="92"/>
      <c r="WFQ24" s="92"/>
      <c r="WFY24" s="92"/>
      <c r="WGG24" s="92"/>
      <c r="WGO24" s="92"/>
      <c r="WGW24" s="92"/>
      <c r="WHE24" s="92"/>
      <c r="WHM24" s="92"/>
      <c r="WHU24" s="92"/>
      <c r="WIC24" s="92"/>
      <c r="WIK24" s="92"/>
      <c r="WIS24" s="92"/>
      <c r="WJA24" s="92"/>
      <c r="WJI24" s="92"/>
      <c r="WJQ24" s="92"/>
      <c r="WJY24" s="92"/>
      <c r="WKG24" s="92"/>
      <c r="WKO24" s="92"/>
      <c r="WKW24" s="92"/>
      <c r="WLE24" s="92"/>
      <c r="WLM24" s="92"/>
      <c r="WLU24" s="92"/>
      <c r="WMC24" s="92"/>
      <c r="WMK24" s="92"/>
      <c r="WMS24" s="92"/>
      <c r="WNA24" s="92"/>
      <c r="WNI24" s="92"/>
      <c r="WNQ24" s="92"/>
      <c r="WNY24" s="92"/>
      <c r="WOG24" s="92"/>
      <c r="WOO24" s="92"/>
      <c r="WOW24" s="92"/>
      <c r="WPE24" s="92"/>
      <c r="WPM24" s="92"/>
      <c r="WPU24" s="92"/>
      <c r="WQC24" s="92"/>
      <c r="WQK24" s="92"/>
      <c r="WQS24" s="92"/>
      <c r="WRA24" s="92"/>
      <c r="WRI24" s="92"/>
      <c r="WRQ24" s="92"/>
      <c r="WRY24" s="92"/>
      <c r="WSG24" s="92"/>
      <c r="WSO24" s="92"/>
      <c r="WSW24" s="92"/>
      <c r="WTE24" s="92"/>
      <c r="WTM24" s="92"/>
      <c r="WTU24" s="92"/>
      <c r="WUC24" s="92"/>
      <c r="WUK24" s="92"/>
      <c r="WUS24" s="92"/>
      <c r="WVA24" s="92"/>
      <c r="WVI24" s="92"/>
      <c r="WVQ24" s="92"/>
      <c r="WVY24" s="92"/>
      <c r="WWG24" s="92"/>
      <c r="WWO24" s="92"/>
      <c r="WWW24" s="92"/>
      <c r="WXE24" s="92"/>
      <c r="WXM24" s="92"/>
      <c r="WXU24" s="92"/>
      <c r="WYC24" s="92"/>
      <c r="WYK24" s="92"/>
      <c r="WYS24" s="92"/>
      <c r="WZA24" s="92"/>
      <c r="WZI24" s="92"/>
      <c r="WZQ24" s="92"/>
      <c r="WZY24" s="92"/>
      <c r="XAG24" s="92"/>
      <c r="XAO24" s="92"/>
      <c r="XAW24" s="92"/>
      <c r="XBE24" s="92"/>
      <c r="XBM24" s="92"/>
      <c r="XBU24" s="92"/>
      <c r="XCC24" s="92"/>
      <c r="XCK24" s="92"/>
      <c r="XCS24" s="92"/>
      <c r="XDA24" s="92"/>
      <c r="XDI24" s="92"/>
      <c r="XDQ24" s="92"/>
      <c r="XDY24" s="92"/>
      <c r="XEG24" s="92"/>
      <c r="XEO24" s="92"/>
      <c r="XEW24" s="92"/>
    </row>
    <row r="25" spans="1:1017 1025:2041 2049:3065 3073:4089 4097:5113 5121:6137 6145:7161 7169:8185 8193:9209 9217:10233 10241:11257 11265:12281 12289:13305 13313:14329 14337:15353 15361:16377" x14ac:dyDescent="0.15">
      <c r="A25" s="3"/>
      <c r="B25" s="99" t="s">
        <v>112</v>
      </c>
      <c r="C25" s="100">
        <v>307.5</v>
      </c>
      <c r="D25" s="100">
        <v>326.7</v>
      </c>
      <c r="E25" s="100">
        <v>427.9</v>
      </c>
      <c r="F25" s="100">
        <v>482.1</v>
      </c>
      <c r="G25" s="100">
        <v>462.5</v>
      </c>
      <c r="H25" s="101">
        <f>(H19+H24)*(1-H37)</f>
        <v>462.47150881636958</v>
      </c>
      <c r="I25" s="102">
        <f>(I19+I24)*(1-I37)</f>
        <v>466.75181347934358</v>
      </c>
    </row>
    <row r="26" spans="1:1017 1025:2041 2049:3065 3073:4089 4097:5113 5121:6137 6145:7161 7169:8185 8193:9209 9217:10233 10241:11257 11265:12281 12289:13305 13313:14329 14337:15353 15361:16377" x14ac:dyDescent="0.15">
      <c r="A26" s="3"/>
      <c r="B26" s="104"/>
      <c r="C26" s="105"/>
      <c r="D26" s="105"/>
      <c r="E26" s="105"/>
      <c r="F26" s="105"/>
      <c r="G26" s="105"/>
      <c r="H26" s="105"/>
      <c r="I26" s="105"/>
    </row>
    <row r="27" spans="1:1017 1025:2041 2049:3065 3073:4089 4097:5113 5121:6137 6145:7161 7169:8185 8193:9209 9217:10233 10241:11257 11265:12281 12289:13305 13313:14329 14337:15353 15361:16377" x14ac:dyDescent="0.15">
      <c r="A27" s="3"/>
      <c r="B27" s="54" t="s">
        <v>116</v>
      </c>
      <c r="C27" s="55">
        <v>51.5</v>
      </c>
      <c r="D27" s="55">
        <v>76.2</v>
      </c>
      <c r="E27">
        <v>71.5</v>
      </c>
      <c r="F27" s="55">
        <v>126</v>
      </c>
      <c r="G27" s="55">
        <v>119</v>
      </c>
      <c r="H27" s="60">
        <f>H7*(H38)</f>
        <v>100.61561357383185</v>
      </c>
      <c r="I27" s="60">
        <f>I7*(I38)</f>
        <v>103.6340819810468</v>
      </c>
    </row>
    <row r="28" spans="1:1017 1025:2041 2049:3065 3073:4089 4097:5113 5121:6137 6145:7161 7169:8185 8193:9209 9217:10233 10241:11257 11265:12281 12289:13305 13313:14329 14337:15353 15361:16377" x14ac:dyDescent="0.15">
      <c r="A28" s="3"/>
      <c r="B28" s="54"/>
      <c r="C28" s="55"/>
      <c r="D28" s="55"/>
      <c r="F28" s="55"/>
      <c r="G28" s="55"/>
      <c r="H28" s="56"/>
      <c r="I28" s="56"/>
    </row>
    <row r="29" spans="1:1017 1025:2041 2049:3065 3073:4089 4097:5113 5121:6137 6145:7161 7169:8185 8193:9209 9217:10233 10241:11257 11265:12281 12289:13305 13313:14329 14337:15353 15361:16377" x14ac:dyDescent="0.15">
      <c r="A29" s="3"/>
      <c r="B29" s="1" t="s">
        <v>106</v>
      </c>
      <c r="C29" s="1"/>
      <c r="D29" s="1"/>
      <c r="E29" s="1"/>
      <c r="F29" s="1"/>
      <c r="G29" s="1"/>
      <c r="H29" s="1"/>
      <c r="I29" s="1"/>
    </row>
    <row r="30" spans="1:1017 1025:2041 2049:3065 3073:4089 4097:5113 5121:6137 6145:7161 7169:8185 8193:9209 9217:10233 10241:11257 11265:12281 12289:13305 13313:14329 14337:15353 15361:16377" x14ac:dyDescent="0.15">
      <c r="A30" s="3"/>
      <c r="B30" s="3"/>
      <c r="C30" s="3"/>
      <c r="D30" s="3"/>
      <c r="E30" s="3"/>
      <c r="F30" s="3"/>
      <c r="G30" s="3"/>
      <c r="H30" s="3"/>
      <c r="I30" s="3"/>
    </row>
    <row r="31" spans="1:1017 1025:2041 2049:3065 3073:4089 4097:5113 5121:6137 6145:7161 7169:8185 8193:9209 9217:10233 10241:11257 11265:12281 12289:13305 13313:14329 14337:15353 15361:16377" x14ac:dyDescent="0.15">
      <c r="A31" s="3"/>
      <c r="B31" s="6" t="s">
        <v>107</v>
      </c>
      <c r="C31" s="6"/>
      <c r="D31" s="6"/>
      <c r="E31" s="6"/>
      <c r="F31" s="6"/>
      <c r="G31" s="6"/>
      <c r="H31" s="62"/>
      <c r="I31" s="62"/>
    </row>
    <row r="32" spans="1:1017 1025:2041 2049:3065 3073:4089 4097:5113 5121:6137 6145:7161 7169:8185 8193:9209 9217:10233 10241:11257 11265:12281 12289:13305 13313:14329 14337:15353 15361:16377" x14ac:dyDescent="0.15">
      <c r="A32" s="3"/>
      <c r="B32" s="3" t="s">
        <v>92</v>
      </c>
      <c r="C32" s="3"/>
      <c r="D32" s="3"/>
      <c r="E32" s="3"/>
      <c r="F32" s="3"/>
      <c r="G32" s="3"/>
      <c r="H32" s="80">
        <v>0.03</v>
      </c>
      <c r="I32" s="81">
        <v>0.03</v>
      </c>
    </row>
    <row r="33" spans="1:10" x14ac:dyDescent="0.15">
      <c r="A33" s="3"/>
      <c r="B33" s="6" t="s">
        <v>108</v>
      </c>
      <c r="C33" s="6"/>
      <c r="D33" s="6"/>
      <c r="E33" s="6"/>
      <c r="F33" s="6"/>
      <c r="G33" s="6"/>
      <c r="H33" s="62"/>
      <c r="I33" s="62"/>
    </row>
    <row r="34" spans="1:10" x14ac:dyDescent="0.15">
      <c r="A34" s="3"/>
      <c r="B34" s="3" t="s">
        <v>109</v>
      </c>
      <c r="C34" s="63">
        <f>C10/C7</f>
        <v>0.68205039696237491</v>
      </c>
      <c r="D34" s="63">
        <f>D10/D7</f>
        <v>0.75063969487761295</v>
      </c>
      <c r="E34" s="63">
        <f>E10/E7</f>
        <v>0.73202614379084974</v>
      </c>
      <c r="F34" s="63">
        <f>F10/F7</f>
        <v>0.71796341295676502</v>
      </c>
      <c r="G34" s="63">
        <f>G10/G7</f>
        <v>0.72093177301832634</v>
      </c>
      <c r="H34" s="64">
        <v>0.72</v>
      </c>
      <c r="I34" s="82">
        <v>0.72</v>
      </c>
    </row>
    <row r="35" spans="1:10" x14ac:dyDescent="0.15">
      <c r="A35" s="3"/>
      <c r="B35" s="65" t="s">
        <v>110</v>
      </c>
      <c r="C35" s="63">
        <f>C12/C7</f>
        <v>0.14528822920262341</v>
      </c>
      <c r="D35" s="63">
        <f>D12/D7</f>
        <v>0.12103509873026599</v>
      </c>
      <c r="E35" s="63">
        <f>E12/E7</f>
        <v>0.13058038291877411</v>
      </c>
      <c r="F35" s="63">
        <f>F12/F7</f>
        <v>0.13238732749530055</v>
      </c>
      <c r="G35" s="63">
        <f>G12/G7</f>
        <v>0.14109074850960476</v>
      </c>
      <c r="H35" s="66">
        <v>0.14000000000000001</v>
      </c>
      <c r="I35" s="83">
        <v>0.14000000000000001</v>
      </c>
    </row>
    <row r="36" spans="1:10" x14ac:dyDescent="0.15">
      <c r="A36" s="3"/>
      <c r="B36" s="68" t="s">
        <v>113</v>
      </c>
      <c r="C36" s="69"/>
      <c r="D36" s="69">
        <f>(D24-C24)/C24</f>
        <v>0.38216560509554143</v>
      </c>
      <c r="E36" s="69">
        <f>(E24-D24)/D24</f>
        <v>-0.22119815668202769</v>
      </c>
      <c r="F36" s="69">
        <f>(F24-E24)/E24</f>
        <v>0.23668639053254439</v>
      </c>
      <c r="G36" s="69">
        <f>(G24-F24)/F24</f>
        <v>0.40669856459330145</v>
      </c>
      <c r="H36" s="66">
        <f>AVERAGE(D36:G36)</f>
        <v>0.20108810088483989</v>
      </c>
      <c r="I36" s="83">
        <f>AVERAGE(D36:G36)</f>
        <v>0.20108810088483989</v>
      </c>
    </row>
    <row r="37" spans="1:10" x14ac:dyDescent="0.15">
      <c r="A37" s="85"/>
      <c r="B37" s="94" t="s">
        <v>114</v>
      </c>
      <c r="C37" s="106">
        <v>0.34420985279999999</v>
      </c>
      <c r="D37" s="106">
        <v>0.3306699447</v>
      </c>
      <c r="E37" s="106">
        <v>0.20962566839999999</v>
      </c>
      <c r="F37" s="106">
        <v>0.2053350897</v>
      </c>
      <c r="G37" s="106">
        <v>0.20189818809999999</v>
      </c>
      <c r="H37" s="66">
        <v>0.20599999999999999</v>
      </c>
      <c r="I37" s="83">
        <v>0.20599999999999999</v>
      </c>
      <c r="J37" s="86"/>
    </row>
    <row r="38" spans="1:10" x14ac:dyDescent="0.15">
      <c r="A38" s="85"/>
      <c r="B38" s="87" t="s">
        <v>117</v>
      </c>
      <c r="C38" s="88">
        <f>C27/C7</f>
        <v>1.7777010700724887E-2</v>
      </c>
      <c r="D38" s="88">
        <f>D27/D7</f>
        <v>1.8394245160044415E-2</v>
      </c>
      <c r="E38" s="88">
        <f>E27/E7</f>
        <v>1.6513083443035637E-2</v>
      </c>
      <c r="F38" s="88">
        <f>F27/F7</f>
        <v>2.8884507817156482E-2</v>
      </c>
      <c r="G38" s="88">
        <f>G27/G7</f>
        <v>2.6275115919629059E-2</v>
      </c>
      <c r="H38" s="67">
        <f>AVERAGE($C$38:$G$38)</f>
        <v>2.1568792608118094E-2</v>
      </c>
      <c r="I38" s="84">
        <f>AVERAGE($C$38:$G$38)</f>
        <v>2.1568792608118094E-2</v>
      </c>
      <c r="J38" s="86"/>
    </row>
    <row r="39" spans="1:10" x14ac:dyDescent="0.15">
      <c r="A39" s="85"/>
      <c r="B39" s="87"/>
      <c r="C39" s="90"/>
      <c r="D39" s="90"/>
      <c r="E39" s="90"/>
      <c r="F39" s="90"/>
      <c r="G39" s="90"/>
      <c r="H39" s="89"/>
      <c r="I39" s="89"/>
      <c r="J39" s="86"/>
    </row>
    <row r="40" spans="1:10" x14ac:dyDescent="0.15">
      <c r="A40" s="85"/>
      <c r="B40" s="87"/>
      <c r="C40" s="91"/>
      <c r="D40" s="91"/>
      <c r="E40" s="91"/>
      <c r="F40" s="91"/>
      <c r="G40" s="91"/>
      <c r="H40" s="89"/>
      <c r="I40" s="89"/>
      <c r="J40" s="86"/>
    </row>
    <row r="41" spans="1:10" x14ac:dyDescent="0.15">
      <c r="A41" s="85"/>
      <c r="B41" s="87"/>
      <c r="C41" s="91"/>
      <c r="D41" s="91"/>
      <c r="E41" s="91"/>
      <c r="F41" s="91"/>
      <c r="G41" s="91"/>
      <c r="H41" s="89"/>
      <c r="I41" s="89"/>
      <c r="J41" s="86"/>
    </row>
    <row r="42" spans="1:10" x14ac:dyDescent="0.15">
      <c r="A42" s="85"/>
      <c r="B42" s="87"/>
      <c r="C42" s="91"/>
      <c r="D42" s="91"/>
      <c r="E42" s="91"/>
      <c r="F42" s="91"/>
      <c r="G42" s="91"/>
      <c r="H42" s="89"/>
      <c r="I42" s="89"/>
      <c r="J42" s="86"/>
    </row>
  </sheetData>
  <mergeCells count="2">
    <mergeCell ref="C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0D04-8276-6A4B-B62A-11C257568F00}">
  <dimension ref="B1:G36"/>
  <sheetViews>
    <sheetView showGridLines="0" workbookViewId="0">
      <selection activeCell="C48" sqref="C48"/>
    </sheetView>
  </sheetViews>
  <sheetFormatPr baseColWidth="10" defaultRowHeight="13" x14ac:dyDescent="0.15"/>
  <cols>
    <col min="1" max="1" width="3.5" style="3" customWidth="1"/>
    <col min="2" max="3" width="37.83203125" style="3" customWidth="1"/>
    <col min="4" max="4" width="18.33203125" style="3" customWidth="1"/>
    <col min="5" max="5" width="16.6640625" style="3" customWidth="1"/>
    <col min="6" max="6" width="33.6640625" style="3" bestFit="1" customWidth="1"/>
    <col min="7" max="7" width="20.1640625" style="3" customWidth="1"/>
    <col min="8" max="16384" width="10.83203125" style="3"/>
  </cols>
  <sheetData>
    <row r="1" spans="2:7" ht="14" x14ac:dyDescent="0.15">
      <c r="B1" s="23" t="s">
        <v>18</v>
      </c>
      <c r="C1" s="1"/>
      <c r="D1" s="1"/>
      <c r="F1" s="23" t="s">
        <v>67</v>
      </c>
      <c r="G1" s="1"/>
    </row>
    <row r="2" spans="2:7" x14ac:dyDescent="0.15">
      <c r="B2" s="6" t="s">
        <v>26</v>
      </c>
      <c r="C2" s="6" t="s">
        <v>25</v>
      </c>
      <c r="D2" s="6" t="s">
        <v>54</v>
      </c>
      <c r="F2" s="3" t="s">
        <v>58</v>
      </c>
      <c r="G2" s="25">
        <v>2000</v>
      </c>
    </row>
    <row r="3" spans="2:7" x14ac:dyDescent="0.15">
      <c r="B3" s="3" t="s">
        <v>27</v>
      </c>
      <c r="C3" s="3">
        <v>1000</v>
      </c>
      <c r="D3" s="12">
        <v>2.5999999999999999E-2</v>
      </c>
      <c r="F3" s="3" t="s">
        <v>69</v>
      </c>
      <c r="G3" s="26">
        <f>Assumptions!C22</f>
        <v>279.75781042775998</v>
      </c>
    </row>
    <row r="4" spans="2:7" x14ac:dyDescent="0.15">
      <c r="B4" s="3" t="s">
        <v>28</v>
      </c>
      <c r="C4" s="3">
        <v>1550</v>
      </c>
      <c r="D4" s="12">
        <f>Assumptions!$C$6+Assumptions!$C$5</f>
        <v>1.4250000000000001E-2</v>
      </c>
      <c r="F4" s="3" t="s">
        <v>59</v>
      </c>
      <c r="G4" s="26">
        <f>G3*1000/G2</f>
        <v>139.87890521388002</v>
      </c>
    </row>
    <row r="6" spans="2:7" x14ac:dyDescent="0.15">
      <c r="F6" s="3" t="s">
        <v>60</v>
      </c>
      <c r="G6" s="12">
        <v>0.02</v>
      </c>
    </row>
    <row r="7" spans="2:7" x14ac:dyDescent="0.15">
      <c r="B7" s="3" t="s">
        <v>56</v>
      </c>
      <c r="C7" s="15">
        <f>(C3*D3)+C4*D4</f>
        <v>48.087500000000006</v>
      </c>
      <c r="F7" s="3" t="s">
        <v>61</v>
      </c>
      <c r="G7" s="3">
        <f>G2*G6</f>
        <v>40</v>
      </c>
    </row>
    <row r="8" spans="2:7" x14ac:dyDescent="0.15">
      <c r="B8" s="3" t="s">
        <v>55</v>
      </c>
      <c r="C8" s="15">
        <f>C7*(1-Assumptions!$C$3)</f>
        <v>36.065625000000004</v>
      </c>
    </row>
    <row r="9" spans="2:7" x14ac:dyDescent="0.15">
      <c r="F9" s="3" t="s">
        <v>62</v>
      </c>
      <c r="G9" s="26">
        <f>G4</f>
        <v>139.87890521388002</v>
      </c>
    </row>
    <row r="10" spans="2:7" x14ac:dyDescent="0.15">
      <c r="F10" s="27" t="s">
        <v>63</v>
      </c>
      <c r="G10" s="28">
        <f>G9*G7 / 1000</f>
        <v>5.5951562085552009</v>
      </c>
    </row>
    <row r="12" spans="2:7" x14ac:dyDescent="0.15">
      <c r="F12" s="3" t="s">
        <v>64</v>
      </c>
      <c r="G12" s="12">
        <v>0.3</v>
      </c>
    </row>
    <row r="13" spans="2:7" x14ac:dyDescent="0.15">
      <c r="F13" s="3" t="s">
        <v>65</v>
      </c>
      <c r="G13" s="26">
        <f>G12*G10</f>
        <v>1.6785468625665603</v>
      </c>
    </row>
    <row r="15" spans="2:7" x14ac:dyDescent="0.15">
      <c r="F15" s="3" t="s">
        <v>21</v>
      </c>
      <c r="G15" s="12">
        <v>0.25</v>
      </c>
    </row>
    <row r="16" spans="2:7" x14ac:dyDescent="0.15">
      <c r="F16" s="18" t="s">
        <v>66</v>
      </c>
      <c r="G16" s="29">
        <f>G13*(1-G15)</f>
        <v>1.2589101469249202</v>
      </c>
    </row>
    <row r="28" spans="2:5" ht="14" x14ac:dyDescent="0.15">
      <c r="B28" s="23" t="s">
        <v>42</v>
      </c>
      <c r="C28" s="1"/>
      <c r="D28" s="1"/>
      <c r="E28" s="1"/>
    </row>
    <row r="29" spans="2:5" x14ac:dyDescent="0.15">
      <c r="B29" s="6" t="s">
        <v>47</v>
      </c>
      <c r="C29" s="6" t="s">
        <v>43</v>
      </c>
      <c r="D29" s="6" t="s">
        <v>44</v>
      </c>
      <c r="E29" s="6" t="s">
        <v>75</v>
      </c>
    </row>
    <row r="30" spans="2:5" x14ac:dyDescent="0.15">
      <c r="B30" s="3" t="s">
        <v>45</v>
      </c>
      <c r="C30" s="3">
        <v>181.1</v>
      </c>
      <c r="D30" s="21">
        <v>5</v>
      </c>
      <c r="E30" s="3">
        <f>C30/D30</f>
        <v>36.22</v>
      </c>
    </row>
    <row r="31" spans="2:5" x14ac:dyDescent="0.15">
      <c r="B31" s="3" t="s">
        <v>46</v>
      </c>
      <c r="C31" s="3">
        <v>677.3</v>
      </c>
      <c r="D31" s="21">
        <v>7</v>
      </c>
      <c r="E31" s="15">
        <f>C31/D31</f>
        <v>96.757142857142853</v>
      </c>
    </row>
    <row r="33" spans="2:3" x14ac:dyDescent="0.15">
      <c r="B33" s="6" t="s">
        <v>48</v>
      </c>
      <c r="C33" s="6"/>
    </row>
    <row r="34" spans="2:3" x14ac:dyDescent="0.15">
      <c r="B34" s="3" t="s">
        <v>49</v>
      </c>
      <c r="C34" s="15">
        <v>48.4</v>
      </c>
    </row>
    <row r="35" spans="2:3" x14ac:dyDescent="0.15">
      <c r="B35" s="3" t="s">
        <v>50</v>
      </c>
      <c r="C35" s="15">
        <f>SUM(E30:E31) -C34</f>
        <v>84.577142857142832</v>
      </c>
    </row>
    <row r="36" spans="2:3" x14ac:dyDescent="0.15">
      <c r="B36" s="18" t="s">
        <v>51</v>
      </c>
      <c r="C36" s="19">
        <f>C35*(1-Assumptions!C3)</f>
        <v>63.432857142857124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03EF-C7C6-BB4C-AF44-B3E0C68D0021}">
  <dimension ref="B3:I38"/>
  <sheetViews>
    <sheetView showGridLines="0" tabSelected="1" workbookViewId="0">
      <selection activeCell="E30" sqref="E30"/>
    </sheetView>
  </sheetViews>
  <sheetFormatPr baseColWidth="10" defaultRowHeight="14" x14ac:dyDescent="0.15"/>
  <cols>
    <col min="2" max="2" width="47.1640625" customWidth="1"/>
    <col min="5" max="5" width="47" customWidth="1"/>
  </cols>
  <sheetData>
    <row r="3" spans="2:9" x14ac:dyDescent="0.15">
      <c r="B3" s="23" t="s">
        <v>8</v>
      </c>
      <c r="C3" s="1"/>
      <c r="E3" s="23" t="s">
        <v>9</v>
      </c>
      <c r="F3" s="1"/>
      <c r="G3" s="2"/>
      <c r="H3" s="2"/>
      <c r="I3" s="2"/>
    </row>
    <row r="4" spans="2:9" x14ac:dyDescent="0.15">
      <c r="B4" s="6"/>
      <c r="C4" s="31" t="s">
        <v>81</v>
      </c>
      <c r="E4" s="6"/>
      <c r="F4" s="31" t="s">
        <v>81</v>
      </c>
      <c r="G4" s="2"/>
      <c r="H4" s="2"/>
      <c r="I4" s="2"/>
    </row>
    <row r="5" spans="2:9" x14ac:dyDescent="0.15">
      <c r="B5" t="s">
        <v>37</v>
      </c>
      <c r="C5" s="24">
        <f>'Broadridge Consolidated Financi'!I25</f>
        <v>466.75181347934358</v>
      </c>
      <c r="E5" t="s">
        <v>37</v>
      </c>
      <c r="F5" s="24">
        <f>'Broadridge Consolidated Financi'!I25</f>
        <v>466.75181347934358</v>
      </c>
    </row>
    <row r="6" spans="2:9" x14ac:dyDescent="0.15">
      <c r="B6" t="s">
        <v>24</v>
      </c>
      <c r="C6">
        <v>118</v>
      </c>
      <c r="E6" t="s">
        <v>24</v>
      </c>
      <c r="F6">
        <v>118</v>
      </c>
    </row>
    <row r="7" spans="2:9" x14ac:dyDescent="0.15">
      <c r="B7" t="s">
        <v>39</v>
      </c>
      <c r="C7" s="24">
        <f>C5/C6</f>
        <v>3.9555238430452846</v>
      </c>
      <c r="E7" t="s">
        <v>118</v>
      </c>
      <c r="F7" s="24">
        <f>('Broadridge Consolidated Financi'!I25+'Broadridge Consolidated Financi'!I27)/F6</f>
        <v>4.8337787750880548</v>
      </c>
    </row>
    <row r="9" spans="2:9" x14ac:dyDescent="0.15">
      <c r="B9" t="s">
        <v>38</v>
      </c>
      <c r="C9" s="10">
        <f>Assumptions!C23</f>
        <v>46.602655542078601</v>
      </c>
      <c r="E9" t="s">
        <v>38</v>
      </c>
      <c r="F9" s="10">
        <f>Assumptions!$C$23</f>
        <v>46.602655542078601</v>
      </c>
    </row>
    <row r="11" spans="2:9" x14ac:dyDescent="0.15">
      <c r="B11" t="s">
        <v>0</v>
      </c>
      <c r="C11">
        <f>Assumptions!C8</f>
        <v>2604.1</v>
      </c>
      <c r="E11" t="s">
        <v>0</v>
      </c>
      <c r="F11">
        <f>Assumptions!$C$8</f>
        <v>2604.1</v>
      </c>
    </row>
    <row r="12" spans="2:9" x14ac:dyDescent="0.15">
      <c r="B12" s="4" t="s">
        <v>3</v>
      </c>
      <c r="C12" s="9">
        <f>Assumptions!$C9</f>
        <v>0</v>
      </c>
      <c r="E12" s="4" t="s">
        <v>3</v>
      </c>
      <c r="F12" s="9">
        <f>Assumptions!$C9</f>
        <v>0</v>
      </c>
    </row>
    <row r="13" spans="2:9" x14ac:dyDescent="0.15">
      <c r="B13" s="4" t="s">
        <v>1</v>
      </c>
      <c r="C13" s="9">
        <f>Assumptions!$C10</f>
        <v>1</v>
      </c>
      <c r="E13" s="4" t="s">
        <v>1</v>
      </c>
      <c r="F13" s="9">
        <f>Assumptions!$C10</f>
        <v>1</v>
      </c>
    </row>
    <row r="14" spans="2:9" x14ac:dyDescent="0.15">
      <c r="B14" s="4" t="s">
        <v>2</v>
      </c>
      <c r="C14" s="9">
        <f>Assumptions!$C11</f>
        <v>0</v>
      </c>
      <c r="E14" s="4" t="s">
        <v>2</v>
      </c>
      <c r="F14" s="9">
        <f>Assumptions!$C11</f>
        <v>0</v>
      </c>
    </row>
    <row r="16" spans="2:9" x14ac:dyDescent="0.15">
      <c r="B16" t="s">
        <v>4</v>
      </c>
      <c r="C16" s="24">
        <f>C5+C9</f>
        <v>513.35446902142223</v>
      </c>
      <c r="E16" t="s">
        <v>4</v>
      </c>
      <c r="F16" s="24">
        <f>F5+F9</f>
        <v>513.35446902142223</v>
      </c>
    </row>
    <row r="17" spans="2:6" x14ac:dyDescent="0.15">
      <c r="B17" t="s">
        <v>5</v>
      </c>
      <c r="E17" t="s">
        <v>5</v>
      </c>
    </row>
    <row r="18" spans="2:6" x14ac:dyDescent="0.15">
      <c r="B18" s="3" t="s">
        <v>13</v>
      </c>
      <c r="C18" s="10">
        <f>'Transaction Adjustments'!C8</f>
        <v>36.065625000000004</v>
      </c>
      <c r="E18" s="3" t="s">
        <v>13</v>
      </c>
      <c r="F18" s="10">
        <f>'Transaction Adjustments'!$C$8</f>
        <v>36.065625000000004</v>
      </c>
    </row>
    <row r="19" spans="2:6" x14ac:dyDescent="0.15">
      <c r="B19" s="3" t="s">
        <v>14</v>
      </c>
      <c r="C19">
        <v>0</v>
      </c>
      <c r="E19" s="3" t="s">
        <v>14</v>
      </c>
      <c r="F19">
        <v>0</v>
      </c>
    </row>
    <row r="20" spans="2:6" x14ac:dyDescent="0.15">
      <c r="B20" s="3" t="s">
        <v>41</v>
      </c>
      <c r="C20" s="107">
        <f>'Transaction Adjustments'!$G$16</f>
        <v>1.2589101469249202</v>
      </c>
      <c r="E20" s="3" t="s">
        <v>41</v>
      </c>
      <c r="F20" s="24">
        <f>'Transaction Adjustments'!$G$16</f>
        <v>1.2589101469249202</v>
      </c>
    </row>
    <row r="21" spans="2:6" x14ac:dyDescent="0.15">
      <c r="B21" s="5" t="s">
        <v>15</v>
      </c>
      <c r="C21" s="10">
        <f>'Transaction Adjustments'!C36</f>
        <v>63.432857142857124</v>
      </c>
      <c r="E21" s="5" t="s">
        <v>15</v>
      </c>
      <c r="F21" s="10">
        <f>'Transaction Adjustments'!$C$36</f>
        <v>63.432857142857124</v>
      </c>
    </row>
    <row r="22" spans="2:6" x14ac:dyDescent="0.15">
      <c r="B22" s="5" t="s">
        <v>16</v>
      </c>
      <c r="C22">
        <v>0</v>
      </c>
      <c r="E22" s="5" t="s">
        <v>16</v>
      </c>
      <c r="F22">
        <v>0</v>
      </c>
    </row>
    <row r="23" spans="2:6" x14ac:dyDescent="0.15">
      <c r="B23" s="5"/>
      <c r="E23" s="5"/>
    </row>
    <row r="24" spans="2:6" x14ac:dyDescent="0.15">
      <c r="B24" s="7" t="s">
        <v>10</v>
      </c>
      <c r="C24" s="24">
        <f>C16-C18-C19+C20-C21-C22</f>
        <v>415.11489702549</v>
      </c>
      <c r="E24" s="7" t="s">
        <v>10</v>
      </c>
      <c r="F24" s="24">
        <f>F16-F18-F19+F20-F21-F22</f>
        <v>415.11489702549</v>
      </c>
    </row>
    <row r="25" spans="2:6" x14ac:dyDescent="0.15">
      <c r="B25" s="5"/>
      <c r="E25" s="5"/>
    </row>
    <row r="26" spans="2:6" x14ac:dyDescent="0.15">
      <c r="B26" s="5"/>
      <c r="E26" s="7" t="s">
        <v>11</v>
      </c>
    </row>
    <row r="27" spans="2:6" x14ac:dyDescent="0.15">
      <c r="B27" s="5"/>
      <c r="E27" s="5" t="s">
        <v>115</v>
      </c>
      <c r="F27" s="10">
        <f>'Broadridge Consolidated Financi'!I27</f>
        <v>103.6340819810468</v>
      </c>
    </row>
    <row r="28" spans="2:6" x14ac:dyDescent="0.15">
      <c r="B28" s="5"/>
      <c r="E28" s="5" t="s">
        <v>12</v>
      </c>
      <c r="F28" s="10">
        <f>F21</f>
        <v>63.432857142857124</v>
      </c>
    </row>
    <row r="29" spans="2:6" x14ac:dyDescent="0.15">
      <c r="B29" s="5"/>
      <c r="E29" s="5" t="s">
        <v>17</v>
      </c>
    </row>
    <row r="30" spans="2:6" x14ac:dyDescent="0.15">
      <c r="B30" s="5"/>
      <c r="E30" s="7" t="s">
        <v>70</v>
      </c>
      <c r="F30" s="24">
        <f>F24+F28+F27</f>
        <v>582.18183614939392</v>
      </c>
    </row>
    <row r="32" spans="2:6" x14ac:dyDescent="0.15">
      <c r="B32" s="3" t="s">
        <v>71</v>
      </c>
      <c r="C32">
        <v>118</v>
      </c>
      <c r="E32" s="3" t="s">
        <v>71</v>
      </c>
      <c r="F32">
        <v>118</v>
      </c>
    </row>
    <row r="33" spans="2:6" x14ac:dyDescent="0.15">
      <c r="B33" s="3" t="s">
        <v>72</v>
      </c>
      <c r="C33">
        <v>0</v>
      </c>
      <c r="E33" s="3" t="s">
        <v>72</v>
      </c>
      <c r="F33">
        <v>0</v>
      </c>
    </row>
    <row r="34" spans="2:6" x14ac:dyDescent="0.15">
      <c r="B34" s="3" t="s">
        <v>80</v>
      </c>
      <c r="C34">
        <f>SUM(C32:C33)</f>
        <v>118</v>
      </c>
      <c r="E34" s="3"/>
      <c r="F34">
        <f>SUM(F32:F33)</f>
        <v>118</v>
      </c>
    </row>
    <row r="36" spans="2:6" x14ac:dyDescent="0.15">
      <c r="B36" s="3" t="s">
        <v>6</v>
      </c>
      <c r="C36" s="24">
        <f>C24/C34</f>
        <v>3.5179228561482203</v>
      </c>
      <c r="E36" s="3" t="s">
        <v>40</v>
      </c>
      <c r="F36" s="24">
        <f>F30/F34</f>
        <v>4.9337443741474063</v>
      </c>
    </row>
    <row r="37" spans="2:6" x14ac:dyDescent="0.15">
      <c r="B37" s="3" t="s">
        <v>73</v>
      </c>
      <c r="C37" s="8">
        <f>(C36-C7)/C7</f>
        <v>-0.11063034992608296</v>
      </c>
      <c r="E37" s="3" t="s">
        <v>74</v>
      </c>
      <c r="F37" s="8">
        <f>(F36-F7)/F7</f>
        <v>2.0680631801882683E-2</v>
      </c>
    </row>
    <row r="38" spans="2:6" x14ac:dyDescent="0.15">
      <c r="B38" s="3" t="s">
        <v>7</v>
      </c>
      <c r="C38" s="30" t="str">
        <f>IF(C37&lt;0,"Dilutive","Accretive")</f>
        <v>Dilutive</v>
      </c>
      <c r="E38" s="3" t="s">
        <v>7</v>
      </c>
      <c r="F38" s="30" t="str">
        <f>IF(F37&lt;0,"Dilutive","Accretive")</f>
        <v>Accretive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Broadridge Consolidated Financi</vt:lpstr>
      <vt:lpstr>Transaction Adjustments</vt:lpstr>
      <vt:lpstr>Accretion-Dilution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Hassan</dc:creator>
  <cp:lastModifiedBy>Evan Hassan</cp:lastModifiedBy>
  <dcterms:created xsi:type="dcterms:W3CDTF">2026-07-18T22:00:25Z</dcterms:created>
  <dcterms:modified xsi:type="dcterms:W3CDTF">2026-07-19T08:19:32Z</dcterms:modified>
</cp:coreProperties>
</file>