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Investment_Banking_Projects/proj4/"/>
    </mc:Choice>
  </mc:AlternateContent>
  <xr:revisionPtr revIDLastSave="0" documentId="8_{DDA2CABA-058C-FF49-A72C-97914678204D}" xr6:coauthVersionLast="47" xr6:coauthVersionMax="47" xr10:uidLastSave="{00000000-0000-0000-0000-000000000000}"/>
  <bookViews>
    <workbookView xWindow="0" yWindow="760" windowWidth="30240" windowHeight="18880" xr2:uid="{F35C073A-F0F6-5249-8941-10B52887A4D2}"/>
  </bookViews>
  <sheets>
    <sheet name="Cantaloupe Raw" sheetId="1" r:id="rId1"/>
    <sheet name="Revenue Build" sheetId="3" r:id="rId2"/>
    <sheet name="DCF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J38" i="1"/>
  <c r="K38" i="1"/>
  <c r="L38" i="1"/>
  <c r="H38" i="1"/>
  <c r="N21" i="2"/>
  <c r="N18" i="2"/>
  <c r="N17" i="2"/>
  <c r="I21" i="2"/>
  <c r="J21" i="2" s="1"/>
  <c r="K21" i="2" s="1"/>
  <c r="H21" i="2"/>
  <c r="C38" i="1"/>
  <c r="D38" i="1"/>
  <c r="E38" i="1"/>
  <c r="F38" i="1"/>
  <c r="G38" i="1"/>
  <c r="E37" i="1"/>
  <c r="F37" i="1"/>
  <c r="G37" i="1"/>
  <c r="D37" i="1"/>
  <c r="C37" i="1"/>
  <c r="H6" i="2"/>
  <c r="H22" i="2" s="1"/>
  <c r="K6" i="2"/>
  <c r="K22" i="2" s="1"/>
  <c r="I6" i="2"/>
  <c r="I22" i="2" s="1"/>
  <c r="H5" i="2"/>
  <c r="I5" i="2" s="1"/>
  <c r="J5" i="2" s="1"/>
  <c r="K5" i="2" s="1"/>
  <c r="D22" i="1"/>
  <c r="D23" i="1" s="1"/>
  <c r="E22" i="1"/>
  <c r="E23" i="1" s="1"/>
  <c r="F22" i="1"/>
  <c r="F23" i="1" s="1"/>
  <c r="G22" i="1"/>
  <c r="G23" i="1" s="1"/>
  <c r="C22" i="1"/>
  <c r="C23" i="1" s="1"/>
  <c r="D21" i="1"/>
  <c r="E21" i="1"/>
  <c r="F21" i="1"/>
  <c r="G21" i="1"/>
  <c r="C21" i="1"/>
  <c r="D34" i="1"/>
  <c r="E34" i="1"/>
  <c r="F34" i="1"/>
  <c r="G34" i="1"/>
  <c r="C34" i="1"/>
  <c r="D32" i="1"/>
  <c r="C32" i="1"/>
  <c r="D33" i="1"/>
  <c r="E33" i="1"/>
  <c r="F33" i="1"/>
  <c r="G33" i="1"/>
  <c r="D30" i="1"/>
  <c r="E30" i="1"/>
  <c r="F30" i="1"/>
  <c r="G30" i="1"/>
  <c r="C30" i="1"/>
  <c r="C33" i="1"/>
  <c r="E32" i="1"/>
  <c r="F32" i="1"/>
  <c r="G32" i="1"/>
  <c r="D31" i="1"/>
  <c r="E31" i="1"/>
  <c r="F31" i="1"/>
  <c r="G31" i="1"/>
  <c r="C31" i="1"/>
  <c r="H11" i="3"/>
  <c r="H14" i="3"/>
  <c r="E15" i="3"/>
  <c r="E11" i="3" s="1"/>
  <c r="F15" i="3"/>
  <c r="F8" i="3" s="1"/>
  <c r="G15" i="3"/>
  <c r="G8" i="3" s="1"/>
  <c r="H15" i="3"/>
  <c r="H8" i="3" s="1"/>
  <c r="I12" i="3"/>
  <c r="J12" i="3" s="1"/>
  <c r="K12" i="3" s="1"/>
  <c r="L12" i="3" s="1"/>
  <c r="M12" i="3" s="1"/>
  <c r="I9" i="3"/>
  <c r="J9" i="3" s="1"/>
  <c r="K9" i="3" s="1"/>
  <c r="L9" i="3" s="1"/>
  <c r="M9" i="3" s="1"/>
  <c r="I6" i="3"/>
  <c r="J6" i="3" s="1"/>
  <c r="H13" i="3"/>
  <c r="G13" i="3"/>
  <c r="F13" i="3"/>
  <c r="E13" i="3"/>
  <c r="H10" i="3"/>
  <c r="G10" i="3"/>
  <c r="F10" i="3"/>
  <c r="E10" i="3"/>
  <c r="F7" i="3"/>
  <c r="G7" i="3"/>
  <c r="H7" i="3"/>
  <c r="E7" i="3"/>
  <c r="G14" i="3" l="1"/>
  <c r="F14" i="3"/>
  <c r="E14" i="3"/>
  <c r="E8" i="3"/>
  <c r="G11" i="3"/>
  <c r="F11" i="3"/>
  <c r="J34" i="1"/>
  <c r="I34" i="1"/>
  <c r="L34" i="1"/>
  <c r="K34" i="1"/>
  <c r="H34" i="1"/>
  <c r="I15" i="3"/>
  <c r="K6" i="3"/>
  <c r="J15" i="3"/>
  <c r="I7" i="1" s="1"/>
  <c r="I14" i="1" s="1"/>
  <c r="H17" i="2" s="1"/>
  <c r="I13" i="1" l="1"/>
  <c r="I11" i="3"/>
  <c r="H7" i="1"/>
  <c r="H16" i="1" s="1"/>
  <c r="I16" i="1"/>
  <c r="I16" i="3"/>
  <c r="I10" i="1"/>
  <c r="I11" i="1" s="1"/>
  <c r="H18" i="2"/>
  <c r="H15" i="2"/>
  <c r="I12" i="1"/>
  <c r="I8" i="3"/>
  <c r="I14" i="3"/>
  <c r="J8" i="3"/>
  <c r="J11" i="3"/>
  <c r="J16" i="3"/>
  <c r="J14" i="3"/>
  <c r="L6" i="3"/>
  <c r="K15" i="3"/>
  <c r="J7" i="1" s="1"/>
  <c r="J16" i="1" s="1"/>
  <c r="J12" i="1" l="1"/>
  <c r="J14" i="1"/>
  <c r="I17" i="2" s="1"/>
  <c r="I18" i="2"/>
  <c r="I15" i="2"/>
  <c r="J10" i="1"/>
  <c r="J11" i="1" s="1"/>
  <c r="J13" i="1"/>
  <c r="J8" i="1"/>
  <c r="I18" i="1"/>
  <c r="I19" i="1" s="1"/>
  <c r="I21" i="1" s="1"/>
  <c r="H8" i="1"/>
  <c r="G15" i="2"/>
  <c r="G18" i="2"/>
  <c r="H13" i="1"/>
  <c r="H10" i="1"/>
  <c r="H11" i="1" s="1"/>
  <c r="H14" i="1"/>
  <c r="G17" i="2" s="1"/>
  <c r="I8" i="1"/>
  <c r="H12" i="1"/>
  <c r="K8" i="3"/>
  <c r="K14" i="3"/>
  <c r="K11" i="3"/>
  <c r="K16" i="3"/>
  <c r="M6" i="3"/>
  <c r="M15" i="3" s="1"/>
  <c r="L7" i="1" s="1"/>
  <c r="L15" i="3"/>
  <c r="K7" i="1" s="1"/>
  <c r="L12" i="1" l="1"/>
  <c r="K18" i="2"/>
  <c r="K15" i="2"/>
  <c r="L10" i="1"/>
  <c r="L11" i="1" s="1"/>
  <c r="L13" i="1"/>
  <c r="L8" i="1"/>
  <c r="L14" i="1"/>
  <c r="K17" i="2" s="1"/>
  <c r="L16" i="1"/>
  <c r="H12" i="2"/>
  <c r="I22" i="1"/>
  <c r="I23" i="1" s="1"/>
  <c r="K10" i="1"/>
  <c r="K11" i="1" s="1"/>
  <c r="J18" i="2"/>
  <c r="J15" i="2"/>
  <c r="K12" i="1"/>
  <c r="K14" i="1"/>
  <c r="J17" i="2" s="1"/>
  <c r="K13" i="1"/>
  <c r="K8" i="1"/>
  <c r="K16" i="1"/>
  <c r="H19" i="1"/>
  <c r="J18" i="1"/>
  <c r="J19" i="1" s="1"/>
  <c r="M8" i="3"/>
  <c r="M14" i="3"/>
  <c r="M11" i="3"/>
  <c r="M16" i="3"/>
  <c r="L8" i="3"/>
  <c r="L14" i="3"/>
  <c r="L11" i="3"/>
  <c r="L16" i="3"/>
  <c r="H14" i="2" l="1"/>
  <c r="H19" i="2" s="1"/>
  <c r="H23" i="2" s="1"/>
  <c r="K18" i="1"/>
  <c r="K19" i="1" s="1"/>
  <c r="I12" i="2"/>
  <c r="J21" i="1"/>
  <c r="J22" i="1"/>
  <c r="J23" i="1" s="1"/>
  <c r="G12" i="2"/>
  <c r="G14" i="2" s="1"/>
  <c r="G19" i="2" s="1"/>
  <c r="H21" i="1"/>
  <c r="H22" i="1"/>
  <c r="H23" i="1" s="1"/>
  <c r="L18" i="1"/>
  <c r="L19" i="1" s="1"/>
  <c r="L22" i="1" l="1"/>
  <c r="L23" i="1" s="1"/>
  <c r="K12" i="2"/>
  <c r="L21" i="1"/>
  <c r="I14" i="2"/>
  <c r="I19" i="2" s="1"/>
  <c r="I23" i="2" s="1"/>
  <c r="K22" i="1"/>
  <c r="K23" i="1" s="1"/>
  <c r="J12" i="2"/>
  <c r="K21" i="1"/>
  <c r="J14" i="2" l="1"/>
  <c r="J19" i="2" s="1"/>
  <c r="K14" i="2"/>
  <c r="K19" i="2" s="1"/>
  <c r="K23" i="2" s="1"/>
  <c r="N5" i="2" l="1"/>
  <c r="D15" i="3" l="1"/>
  <c r="G22" i="2"/>
  <c r="N9" i="2"/>
  <c r="J6" i="2"/>
  <c r="J22" i="2" s="1"/>
  <c r="J23" i="2" s="1"/>
  <c r="D11" i="3" l="1"/>
  <c r="D8" i="3"/>
  <c r="F16" i="3"/>
  <c r="G16" i="3"/>
  <c r="D14" i="3"/>
  <c r="H16" i="3"/>
  <c r="E16" i="3"/>
  <c r="N10" i="2"/>
  <c r="N7" i="2"/>
  <c r="G23" i="2"/>
  <c r="N8" i="2" l="1"/>
  <c r="N11" i="2" s="1"/>
  <c r="D124" i="1"/>
  <c r="E124" i="1"/>
  <c r="F124" i="1"/>
  <c r="G124" i="1"/>
  <c r="C124" i="1"/>
  <c r="E8" i="1"/>
  <c r="F8" i="1"/>
  <c r="G8" i="1"/>
  <c r="D8" i="1"/>
  <c r="N12" i="2" l="1"/>
  <c r="N16" i="2" s="1"/>
  <c r="N20" i="2" l="1"/>
  <c r="N22" i="2" s="1"/>
</calcChain>
</file>

<file path=xl/sharedStrings.xml><?xml version="1.0" encoding="utf-8"?>
<sst xmlns="http://schemas.openxmlformats.org/spreadsheetml/2006/main" count="286" uniqueCount="202">
  <si>
    <t>Cantaloupe Inc (USTT)</t>
  </si>
  <si>
    <t>Income Statement - Annual (As Originally Reported)</t>
  </si>
  <si>
    <t>FYE June</t>
  </si>
  <si>
    <t>Currency</t>
  </si>
  <si>
    <t>USD</t>
  </si>
  <si>
    <t>Scale</t>
  </si>
  <si>
    <t>Million</t>
  </si>
  <si>
    <t>Total Revenue</t>
  </si>
  <si>
    <t xml:space="preserve">    Cost of Revenue, Total</t>
  </si>
  <si>
    <t>Gross Profit</t>
  </si>
  <si>
    <t xml:space="preserve">    Selling/General/Admin. Expenses, Total</t>
  </si>
  <si>
    <t xml:space="preserve">    Research &amp; Development</t>
  </si>
  <si>
    <t xml:space="preserve">    Depreciation/Amortization</t>
  </si>
  <si>
    <t xml:space="preserve">    Interest Exp.(Inc.), Net-Operating, Total</t>
  </si>
  <si>
    <t xml:space="preserve">    Unusual Expense (Income)</t>
  </si>
  <si>
    <t xml:space="preserve">    Other Operating Expenses, Total</t>
  </si>
  <si>
    <t>Total Operating Expense</t>
  </si>
  <si>
    <t>Operating Income</t>
  </si>
  <si>
    <t xml:space="preserve">    Interest Inc.(Exp.),Net-Non-Op., Total</t>
  </si>
  <si>
    <t xml:space="preserve">    Gain (Loss) on Sale of Assets</t>
  </si>
  <si>
    <t xml:space="preserve">    Other, Net</t>
  </si>
  <si>
    <t>Net Income Before Taxes</t>
  </si>
  <si>
    <t xml:space="preserve">    Provision for Income Taxes</t>
  </si>
  <si>
    <t>Net Income</t>
  </si>
  <si>
    <t>Preferred Dividends</t>
  </si>
  <si>
    <t>Basic EPS Excluding Extraordinary Items</t>
  </si>
  <si>
    <t>Basic EPS Including Extraordinary Items</t>
  </si>
  <si>
    <t>Normalized Basic EPS</t>
  </si>
  <si>
    <t>Basic Weighted Average Shares</t>
  </si>
  <si>
    <t>Diluted EPS Excluding ExtraOrd Items</t>
  </si>
  <si>
    <t>Diluted EPS Including ExtraOrd Items</t>
  </si>
  <si>
    <t>Normalized Diluted EPS</t>
  </si>
  <si>
    <t>Diluted Weighted Average Shares</t>
  </si>
  <si>
    <t>Dividends Per Share</t>
  </si>
  <si>
    <t>Number of Employees</t>
  </si>
  <si>
    <t>Balance Sheet - Annual (As Originally Reported)</t>
  </si>
  <si>
    <t xml:space="preserve">    Cash &amp; Equivalents</t>
  </si>
  <si>
    <t>Cash, Cash Equiv. &amp; Short Term Inv.</t>
  </si>
  <si>
    <t>Total Receivables, Net</t>
  </si>
  <si>
    <t>Total Inventory</t>
  </si>
  <si>
    <t>Prepaid Expenses</t>
  </si>
  <si>
    <t>Other Current Assets, Total</t>
  </si>
  <si>
    <t>Total Current Assets</t>
  </si>
  <si>
    <t xml:space="preserve">    Property/Plant/Equipment, Total - Gross</t>
  </si>
  <si>
    <t xml:space="preserve">    Accumulated Depreciation, Total</t>
  </si>
  <si>
    <t>Property/Plant/Equipment, Total - Net</t>
  </si>
  <si>
    <t>Goodwill, Net</t>
  </si>
  <si>
    <t>Intangibles, Net</t>
  </si>
  <si>
    <t>Long Term Investments</t>
  </si>
  <si>
    <t>Note Receivable - Long Term</t>
  </si>
  <si>
    <t>Other Long Term Assets, Total</t>
  </si>
  <si>
    <t>Other Assets, Total</t>
  </si>
  <si>
    <t>Total Assets</t>
  </si>
  <si>
    <t>Accounts Payable</t>
  </si>
  <si>
    <t>Payable/Accrued</t>
  </si>
  <si>
    <t>Accrued Expenses</t>
  </si>
  <si>
    <t>Current Port. of  LT Debt/Capital Leases</t>
  </si>
  <si>
    <t>Notes Payable/Short Term Debt</t>
  </si>
  <si>
    <t>Other Current Liabilities, Total</t>
  </si>
  <si>
    <t>Total Current Liabilities</t>
  </si>
  <si>
    <t xml:space="preserve">    Long Term Debt</t>
  </si>
  <si>
    <t xml:space="preserve">    Capital Lease Obligations</t>
  </si>
  <si>
    <t>Total Long Term Debt</t>
  </si>
  <si>
    <t>Deferred Income Tax</t>
  </si>
  <si>
    <t>Other Liabilities, Total</t>
  </si>
  <si>
    <t>Minority Interest</t>
  </si>
  <si>
    <t>Total Liabilities</t>
  </si>
  <si>
    <t>Redeemable Preferred Stock, Total</t>
  </si>
  <si>
    <t>Preferred Stock - Non Redeemable, Net</t>
  </si>
  <si>
    <t>Limited Partner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</si>
  <si>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</si>
  <si>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</si>
  <si>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</si>
  <si>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</si>
  <si>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</si>
  <si>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</si>
  <si>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</si>
  <si>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Total Equity</t>
  </si>
  <si>
    <t>Total Liabilities &amp; Shareholders' Equity</t>
  </si>
  <si>
    <t>Total Common Shares Outstanding</t>
  </si>
  <si>
    <t>Cash Flow - Annual (As Originally Reported)</t>
  </si>
  <si>
    <t>Changes in Working Capital</t>
  </si>
  <si>
    <t>Cash from Operating Activities</t>
  </si>
  <si>
    <t>Capital Expenditures</t>
  </si>
  <si>
    <t>Investment, Net</t>
  </si>
  <si>
    <t>Software Development Costs</t>
  </si>
  <si>
    <t>Sale of Fixed Assets</t>
  </si>
  <si>
    <t>Acquisition of Business</t>
  </si>
  <si>
    <t>Sale/Maturity of Investment</t>
  </si>
  <si>
    <t>Other Investing Cash Flow Items, Total</t>
  </si>
  <si>
    <t>Cash from Investing Activities</t>
  </si>
  <si>
    <t>Short Term Debt, Net</t>
  </si>
  <si>
    <t>Issuance (Retirement) of Debt, Net</t>
  </si>
  <si>
    <t>Issuance (Retirement) of Stock, Net</t>
  </si>
  <si>
    <t>Total Cash Dividends Paid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</si>
  <si>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</si>
  <si>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</si>
  <si>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</si>
  <si>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</si>
  <si>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</si>
  <si>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Ratio Analysis - Annual (As Originally Reported)</t>
  </si>
  <si>
    <t>Profitability</t>
  </si>
  <si>
    <t>Gross Margin</t>
  </si>
  <si>
    <t>Operating Margin</t>
  </si>
  <si>
    <t>Pretax Margin</t>
  </si>
  <si>
    <t>Effective Tax Rate</t>
  </si>
  <si>
    <t>Net Profit Margin</t>
  </si>
  <si>
    <t>Normalized EBIT</t>
  </si>
  <si>
    <t>Normalized EBITDA</t>
  </si>
  <si>
    <t>EBITDA Margin %</t>
  </si>
  <si>
    <t>Management Effectiveness</t>
  </si>
  <si>
    <t>Normalized Return on Equity % TTM</t>
  </si>
  <si>
    <t>Normalized Return on Capital % TTM</t>
  </si>
  <si>
    <t>Normalized Return on Assets % TTM</t>
  </si>
  <si>
    <t>Financial Strength</t>
  </si>
  <si>
    <t>Total Current Assets less Inventory</t>
  </si>
  <si>
    <t>Quick Ratio</t>
  </si>
  <si>
    <t>Current Ratio</t>
  </si>
  <si>
    <t>Net Debt</t>
  </si>
  <si>
    <t>Long Term Debt / Equity %</t>
  </si>
  <si>
    <t>Long Term Debt / Capital %</t>
  </si>
  <si>
    <t>Net Debt / Equity %</t>
  </si>
  <si>
    <t>Total Debt / Total Equity %</t>
  </si>
  <si>
    <t>Total Debt / Total Capital %</t>
  </si>
  <si>
    <t>Total Debt / Assets %</t>
  </si>
  <si>
    <t>Interest Coverage</t>
  </si>
  <si>
    <t>Financial Leverage Ratio</t>
  </si>
  <si>
    <t>Efficiency</t>
  </si>
  <si>
    <t>Days Inventory (DOH)</t>
  </si>
  <si>
    <t>Days Receivable (DSO)</t>
  </si>
  <si>
    <t>Days Payable (DP)</t>
  </si>
  <si>
    <t>Cash Cycle (DOH+DSO-DP)</t>
  </si>
  <si>
    <t>Asset Turnover TTM</t>
  </si>
  <si>
    <t>Receivables Turnover TTM</t>
  </si>
  <si>
    <t>Inventory Turnover TTM</t>
  </si>
  <si>
    <t>Payables Turnover TTM</t>
  </si>
  <si>
    <t>Sales / Inventory TTM</t>
  </si>
  <si>
    <t>Sales / Working Capital TTM</t>
  </si>
  <si>
    <t>Sales / Cash TTM</t>
  </si>
  <si>
    <t>Sales / Fixed Assets TTM</t>
  </si>
  <si>
    <t>Miscellaneous</t>
  </si>
  <si>
    <t>Free Cash Flow TTM</t>
  </si>
  <si>
    <t>Free Cash Flow Per Share TTM</t>
  </si>
  <si>
    <t>Book Value Per Share</t>
  </si>
  <si>
    <t>Tangible Book Value</t>
  </si>
  <si>
    <t>Tangible Book Value per Share</t>
  </si>
  <si>
    <t>Bank Total Revenue</t>
  </si>
  <si>
    <t>Year-over-year growth</t>
  </si>
  <si>
    <t>-</t>
  </si>
  <si>
    <t>Free Cash Flow</t>
  </si>
  <si>
    <t>Enterprise Value Calculation</t>
  </si>
  <si>
    <t>Tax Rate</t>
  </si>
  <si>
    <t>Discount Rate</t>
  </si>
  <si>
    <t>Growth Rate</t>
  </si>
  <si>
    <t>Forecast Period</t>
  </si>
  <si>
    <t>Discount Period</t>
  </si>
  <si>
    <t>Discount Factor</t>
  </si>
  <si>
    <t>Present Value of Terminal Value</t>
  </si>
  <si>
    <t>Warranted Enterprise Value</t>
  </si>
  <si>
    <t>Less: Taxes</t>
  </si>
  <si>
    <t>Less: Capitalized Expenditures</t>
  </si>
  <si>
    <t>Less: Changes in Net Oprating Assets</t>
  </si>
  <si>
    <t>Discount Period (mid period convention)</t>
  </si>
  <si>
    <t>Present Value of Free Cash Flows</t>
  </si>
  <si>
    <t>Implied Share Price</t>
  </si>
  <si>
    <t>Actuals</t>
  </si>
  <si>
    <t>Forecast</t>
  </si>
  <si>
    <t>Revenue Build</t>
  </si>
  <si>
    <t>Transaction Fees</t>
  </si>
  <si>
    <t>% of Total Revenue</t>
  </si>
  <si>
    <t>Subscription Fees</t>
  </si>
  <si>
    <t>Equipment sales</t>
  </si>
  <si>
    <t>Year-over-year Growth</t>
  </si>
  <si>
    <t>Forecast(see revenue build)</t>
  </si>
  <si>
    <t>r</t>
  </si>
  <si>
    <t>Key Model Drivers</t>
  </si>
  <si>
    <t>Revenue Drivers</t>
  </si>
  <si>
    <t>Cost Drivers</t>
  </si>
  <si>
    <t>SG&amp;A (% of Revenue)</t>
  </si>
  <si>
    <t>R&amp;D (% of Revenue)</t>
  </si>
  <si>
    <t>D&amp;A (% of Revenue)</t>
  </si>
  <si>
    <t>Cost of revenue (% Revenue)</t>
  </si>
  <si>
    <t>Unusual Expense (% of Revenue)</t>
  </si>
  <si>
    <t>see revenue build model</t>
  </si>
  <si>
    <t>EBITDA Margin</t>
  </si>
  <si>
    <t>EBITDA</t>
  </si>
  <si>
    <t>Cantaloupe Inc DCF Valuation</t>
  </si>
  <si>
    <t>Cash Flow Drivers</t>
  </si>
  <si>
    <t>CapEx(% of revenue)</t>
  </si>
  <si>
    <t>Plus: D&amp;A</t>
  </si>
  <si>
    <t>NWC (% of revenue)</t>
  </si>
  <si>
    <t>Terminal Value @ end of 2030</t>
  </si>
  <si>
    <t>Free Cash Flow - 2030</t>
  </si>
  <si>
    <t>(in millions)</t>
  </si>
  <si>
    <t>Enterprise Value to Equity Value</t>
  </si>
  <si>
    <t>Enterprise value</t>
  </si>
  <si>
    <t>Add: Cash</t>
  </si>
  <si>
    <t>Less: Total Debt</t>
  </si>
  <si>
    <t>Less: Preferred Stock</t>
  </si>
  <si>
    <t>Implied Common Equity Value</t>
  </si>
  <si>
    <t>Diluted Shares</t>
  </si>
  <si>
    <t>Historical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</si>
</sst>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164" formatCode="\$#,##0.0;[Red]\(\$#,##0.0\);\-"/>
    <numFmt numFmtId="165" formatCode="0.0\x;[Red]\(0.0\x\);\-"/>
    <numFmt numFmtId="166" formatCode="#,##0;[Red]\(#,##0\);\-"/>
    <numFmt numFmtId="167" formatCode="0.0%"/>
    <numFmt numFmtId="168" formatCode="0.0"/>
    <numFmt numFmtId="169" formatCode="0.00\x"/>
    <numFmt numFmtId="170" formatCode="&quot;$&quot;#,##0.00"/>
    <numFmt numFmtId="171" formatCode="#,##0.0"/>
    <numFmt numFmtId="172" formatCode="_(&quot;$&quot;* #,##0.0_);_(&quot;$&quot;* \(#,##0.0\);_(&quot;$&quot;* &quot;-&quot;??_);_(@_)"/>
    <numFmt numFmtId="173" formatCode="#,##0.0_);[Red]\(#,##0.0\)"/>
    <numFmt numFmtId="174" formatCode="_(* #,##0.0_);_(&quot;$&quot;* \(#,##0.0\);_(&quot;$&quot;* &quot;-&quot;??_);_(@_)"/>
  </numFmts>
  <fonts count="50">
    <font>
      <sz val="11"/>
      <name val="Carlito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2D3D"/>
      <name val="Arial"/>
      <family val="2"/>
    </font>
    <font>
      <sz val="10"/>
      <color rgb="FF202124"/>
      <name val="Arial"/>
      <family val="2"/>
    </font>
    <font>
      <i/>
      <sz val="10"/>
      <color rgb="FF50647A"/>
      <name val="Arial"/>
      <family val="2"/>
    </font>
    <font>
      <b/>
      <sz val="11"/>
      <color rgb="FF1F2D3D"/>
      <name val="Arial"/>
      <family val="2"/>
    </font>
    <font>
      <b/>
      <sz val="16"/>
      <color rgb="FF1F2D3D"/>
      <name val="Arial"/>
      <family val="2"/>
    </font>
    <font>
      <b/>
      <sz val="10"/>
      <color rgb="FF202124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i/>
      <sz val="11"/>
      <name val="Arial"/>
      <family val="2"/>
    </font>
    <font>
      <b/>
      <i/>
      <sz val="10"/>
      <color rgb="FF1F2D3D"/>
      <name val="Arial"/>
      <family val="2"/>
    </font>
    <font>
      <sz val="10"/>
      <name val="Helv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name val="Carlito"/>
    </font>
    <font>
      <i/>
      <sz val="10"/>
      <color rgb="FF202124"/>
      <name val="Arial"/>
      <family val="2"/>
    </font>
    <font>
      <b/>
      <sz val="11"/>
      <name val="Arial"/>
      <family val="2"/>
    </font>
    <font>
      <b/>
      <sz val="11"/>
      <color rgb="FF202124"/>
      <name val="Arial"/>
      <family val="2"/>
    </font>
    <font>
      <i/>
      <sz val="11"/>
      <color rgb="FF202124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206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3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EFD8"/>
      </patternFill>
    </fill>
    <fill>
      <patternFill patternType="solid">
        <fgColor rgb="FFEAF2F8"/>
      </patternFill>
    </fill>
    <fill>
      <patternFill patternType="solid">
        <fgColor rgb="FFDDE5EB"/>
      </patternFill>
    </fill>
    <fill>
      <patternFill patternType="solid">
        <fgColor rgb="FF1F2D3D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202124"/>
      </bottom>
      <diagonal/>
    </border>
    <border>
      <left style="thin">
        <color rgb="FFEAF2F8"/>
      </left>
      <right/>
      <top style="thin">
        <color rgb="FFEAF2F8"/>
      </top>
      <bottom style="thin">
        <color rgb="FFEAF2F8"/>
      </bottom>
      <diagonal/>
    </border>
    <border>
      <left/>
      <right/>
      <top style="thin">
        <color rgb="FF1F2D3D"/>
      </top>
      <bottom style="thin">
        <color rgb="FF1F2D3D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A7A7A3"/>
      </bottom>
      <diagonal/>
    </border>
    <border>
      <left/>
      <right/>
      <top style="thin">
        <color rgb="FF20212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202124"/>
      </bottom>
      <diagonal/>
    </border>
    <border>
      <left/>
      <right/>
      <top style="thin">
        <color rgb="FF20212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rgb="FFEAF2F8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9" fillId="0" borderId="0">
      <alignment vertical="center"/>
    </xf>
    <xf numFmtId="164" fontId="20" fillId="0" borderId="0">
      <alignment vertical="center"/>
    </xf>
    <xf numFmtId="0" fontId="21" fillId="0" borderId="10">
      <alignment horizontal="left" vertical="center"/>
    </xf>
    <xf numFmtId="164" fontId="22" fillId="0" borderId="0">
      <alignment vertical="center"/>
    </xf>
    <xf numFmtId="164" fontId="23" fillId="33" borderId="0">
      <alignment vertical="center"/>
    </xf>
    <xf numFmtId="0" fontId="24" fillId="34" borderId="11"/>
    <xf numFmtId="0" fontId="25" fillId="0" borderId="0">
      <alignment horizontal="left"/>
    </xf>
    <xf numFmtId="0" fontId="26" fillId="0" borderId="0">
      <alignment horizontal="left"/>
    </xf>
    <xf numFmtId="165" fontId="27" fillId="34" borderId="12">
      <alignment vertical="center"/>
    </xf>
    <xf numFmtId="0" fontId="28" fillId="0" borderId="13">
      <alignment vertical="center"/>
    </xf>
    <xf numFmtId="0" fontId="29" fillId="35" borderId="14">
      <alignment vertical="center"/>
    </xf>
    <xf numFmtId="0" fontId="21" fillId="0" borderId="15">
      <alignment horizontal="left" vertical="center"/>
    </xf>
    <xf numFmtId="166" fontId="30" fillId="0" borderId="16">
      <alignment vertical="center"/>
    </xf>
    <xf numFmtId="0" fontId="32" fillId="36" borderId="0">
      <alignment vertical="center"/>
    </xf>
    <xf numFmtId="0" fontId="21" fillId="0" borderId="25" applyAlignment="0">
      <alignment horizontal="left" vertical="center"/>
    </xf>
    <xf numFmtId="0" fontId="35" fillId="0" borderId="0"/>
    <xf numFmtId="0" fontId="36" fillId="0" borderId="0"/>
  </cellStyleXfs>
  <cellXfs count="148">
    <xf numFmtId="0" fontId="0" fillId="0" borderId="0" xfId="0"/>
    <xf numFmtId="0" fontId="31" fillId="0" borderId="0" xfId="0" applyFont="1"/>
    <xf numFmtId="0" fontId="32" fillId="36" borderId="0" xfId="56">
      <alignment vertical="center"/>
    </xf>
    <xf numFmtId="0" fontId="31" fillId="0" borderId="17" xfId="0" applyFont="1" applyBorder="1"/>
    <xf numFmtId="0" fontId="24" fillId="34" borderId="19" xfId="48" applyBorder="1"/>
    <xf numFmtId="0" fontId="24" fillId="34" borderId="20" xfId="48" applyBorder="1"/>
    <xf numFmtId="0" fontId="29" fillId="35" borderId="17" xfId="53" applyBorder="1">
      <alignment vertical="center"/>
    </xf>
    <xf numFmtId="14" fontId="29" fillId="35" borderId="17" xfId="53" applyNumberFormat="1" applyBorder="1">
      <alignment vertical="center"/>
    </xf>
    <xf numFmtId="0" fontId="34" fillId="34" borderId="19" xfId="48" applyFont="1" applyBorder="1"/>
    <xf numFmtId="0" fontId="38" fillId="0" borderId="0" xfId="0" applyFont="1"/>
    <xf numFmtId="10" fontId="0" fillId="0" borderId="0" xfId="0" applyNumberFormat="1"/>
    <xf numFmtId="0" fontId="39" fillId="0" borderId="0" xfId="49" applyFont="1" applyAlignment="1">
      <alignment horizontal="left" indent="1"/>
    </xf>
    <xf numFmtId="0" fontId="36" fillId="0" borderId="0" xfId="58" applyFont="1"/>
    <xf numFmtId="0" fontId="40" fillId="0" borderId="0" xfId="0" applyFont="1"/>
    <xf numFmtId="14" fontId="29" fillId="35" borderId="28" xfId="53" applyNumberFormat="1" applyBorder="1">
      <alignment vertical="center"/>
    </xf>
    <xf numFmtId="14" fontId="29" fillId="35" borderId="29" xfId="53" applyNumberFormat="1" applyBorder="1">
      <alignment vertical="center"/>
    </xf>
    <xf numFmtId="0" fontId="31" fillId="0" borderId="30" xfId="0" applyFont="1" applyBorder="1"/>
    <xf numFmtId="0" fontId="31" fillId="0" borderId="31" xfId="0" applyFont="1" applyBorder="1"/>
    <xf numFmtId="0" fontId="31" fillId="0" borderId="28" xfId="0" applyFont="1" applyBorder="1"/>
    <xf numFmtId="0" fontId="31" fillId="0" borderId="29" xfId="0" applyFont="1" applyBorder="1"/>
    <xf numFmtId="168" fontId="31" fillId="0" borderId="30" xfId="0" applyNumberFormat="1" applyFont="1" applyBorder="1"/>
    <xf numFmtId="168" fontId="31" fillId="0" borderId="0" xfId="0" applyNumberFormat="1" applyFont="1"/>
    <xf numFmtId="168" fontId="31" fillId="0" borderId="31" xfId="0" applyNumberFormat="1" applyFont="1" applyBorder="1"/>
    <xf numFmtId="0" fontId="31" fillId="37" borderId="0" xfId="0" applyFont="1" applyFill="1"/>
    <xf numFmtId="167" fontId="23" fillId="0" borderId="30" xfId="47" applyNumberFormat="1" applyFill="1" applyBorder="1">
      <alignment vertical="center"/>
    </xf>
    <xf numFmtId="167" fontId="23" fillId="0" borderId="0" xfId="47" applyNumberFormat="1" applyFill="1">
      <alignment vertical="center"/>
    </xf>
    <xf numFmtId="167" fontId="23" fillId="0" borderId="31" xfId="47" applyNumberFormat="1" applyFill="1" applyBorder="1">
      <alignment vertical="center"/>
    </xf>
    <xf numFmtId="0" fontId="32" fillId="36" borderId="31" xfId="56" applyBorder="1">
      <alignment vertical="center"/>
    </xf>
    <xf numFmtId="0" fontId="41" fillId="35" borderId="17" xfId="53" applyFont="1" applyBorder="1">
      <alignment vertical="center"/>
    </xf>
    <xf numFmtId="0" fontId="31" fillId="0" borderId="0" xfId="58" applyFont="1"/>
    <xf numFmtId="0" fontId="42" fillId="0" borderId="0" xfId="49" applyFont="1" applyAlignment="1">
      <alignment horizontal="left" indent="1"/>
    </xf>
    <xf numFmtId="168" fontId="40" fillId="0" borderId="30" xfId="0" applyNumberFormat="1" applyFont="1" applyBorder="1"/>
    <xf numFmtId="168" fontId="40" fillId="0" borderId="0" xfId="0" applyNumberFormat="1" applyFont="1"/>
    <xf numFmtId="168" fontId="40" fillId="0" borderId="31" xfId="0" applyNumberFormat="1" applyFont="1" applyBorder="1"/>
    <xf numFmtId="0" fontId="43" fillId="0" borderId="0" xfId="54" applyFont="1" applyBorder="1">
      <alignment horizontal="left" vertical="center"/>
    </xf>
    <xf numFmtId="0" fontId="44" fillId="0" borderId="0" xfId="54" applyFont="1" applyBorder="1" applyAlignment="1">
      <alignment horizontal="left" vertical="center" indent="1"/>
    </xf>
    <xf numFmtId="10" fontId="22" fillId="0" borderId="0" xfId="54" applyNumberFormat="1" applyFont="1" applyBorder="1" applyAlignment="1">
      <alignment horizontal="right" vertical="center"/>
    </xf>
    <xf numFmtId="0" fontId="22" fillId="0" borderId="0" xfId="54" applyFont="1" applyBorder="1">
      <alignment horizontal="left" vertical="center"/>
    </xf>
    <xf numFmtId="0" fontId="36" fillId="0" borderId="0" xfId="59"/>
    <xf numFmtId="0" fontId="46" fillId="0" borderId="0" xfId="58" applyFont="1"/>
    <xf numFmtId="0" fontId="47" fillId="0" borderId="0" xfId="59" applyFont="1"/>
    <xf numFmtId="9" fontId="45" fillId="37" borderId="26" xfId="59" applyNumberFormat="1" applyFont="1" applyFill="1" applyBorder="1"/>
    <xf numFmtId="9" fontId="36" fillId="37" borderId="23" xfId="59" applyNumberFormat="1" applyFill="1" applyBorder="1"/>
    <xf numFmtId="0" fontId="36" fillId="0" borderId="26" xfId="59" applyBorder="1"/>
    <xf numFmtId="9" fontId="45" fillId="37" borderId="28" xfId="59" applyNumberFormat="1" applyFont="1" applyFill="1" applyBorder="1"/>
    <xf numFmtId="9" fontId="36" fillId="37" borderId="17" xfId="59" applyNumberFormat="1" applyFill="1" applyBorder="1"/>
    <xf numFmtId="9" fontId="36" fillId="37" borderId="29" xfId="59" applyNumberFormat="1" applyFill="1" applyBorder="1"/>
    <xf numFmtId="0" fontId="36" fillId="0" borderId="30" xfId="59" applyBorder="1"/>
    <xf numFmtId="9" fontId="36" fillId="0" borderId="29" xfId="59" applyNumberFormat="1" applyBorder="1"/>
    <xf numFmtId="0" fontId="48" fillId="0" borderId="30" xfId="59" applyFont="1" applyBorder="1"/>
    <xf numFmtId="168" fontId="36" fillId="0" borderId="31" xfId="59" applyNumberFormat="1" applyBorder="1"/>
    <xf numFmtId="169" fontId="36" fillId="0" borderId="29" xfId="59" applyNumberFormat="1" applyBorder="1"/>
    <xf numFmtId="0" fontId="48" fillId="37" borderId="19" xfId="59" applyFont="1" applyFill="1" applyBorder="1"/>
    <xf numFmtId="0" fontId="36" fillId="0" borderId="17" xfId="59" applyBorder="1"/>
    <xf numFmtId="0" fontId="48" fillId="0" borderId="0" xfId="59" applyFont="1"/>
    <xf numFmtId="169" fontId="36" fillId="0" borderId="17" xfId="59" applyNumberFormat="1" applyBorder="1"/>
    <xf numFmtId="170" fontId="36" fillId="0" borderId="0" xfId="59" applyNumberFormat="1"/>
    <xf numFmtId="171" fontId="36" fillId="0" borderId="0" xfId="59" applyNumberFormat="1"/>
    <xf numFmtId="173" fontId="36" fillId="0" borderId="17" xfId="59" applyNumberFormat="1" applyBorder="1"/>
    <xf numFmtId="172" fontId="36" fillId="0" borderId="27" xfId="59" applyNumberFormat="1" applyBorder="1"/>
    <xf numFmtId="172" fontId="48" fillId="0" borderId="31" xfId="59" applyNumberFormat="1" applyFont="1" applyBorder="1"/>
    <xf numFmtId="172" fontId="48" fillId="37" borderId="22" xfId="59" applyNumberFormat="1" applyFont="1" applyFill="1" applyBorder="1"/>
    <xf numFmtId="10" fontId="40" fillId="0" borderId="0" xfId="0" applyNumberFormat="1" applyFont="1"/>
    <xf numFmtId="167" fontId="31" fillId="0" borderId="0" xfId="0" applyNumberFormat="1" applyFont="1"/>
    <xf numFmtId="167" fontId="33" fillId="0" borderId="0" xfId="0" applyNumberFormat="1" applyFont="1"/>
    <xf numFmtId="167" fontId="33" fillId="0" borderId="30" xfId="0" applyNumberFormat="1" applyFont="1" applyBorder="1"/>
    <xf numFmtId="167" fontId="33" fillId="0" borderId="31" xfId="0" applyNumberFormat="1" applyFont="1" applyBorder="1"/>
    <xf numFmtId="167" fontId="24" fillId="34" borderId="20" xfId="48" applyNumberFormat="1" applyBorder="1"/>
    <xf numFmtId="167" fontId="24" fillId="34" borderId="32" xfId="48" applyNumberFormat="1" applyBorder="1"/>
    <xf numFmtId="167" fontId="24" fillId="34" borderId="21" xfId="48" applyNumberFormat="1" applyBorder="1"/>
    <xf numFmtId="10" fontId="38" fillId="0" borderId="0" xfId="0" applyNumberFormat="1" applyFont="1"/>
    <xf numFmtId="0" fontId="28" fillId="0" borderId="13" xfId="52">
      <alignment vertical="center"/>
    </xf>
    <xf numFmtId="0" fontId="36" fillId="0" borderId="0" xfId="0" applyFont="1"/>
    <xf numFmtId="0" fontId="24" fillId="0" borderId="13" xfId="52" applyFont="1">
      <alignment vertical="center"/>
    </xf>
    <xf numFmtId="0" fontId="32" fillId="37" borderId="0" xfId="56" applyFill="1">
      <alignment vertical="center"/>
    </xf>
    <xf numFmtId="0" fontId="36" fillId="0" borderId="30" xfId="0" applyFont="1" applyBorder="1"/>
    <xf numFmtId="0" fontId="36" fillId="0" borderId="31" xfId="0" applyFont="1" applyBorder="1"/>
    <xf numFmtId="0" fontId="36" fillId="0" borderId="17" xfId="0" applyFont="1" applyBorder="1"/>
    <xf numFmtId="0" fontId="36" fillId="0" borderId="28" xfId="0" applyFont="1" applyBorder="1"/>
    <xf numFmtId="0" fontId="36" fillId="0" borderId="29" xfId="0" applyFont="1" applyBorder="1"/>
    <xf numFmtId="168" fontId="36" fillId="0" borderId="0" xfId="0" applyNumberFormat="1" applyFont="1"/>
    <xf numFmtId="168" fontId="36" fillId="0" borderId="30" xfId="0" applyNumberFormat="1" applyFont="1" applyBorder="1"/>
    <xf numFmtId="168" fontId="36" fillId="0" borderId="31" xfId="0" applyNumberFormat="1" applyFont="1" applyBorder="1"/>
    <xf numFmtId="10" fontId="24" fillId="34" borderId="20" xfId="48" applyNumberFormat="1" applyBorder="1"/>
    <xf numFmtId="167" fontId="34" fillId="34" borderId="20" xfId="48" applyNumberFormat="1" applyFont="1" applyBorder="1"/>
    <xf numFmtId="167" fontId="34" fillId="34" borderId="19" xfId="48" applyNumberFormat="1" applyFont="1" applyBorder="1"/>
    <xf numFmtId="167" fontId="34" fillId="34" borderId="21" xfId="48" applyNumberFormat="1" applyFont="1" applyBorder="1"/>
    <xf numFmtId="1" fontId="36" fillId="0" borderId="30" xfId="0" applyNumberFormat="1" applyFont="1" applyBorder="1"/>
    <xf numFmtId="1" fontId="36" fillId="0" borderId="0" xfId="0" applyNumberFormat="1" applyFont="1"/>
    <xf numFmtId="1" fontId="36" fillId="0" borderId="31" xfId="0" applyNumberFormat="1" applyFont="1" applyBorder="1"/>
    <xf numFmtId="0" fontId="21" fillId="0" borderId="23" xfId="54" applyBorder="1">
      <alignment horizontal="left" vertical="center"/>
    </xf>
    <xf numFmtId="168" fontId="21" fillId="0" borderId="23" xfId="54" applyNumberFormat="1" applyBorder="1" applyAlignment="1">
      <alignment horizontal="right" vertical="center"/>
    </xf>
    <xf numFmtId="168" fontId="21" fillId="0" borderId="26" xfId="54" applyNumberFormat="1" applyBorder="1" applyAlignment="1">
      <alignment horizontal="right" vertical="center"/>
    </xf>
    <xf numFmtId="168" fontId="21" fillId="0" borderId="27" xfId="54" applyNumberFormat="1" applyBorder="1" applyAlignment="1">
      <alignment horizontal="right" vertical="center"/>
    </xf>
    <xf numFmtId="0" fontId="21" fillId="0" borderId="0" xfId="54" applyBorder="1">
      <alignment horizontal="left" vertical="center"/>
    </xf>
    <xf numFmtId="0" fontId="21" fillId="0" borderId="0" xfId="54" applyBorder="1" applyAlignment="1">
      <alignment horizontal="right" vertical="center"/>
    </xf>
    <xf numFmtId="2" fontId="21" fillId="0" borderId="30" xfId="54" applyNumberFormat="1" applyBorder="1" applyAlignment="1">
      <alignment horizontal="right" vertical="center"/>
    </xf>
    <xf numFmtId="2" fontId="21" fillId="0" borderId="0" xfId="54" applyNumberFormat="1" applyBorder="1" applyAlignment="1">
      <alignment horizontal="right" vertical="center"/>
    </xf>
    <xf numFmtId="2" fontId="21" fillId="0" borderId="31" xfId="54" applyNumberFormat="1" applyBorder="1" applyAlignment="1">
      <alignment horizontal="right" vertical="center"/>
    </xf>
    <xf numFmtId="168" fontId="21" fillId="0" borderId="0" xfId="54" applyNumberFormat="1" applyBorder="1" applyAlignment="1">
      <alignment horizontal="right" vertical="center"/>
    </xf>
    <xf numFmtId="168" fontId="21" fillId="0" borderId="30" xfId="54" applyNumberFormat="1" applyBorder="1" applyAlignment="1">
      <alignment horizontal="right" vertical="center"/>
    </xf>
    <xf numFmtId="168" fontId="21" fillId="0" borderId="31" xfId="54" applyNumberFormat="1" applyBorder="1" applyAlignment="1">
      <alignment horizontal="right" vertical="center"/>
    </xf>
    <xf numFmtId="167" fontId="44" fillId="0" borderId="0" xfId="54" applyNumberFormat="1" applyFont="1" applyBorder="1" applyAlignment="1">
      <alignment horizontal="right" vertical="center"/>
    </xf>
    <xf numFmtId="167" fontId="44" fillId="0" borderId="28" xfId="54" applyNumberFormat="1" applyFont="1" applyBorder="1" applyAlignment="1">
      <alignment horizontal="right" vertical="center"/>
    </xf>
    <xf numFmtId="167" fontId="44" fillId="0" borderId="17" xfId="54" applyNumberFormat="1" applyFont="1" applyBorder="1" applyAlignment="1">
      <alignment horizontal="right" vertical="center"/>
    </xf>
    <xf numFmtId="167" fontId="44" fillId="0" borderId="29" xfId="54" applyNumberFormat="1" applyFont="1" applyBorder="1" applyAlignment="1">
      <alignment horizontal="right" vertical="center"/>
    </xf>
    <xf numFmtId="0" fontId="29" fillId="35" borderId="14" xfId="53">
      <alignment vertical="center"/>
    </xf>
    <xf numFmtId="0" fontId="29" fillId="35" borderId="0" xfId="53" applyBorder="1">
      <alignment vertical="center"/>
    </xf>
    <xf numFmtId="167" fontId="36" fillId="0" borderId="0" xfId="0" applyNumberFormat="1" applyFont="1"/>
    <xf numFmtId="167" fontId="23" fillId="33" borderId="26" xfId="47" applyNumberFormat="1" applyBorder="1">
      <alignment vertical="center"/>
    </xf>
    <xf numFmtId="167" fontId="23" fillId="33" borderId="23" xfId="47" applyNumberFormat="1" applyBorder="1">
      <alignment vertical="center"/>
    </xf>
    <xf numFmtId="167" fontId="23" fillId="33" borderId="27" xfId="47" applyNumberFormat="1" applyBorder="1">
      <alignment vertical="center"/>
    </xf>
    <xf numFmtId="167" fontId="23" fillId="33" borderId="30" xfId="47" applyNumberFormat="1" applyBorder="1">
      <alignment vertical="center"/>
    </xf>
    <xf numFmtId="167" fontId="23" fillId="33" borderId="0" xfId="47" applyNumberFormat="1">
      <alignment vertical="center"/>
    </xf>
    <xf numFmtId="167" fontId="23" fillId="33" borderId="31" xfId="47" applyNumberFormat="1" applyBorder="1">
      <alignment vertical="center"/>
    </xf>
    <xf numFmtId="167" fontId="23" fillId="33" borderId="28" xfId="47" applyNumberFormat="1" applyBorder="1">
      <alignment vertical="center"/>
    </xf>
    <xf numFmtId="167" fontId="23" fillId="33" borderId="17" xfId="47" applyNumberFormat="1" applyBorder="1">
      <alignment vertical="center"/>
    </xf>
    <xf numFmtId="167" fontId="23" fillId="33" borderId="29" xfId="47" applyNumberFormat="1" applyBorder="1">
      <alignment vertical="center"/>
    </xf>
    <xf numFmtId="167" fontId="22" fillId="0" borderId="0" xfId="54" applyNumberFormat="1" applyFont="1" applyBorder="1" applyAlignment="1">
      <alignment horizontal="right" vertical="center"/>
    </xf>
    <xf numFmtId="0" fontId="49" fillId="36" borderId="0" xfId="56" applyFont="1">
      <alignment vertical="center"/>
    </xf>
    <xf numFmtId="0" fontId="32" fillId="0" borderId="0" xfId="56" applyFill="1">
      <alignment vertical="center"/>
    </xf>
    <xf numFmtId="0" fontId="21" fillId="0" borderId="24" xfId="45" applyBorder="1">
      <alignment horizontal="left" vertical="center"/>
    </xf>
    <xf numFmtId="2" fontId="21" fillId="0" borderId="24" xfId="45" applyNumberFormat="1" applyBorder="1" applyAlignment="1">
      <alignment horizontal="right" vertical="center"/>
    </xf>
    <xf numFmtId="14" fontId="29" fillId="35" borderId="14" xfId="53" applyNumberFormat="1">
      <alignment vertical="center"/>
    </xf>
    <xf numFmtId="0" fontId="21" fillId="0" borderId="15" xfId="54">
      <alignment horizontal="left" vertical="center"/>
    </xf>
    <xf numFmtId="0" fontId="21" fillId="0" borderId="15" xfId="54" applyAlignment="1">
      <alignment horizontal="right" vertical="center"/>
    </xf>
    <xf numFmtId="0" fontId="21" fillId="0" borderId="25" xfId="54" applyBorder="1">
      <alignment horizontal="left" vertical="center"/>
    </xf>
    <xf numFmtId="0" fontId="21" fillId="0" borderId="25" xfId="54" applyBorder="1" applyAlignment="1">
      <alignment horizontal="right" vertical="center"/>
    </xf>
    <xf numFmtId="167" fontId="44" fillId="0" borderId="30" xfId="54" applyNumberFormat="1" applyFont="1" applyBorder="1" applyAlignment="1">
      <alignment horizontal="right" vertical="center"/>
    </xf>
    <xf numFmtId="167" fontId="44" fillId="0" borderId="31" xfId="54" applyNumberFormat="1" applyFont="1" applyBorder="1" applyAlignment="1">
      <alignment horizontal="right" vertical="center"/>
    </xf>
    <xf numFmtId="174" fontId="48" fillId="0" borderId="0" xfId="1" applyNumberFormat="1" applyFont="1" applyBorder="1" applyAlignment="1">
      <alignment horizontal="right"/>
    </xf>
    <xf numFmtId="0" fontId="36" fillId="0" borderId="31" xfId="59" applyBorder="1"/>
    <xf numFmtId="172" fontId="48" fillId="0" borderId="27" xfId="59" applyNumberFormat="1" applyFont="1" applyBorder="1"/>
    <xf numFmtId="167" fontId="23" fillId="33" borderId="18" xfId="47" applyNumberFormat="1" applyBorder="1">
      <alignment vertical="center"/>
    </xf>
    <xf numFmtId="0" fontId="37" fillId="37" borderId="0" xfId="56" applyFont="1" applyFill="1" applyAlignment="1">
      <alignment horizontal="center" vertical="center"/>
    </xf>
    <xf numFmtId="0" fontId="32" fillId="37" borderId="0" xfId="56" applyFill="1" applyAlignment="1">
      <alignment horizontal="center" vertical="center"/>
    </xf>
    <xf numFmtId="0" fontId="37" fillId="38" borderId="30" xfId="56" applyFont="1" applyFill="1" applyBorder="1" applyAlignment="1">
      <alignment horizontal="center" vertical="center"/>
    </xf>
    <xf numFmtId="0" fontId="32" fillId="38" borderId="0" xfId="56" applyFill="1" applyAlignment="1">
      <alignment horizontal="center" vertical="center"/>
    </xf>
    <xf numFmtId="0" fontId="32" fillId="38" borderId="31" xfId="56" applyFill="1" applyBorder="1" applyAlignment="1">
      <alignment horizontal="center" vertical="center"/>
    </xf>
    <xf numFmtId="0" fontId="29" fillId="35" borderId="14" xfId="53" applyAlignment="1">
      <alignment horizontal="center" vertical="center"/>
    </xf>
    <xf numFmtId="0" fontId="48" fillId="37" borderId="19" xfId="59" applyFont="1" applyFill="1" applyBorder="1" applyAlignment="1">
      <alignment horizontal="center"/>
    </xf>
    <xf numFmtId="0" fontId="48" fillId="37" borderId="22" xfId="59" applyFont="1" applyFill="1" applyBorder="1" applyAlignment="1">
      <alignment horizontal="center"/>
    </xf>
    <xf numFmtId="0" fontId="48" fillId="37" borderId="26" xfId="59" applyFont="1" applyFill="1" applyBorder="1" applyAlignment="1">
      <alignment horizontal="center" vertical="center"/>
    </xf>
    <xf numFmtId="0" fontId="48" fillId="37" borderId="23" xfId="59" applyFont="1" applyFill="1" applyBorder="1" applyAlignment="1">
      <alignment horizontal="center" vertical="center"/>
    </xf>
    <xf numFmtId="0" fontId="48" fillId="37" borderId="27" xfId="59" applyFont="1" applyFill="1" applyBorder="1" applyAlignment="1">
      <alignment horizontal="center" vertical="center"/>
    </xf>
    <xf numFmtId="0" fontId="48" fillId="37" borderId="28" xfId="59" applyFont="1" applyFill="1" applyBorder="1" applyAlignment="1">
      <alignment horizontal="center" vertical="center"/>
    </xf>
    <xf numFmtId="0" fontId="48" fillId="37" borderId="17" xfId="59" applyFont="1" applyFill="1" applyBorder="1" applyAlignment="1">
      <alignment horizontal="center" vertical="center"/>
    </xf>
    <xf numFmtId="0" fontId="48" fillId="37" borderId="29" xfId="59" applyFont="1" applyFill="1" applyBorder="1" applyAlignment="1">
      <alignment horizontal="center" vertical="center"/>
    </xf>
  </cellXfs>
  <cellStyles count="6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ross-sheet link" xfId="43" xr:uid="{E4273C7E-CEF0-B647-A2CC-0F874A5F3D6D}"/>
    <cellStyle name="Currency" xfId="1" builtinId="4"/>
    <cellStyle name="Explanatory Text" xfId="17" builtinId="53" customBuiltin="1"/>
    <cellStyle name="External link" xfId="44" xr:uid="{3A3E81C3-4057-2041-A629-30CB94F7D825}"/>
    <cellStyle name="Final total" xfId="45" xr:uid="{1B866807-F23E-CE4E-9534-FC4825FC5CF0}"/>
    <cellStyle name="Final total 2" xfId="57" xr:uid="{8ED04804-58D8-E249-BF87-E8365075A6A3}"/>
    <cellStyle name="Formula" xfId="46" xr:uid="{F2D79C70-E969-CB41-B9E5-3A5BAB3B5D12}"/>
    <cellStyle name="Good" xfId="7" builtinId="26" customBuiltin="1"/>
    <cellStyle name="Hardcoded Input" xfId="47" xr:uid="{43FD4EA9-AE4C-CA41-98A2-F876DEDF1213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ighlighted row" xfId="48" xr:uid="{EEB9C046-596B-0748-B5CE-9700EEED24C4}"/>
    <cellStyle name="Indented row label" xfId="49" xr:uid="{4E60BC67-AF1E-EF4E-80BF-71A961167F22}"/>
    <cellStyle name="indented submetric" xfId="50" xr:uid="{BF5E7F3F-B943-A44B-89F9-3D0E0E78B3C9}"/>
    <cellStyle name="Input" xfId="10" builtinId="20" customBuiltin="1"/>
    <cellStyle name="Key Output" xfId="51" xr:uid="{4B4A9241-079E-4E4C-96E2-66E32E0959DB}"/>
    <cellStyle name="Linked Cell" xfId="13" builtinId="24" customBuiltin="1"/>
    <cellStyle name="Main Title" xfId="52" xr:uid="{C25CD539-4082-3F41-B344-E5DAA52A5987}"/>
    <cellStyle name="Neutral" xfId="9" builtinId="28" customBuiltin="1"/>
    <cellStyle name="Normal" xfId="0" builtinId="0" customBuiltin="1"/>
    <cellStyle name="Normal 2" xfId="59" xr:uid="{E2B5E6D5-7028-F94B-82C3-49A1D8F85E1A}"/>
    <cellStyle name="Normal_Income Statements" xfId="58" xr:uid="{31E1277A-D1FD-714E-8B24-20F64B359585}"/>
    <cellStyle name="Note" xfId="16" builtinId="10" customBuiltin="1"/>
    <cellStyle name="Output" xfId="11" builtinId="21" customBuiltin="1"/>
    <cellStyle name="Section Header" xfId="53" xr:uid="{87E363FC-8095-E246-BAF8-CE74FD7BB18C}"/>
    <cellStyle name="SECTIONHEADER" xfId="56" xr:uid="{33DA45FF-021A-A44F-9BD8-403C19D35CC6}"/>
    <cellStyle name="Subtotal" xfId="54" xr:uid="{0A3EAC46-A747-384E-8871-9FF0F8EECB66}"/>
    <cellStyle name="Title" xfId="2" builtinId="15" customBuiltin="1"/>
    <cellStyle name="Total" xfId="18" builtinId="25" customBuiltin="1"/>
    <cellStyle name="Warning check" xfId="55" xr:uid="{907189BA-439D-4A46-8084-E9DEC4CA57CC}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Evan_Final_Theme">
  <a:themeElements>
    <a:clrScheme name="202124">
      <a:dk1>
        <a:srgbClr val="202024"/>
      </a:dk1>
      <a:lt1>
        <a:srgbClr val="FFFFFF"/>
      </a:lt1>
      <a:dk2>
        <a:srgbClr val="1F2C3C"/>
      </a:dk2>
      <a:lt2>
        <a:srgbClr val="DDE5EB"/>
      </a:lt2>
      <a:accent1>
        <a:srgbClr val="506479"/>
      </a:accent1>
      <a:accent2>
        <a:srgbClr val="777DB8"/>
      </a:accent2>
      <a:accent3>
        <a:srgbClr val="91B9D5"/>
      </a:accent3>
      <a:accent4>
        <a:srgbClr val="C3B96E"/>
      </a:accent4>
      <a:accent5>
        <a:srgbClr val="EAF2F8"/>
      </a:accent5>
      <a:accent6>
        <a:srgbClr val="F3EFD8"/>
      </a:accent6>
      <a:hlink>
        <a:srgbClr val="0563C1"/>
      </a:hlink>
      <a:folHlink>
        <a:srgbClr val="954F71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1999-05AF-6E4B-8F28-877AEC3F41D3}">
  <dimension ref="A1:Q193"/>
  <sheetViews>
    <sheetView showGridLines="0" tabSelected="1" zoomScale="113" zoomScaleNormal="125" workbookViewId="0">
      <selection activeCell="H18" sqref="H18"/>
    </sheetView>
  </sheetViews>
  <sheetFormatPr baseColWidth="10" defaultColWidth="14.5" defaultRowHeight="13"/>
  <cols>
    <col min="1" max="1" width="2.1640625" style="72" customWidth="1"/>
    <col min="2" max="2" width="43.6640625" style="72" customWidth="1"/>
    <col min="3" max="7" width="13.5" style="72" customWidth="1"/>
    <col min="8" max="16384" width="14.5" style="72"/>
  </cols>
  <sheetData>
    <row r="1" spans="2:12" ht="20">
      <c r="B1" s="71" t="s">
        <v>0</v>
      </c>
      <c r="G1" s="73"/>
    </row>
    <row r="2" spans="2:12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>
      <c r="B3" s="74"/>
      <c r="C3" s="134" t="s">
        <v>165</v>
      </c>
      <c r="D3" s="135"/>
      <c r="E3" s="135"/>
      <c r="F3" s="135"/>
      <c r="G3" s="135"/>
      <c r="H3" s="136" t="s">
        <v>173</v>
      </c>
      <c r="I3" s="137"/>
      <c r="J3" s="137"/>
      <c r="K3" s="137"/>
      <c r="L3" s="138"/>
    </row>
    <row r="4" spans="2:12">
      <c r="B4" s="6" t="s">
        <v>2</v>
      </c>
      <c r="C4" s="7">
        <v>44377</v>
      </c>
      <c r="D4" s="7">
        <v>44742</v>
      </c>
      <c r="E4" s="7">
        <v>45107</v>
      </c>
      <c r="F4" s="7">
        <v>45473</v>
      </c>
      <c r="G4" s="7">
        <v>45838</v>
      </c>
      <c r="H4" s="14">
        <v>46203</v>
      </c>
      <c r="I4" s="7">
        <v>46568</v>
      </c>
      <c r="J4" s="7">
        <v>46934</v>
      </c>
      <c r="K4" s="7">
        <v>47299</v>
      </c>
      <c r="L4" s="15">
        <v>47664</v>
      </c>
    </row>
    <row r="5" spans="2:12">
      <c r="B5" s="72" t="s">
        <v>3</v>
      </c>
      <c r="C5" s="72" t="s">
        <v>4</v>
      </c>
      <c r="D5" s="72" t="s">
        <v>4</v>
      </c>
      <c r="E5" s="72" t="s">
        <v>4</v>
      </c>
      <c r="F5" s="72" t="s">
        <v>4</v>
      </c>
      <c r="G5" s="72" t="s">
        <v>4</v>
      </c>
      <c r="H5" s="75" t="s">
        <v>4</v>
      </c>
      <c r="I5" s="72" t="s">
        <v>4</v>
      </c>
      <c r="J5" s="72" t="s">
        <v>4</v>
      </c>
      <c r="K5" s="72" t="s">
        <v>4</v>
      </c>
      <c r="L5" s="76" t="s">
        <v>4</v>
      </c>
    </row>
    <row r="6" spans="2:12">
      <c r="B6" s="77" t="s">
        <v>5</v>
      </c>
      <c r="C6" s="77" t="s">
        <v>6</v>
      </c>
      <c r="D6" s="77" t="s">
        <v>6</v>
      </c>
      <c r="E6" s="77" t="s">
        <v>6</v>
      </c>
      <c r="F6" s="77" t="s">
        <v>6</v>
      </c>
      <c r="G6" s="77" t="s">
        <v>6</v>
      </c>
      <c r="H6" s="78" t="s">
        <v>6</v>
      </c>
      <c r="I6" s="77" t="s">
        <v>6</v>
      </c>
      <c r="J6" s="77" t="s">
        <v>6</v>
      </c>
      <c r="K6" s="77" t="s">
        <v>6</v>
      </c>
      <c r="L6" s="79" t="s">
        <v>6</v>
      </c>
    </row>
    <row r="7" spans="2:12">
      <c r="B7" s="72" t="s">
        <v>7</v>
      </c>
      <c r="C7" s="80">
        <v>166.93899999999999</v>
      </c>
      <c r="D7" s="80">
        <v>205.202</v>
      </c>
      <c r="E7" s="80">
        <v>243.64099999999999</v>
      </c>
      <c r="F7" s="80">
        <v>268.596</v>
      </c>
      <c r="G7" s="80">
        <v>302.548</v>
      </c>
      <c r="H7" s="81">
        <f>'Revenue Build'!I15</f>
        <v>339.13200000000001</v>
      </c>
      <c r="I7" s="80">
        <f>'Revenue Build'!J15</f>
        <v>371.70748500000002</v>
      </c>
      <c r="J7" s="80">
        <f>'Revenue Build'!K15</f>
        <v>401.70948028500004</v>
      </c>
      <c r="K7" s="80">
        <f>'Revenue Build'!L15</f>
        <v>428.32071439207505</v>
      </c>
      <c r="L7" s="82">
        <f>'Revenue Build'!M15</f>
        <v>449.43710181704108</v>
      </c>
    </row>
    <row r="8" spans="2:12">
      <c r="B8" s="8" t="s">
        <v>147</v>
      </c>
      <c r="C8" s="83" t="s">
        <v>148</v>
      </c>
      <c r="D8" s="84">
        <f>D7/C7 -1</f>
        <v>0.22920348151121073</v>
      </c>
      <c r="E8" s="84">
        <f t="shared" ref="E8:G8" si="0">E7/D7 -1</f>
        <v>0.18732273564585133</v>
      </c>
      <c r="F8" s="84">
        <f t="shared" si="0"/>
        <v>0.10242528966799513</v>
      </c>
      <c r="G8" s="84">
        <f t="shared" si="0"/>
        <v>0.12640545652206292</v>
      </c>
      <c r="H8" s="85">
        <f t="shared" ref="H8" si="1">H7/G7 -1</f>
        <v>0.12091965572405039</v>
      </c>
      <c r="I8" s="84">
        <f t="shared" ref="I8" si="2">I7/H7 -1</f>
        <v>9.6055473974735461E-2</v>
      </c>
      <c r="J8" s="84">
        <f t="shared" ref="J8" si="3">J7/I7 -1</f>
        <v>8.071399284574543E-2</v>
      </c>
      <c r="K8" s="84">
        <f t="shared" ref="K8" si="4">K7/J7 -1</f>
        <v>6.6244974074784579E-2</v>
      </c>
      <c r="L8" s="86">
        <f t="shared" ref="L8" si="5">L7/K7 -1</f>
        <v>4.9300411386680176E-2</v>
      </c>
    </row>
    <row r="9" spans="2:12">
      <c r="H9" s="75"/>
      <c r="L9" s="76"/>
    </row>
    <row r="10" spans="2:12">
      <c r="B10" s="72" t="s">
        <v>8</v>
      </c>
      <c r="C10" s="80">
        <v>112.913</v>
      </c>
      <c r="D10" s="80">
        <v>141.00700000000001</v>
      </c>
      <c r="E10" s="80">
        <v>162.405</v>
      </c>
      <c r="F10" s="80">
        <v>165.94499999999999</v>
      </c>
      <c r="G10" s="80">
        <v>178.72399999999999</v>
      </c>
      <c r="H10" s="81">
        <f>H7*H30</f>
        <v>199.07048399999999</v>
      </c>
      <c r="I10" s="80">
        <f>I7*I30</f>
        <v>217.44887872499999</v>
      </c>
      <c r="J10" s="80">
        <f>J7*J30</f>
        <v>232.99149856530002</v>
      </c>
      <c r="K10" s="80">
        <f>K7*K30</f>
        <v>246.28441077544312</v>
      </c>
      <c r="L10" s="82">
        <f>L7*L30</f>
        <v>256.17914803571341</v>
      </c>
    </row>
    <row r="11" spans="2:12">
      <c r="B11" s="72" t="s">
        <v>9</v>
      </c>
      <c r="C11" s="80">
        <v>54.026000000000003</v>
      </c>
      <c r="D11" s="80">
        <v>64.194999999999993</v>
      </c>
      <c r="E11" s="80">
        <v>81.236000000000004</v>
      </c>
      <c r="F11" s="80">
        <v>102.651</v>
      </c>
      <c r="G11" s="80">
        <v>123.824</v>
      </c>
      <c r="H11" s="81">
        <f>H7-H10</f>
        <v>140.06151600000001</v>
      </c>
      <c r="I11" s="80">
        <f t="shared" ref="I11:L11" si="6">I7-I10</f>
        <v>154.25860627500003</v>
      </c>
      <c r="J11" s="80">
        <f t="shared" si="6"/>
        <v>168.71798171970002</v>
      </c>
      <c r="K11" s="80">
        <f t="shared" si="6"/>
        <v>182.03630361663193</v>
      </c>
      <c r="L11" s="82">
        <f t="shared" si="6"/>
        <v>193.25795378132767</v>
      </c>
    </row>
    <row r="12" spans="2:12">
      <c r="B12" s="72" t="s">
        <v>10</v>
      </c>
      <c r="C12" s="80">
        <v>54.723999999999997</v>
      </c>
      <c r="D12" s="80">
        <v>35.927</v>
      </c>
      <c r="E12" s="80">
        <v>45.853000000000002</v>
      </c>
      <c r="F12" s="80">
        <v>58.704999999999998</v>
      </c>
      <c r="G12" s="80">
        <v>64.25</v>
      </c>
      <c r="H12" s="81">
        <f>H$7*H31</f>
        <v>71.21772</v>
      </c>
      <c r="I12" s="80">
        <f>I$7*I31</f>
        <v>77.315156880000004</v>
      </c>
      <c r="J12" s="80">
        <f>J$7*J31</f>
        <v>82.350443458425005</v>
      </c>
      <c r="K12" s="80">
        <f>K$7*K31</f>
        <v>86.520784307199165</v>
      </c>
      <c r="L12" s="82">
        <f>L$7*L31</f>
        <v>89.887420363408225</v>
      </c>
    </row>
    <row r="13" spans="2:12">
      <c r="B13" s="72" t="s">
        <v>11</v>
      </c>
      <c r="C13" s="80">
        <v>3.9</v>
      </c>
      <c r="D13" s="80">
        <v>25.376999999999999</v>
      </c>
      <c r="E13" s="80">
        <v>24.225999999999999</v>
      </c>
      <c r="F13" s="80">
        <v>19.532</v>
      </c>
      <c r="G13" s="80">
        <v>20.349</v>
      </c>
      <c r="H13" s="81">
        <f t="shared" ref="H13:L14" si="7">H$7*H32</f>
        <v>22.043580000000002</v>
      </c>
      <c r="I13" s="80">
        <f t="shared" si="7"/>
        <v>23.78927904</v>
      </c>
      <c r="J13" s="80">
        <f t="shared" si="7"/>
        <v>25.307697257955002</v>
      </c>
      <c r="K13" s="80">
        <f t="shared" si="7"/>
        <v>26.555884292308654</v>
      </c>
      <c r="L13" s="82">
        <f t="shared" si="7"/>
        <v>27.415663210839504</v>
      </c>
    </row>
    <row r="14" spans="2:12">
      <c r="B14" s="72" t="s">
        <v>12</v>
      </c>
      <c r="C14" s="80">
        <v>4.0999999999999996</v>
      </c>
      <c r="D14" s="80">
        <v>4.4000000000000004</v>
      </c>
      <c r="E14" s="80">
        <v>7.6</v>
      </c>
      <c r="F14" s="80">
        <v>10.6</v>
      </c>
      <c r="G14" s="80">
        <v>15.9</v>
      </c>
      <c r="H14" s="81">
        <f t="shared" si="7"/>
        <v>18.313127999999999</v>
      </c>
      <c r="I14" s="80">
        <f t="shared" si="7"/>
        <v>19.700496704999999</v>
      </c>
      <c r="J14" s="80">
        <f t="shared" si="7"/>
        <v>20.888892974820003</v>
      </c>
      <c r="K14" s="80">
        <f t="shared" si="7"/>
        <v>21.844356433995827</v>
      </c>
      <c r="L14" s="82">
        <f t="shared" si="7"/>
        <v>22.471855090852056</v>
      </c>
    </row>
    <row r="15" spans="2:12">
      <c r="B15" s="72" t="s">
        <v>13</v>
      </c>
      <c r="H15" s="75"/>
      <c r="L15" s="76"/>
    </row>
    <row r="16" spans="2:12">
      <c r="B16" s="72" t="s">
        <v>14</v>
      </c>
      <c r="C16" s="72">
        <v>-3.1</v>
      </c>
      <c r="D16" s="72">
        <v>1.2</v>
      </c>
      <c r="E16" s="72">
        <v>2.8</v>
      </c>
      <c r="F16" s="72">
        <v>-0.3</v>
      </c>
      <c r="G16" s="72">
        <v>1</v>
      </c>
      <c r="H16" s="87">
        <f>H7*H34</f>
        <v>-6.50386819174706E-2</v>
      </c>
      <c r="I16" s="88">
        <f t="shared" ref="I16:L16" si="8">I7*I34</f>
        <v>-7.1286003335745293E-2</v>
      </c>
      <c r="J16" s="88">
        <f t="shared" si="8"/>
        <v>-7.7039781298988433E-2</v>
      </c>
      <c r="K16" s="88">
        <f t="shared" si="8"/>
        <v>-8.2143279613866985E-2</v>
      </c>
      <c r="L16" s="89">
        <f t="shared" si="8"/>
        <v>-8.6192977091481729E-2</v>
      </c>
    </row>
    <row r="17" spans="2:17">
      <c r="B17" s="72" t="s">
        <v>15</v>
      </c>
      <c r="H17" s="75"/>
      <c r="L17" s="76"/>
    </row>
    <row r="18" spans="2:17">
      <c r="B18" s="72" t="s">
        <v>16</v>
      </c>
      <c r="C18" s="72">
        <v>172.6</v>
      </c>
      <c r="D18" s="72">
        <v>207.9</v>
      </c>
      <c r="E18" s="72">
        <v>242.9</v>
      </c>
      <c r="F18" s="72">
        <v>254.4</v>
      </c>
      <c r="G18" s="72">
        <v>280.2</v>
      </c>
      <c r="H18" s="72">
        <v>280.2</v>
      </c>
      <c r="I18" s="80">
        <f t="shared" ref="I18:L18" si="9">SUM(I12:I14)+I10</f>
        <v>338.25381134999998</v>
      </c>
      <c r="J18" s="80">
        <f t="shared" si="9"/>
        <v>361.53853225650005</v>
      </c>
      <c r="K18" s="80">
        <f t="shared" si="9"/>
        <v>381.20543580894679</v>
      </c>
      <c r="L18" s="82">
        <f t="shared" si="9"/>
        <v>395.95408670081315</v>
      </c>
    </row>
    <row r="19" spans="2:17">
      <c r="B19" s="90" t="s">
        <v>17</v>
      </c>
      <c r="C19" s="91">
        <v>-5.64</v>
      </c>
      <c r="D19" s="91">
        <v>-2.657</v>
      </c>
      <c r="E19" s="91">
        <v>0.76</v>
      </c>
      <c r="F19" s="91">
        <v>14.169</v>
      </c>
      <c r="G19" s="91">
        <v>22.33</v>
      </c>
      <c r="H19" s="92">
        <f>H7-H18</f>
        <v>58.932000000000016</v>
      </c>
      <c r="I19" s="91">
        <f t="shared" ref="I19:L19" si="10">I7-I18</f>
        <v>33.453673650000042</v>
      </c>
      <c r="J19" s="91">
        <f t="shared" si="10"/>
        <v>40.170948028499993</v>
      </c>
      <c r="K19" s="91">
        <f t="shared" si="10"/>
        <v>47.115278583128259</v>
      </c>
      <c r="L19" s="93">
        <f t="shared" si="10"/>
        <v>53.483015116227932</v>
      </c>
    </row>
    <row r="20" spans="2:17" ht="1" customHeight="1">
      <c r="B20" s="94"/>
      <c r="C20" s="95"/>
      <c r="D20" s="95"/>
      <c r="E20" s="95"/>
      <c r="F20" s="95"/>
      <c r="G20" s="95"/>
      <c r="H20" s="96"/>
      <c r="I20" s="97"/>
      <c r="J20" s="97"/>
      <c r="K20" s="97"/>
      <c r="L20" s="98"/>
    </row>
    <row r="21" spans="2:17">
      <c r="B21" s="35" t="s">
        <v>103</v>
      </c>
      <c r="C21" s="102">
        <f>C19/C7</f>
        <v>-3.3784795643917835E-2</v>
      </c>
      <c r="D21" s="102">
        <f t="shared" ref="D21:L21" si="11">D19/D7</f>
        <v>-1.2948216878977788E-2</v>
      </c>
      <c r="E21" s="102">
        <f t="shared" si="11"/>
        <v>3.1193436244310278E-3</v>
      </c>
      <c r="F21" s="102">
        <f t="shared" si="11"/>
        <v>5.2752088638699013E-2</v>
      </c>
      <c r="G21" s="102">
        <f t="shared" si="11"/>
        <v>7.3806470378254024E-2</v>
      </c>
      <c r="H21" s="128">
        <f t="shared" si="11"/>
        <v>0.17377304412441177</v>
      </c>
      <c r="I21" s="102">
        <f t="shared" si="11"/>
        <v>9.0000000000000108E-2</v>
      </c>
      <c r="J21" s="102">
        <f t="shared" si="11"/>
        <v>9.9999999999999978E-2</v>
      </c>
      <c r="K21" s="102">
        <f t="shared" si="11"/>
        <v>0.11000000000000001</v>
      </c>
      <c r="L21" s="129">
        <f t="shared" si="11"/>
        <v>0.11900000000000009</v>
      </c>
    </row>
    <row r="22" spans="2:17">
      <c r="B22" s="34" t="s">
        <v>185</v>
      </c>
      <c r="C22" s="99">
        <f>C19+C14</f>
        <v>-1.54</v>
      </c>
      <c r="D22" s="99">
        <f t="shared" ref="D22:L22" si="12">D19+D14</f>
        <v>1.7430000000000003</v>
      </c>
      <c r="E22" s="99">
        <f t="shared" si="12"/>
        <v>8.36</v>
      </c>
      <c r="F22" s="99">
        <f t="shared" si="12"/>
        <v>24.768999999999998</v>
      </c>
      <c r="G22" s="99">
        <f t="shared" si="12"/>
        <v>38.229999999999997</v>
      </c>
      <c r="H22" s="100">
        <f t="shared" si="12"/>
        <v>77.245128000000022</v>
      </c>
      <c r="I22" s="99">
        <f t="shared" si="12"/>
        <v>53.154170355000041</v>
      </c>
      <c r="J22" s="99">
        <f t="shared" si="12"/>
        <v>61.059841003319995</v>
      </c>
      <c r="K22" s="99">
        <f t="shared" si="12"/>
        <v>68.959635017124086</v>
      </c>
      <c r="L22" s="101">
        <f t="shared" si="12"/>
        <v>75.954870207079992</v>
      </c>
    </row>
    <row r="23" spans="2:17">
      <c r="B23" s="35" t="s">
        <v>184</v>
      </c>
      <c r="C23" s="102">
        <f>C22/C7</f>
        <v>-9.2249264701477797E-3</v>
      </c>
      <c r="D23" s="102">
        <f t="shared" ref="D23:L23" si="13">D22/D7</f>
        <v>8.4940692585842251E-3</v>
      </c>
      <c r="E23" s="102">
        <f t="shared" si="13"/>
        <v>3.4312779868741303E-2</v>
      </c>
      <c r="F23" s="102">
        <f t="shared" si="13"/>
        <v>9.2216563165497617E-2</v>
      </c>
      <c r="G23" s="102">
        <f t="shared" si="13"/>
        <v>0.12636011475864986</v>
      </c>
      <c r="H23" s="103">
        <f t="shared" si="13"/>
        <v>0.22777304412441179</v>
      </c>
      <c r="I23" s="104">
        <f t="shared" si="13"/>
        <v>0.1430000000000001</v>
      </c>
      <c r="J23" s="104">
        <f t="shared" si="13"/>
        <v>0.15199999999999997</v>
      </c>
      <c r="K23" s="104">
        <f t="shared" si="13"/>
        <v>0.161</v>
      </c>
      <c r="L23" s="105">
        <f t="shared" si="13"/>
        <v>0.16900000000000012</v>
      </c>
    </row>
    <row r="24" spans="2:17">
      <c r="B24" s="94"/>
      <c r="C24" s="95"/>
      <c r="D24" s="95"/>
      <c r="E24" s="95"/>
      <c r="F24" s="95"/>
      <c r="G24" s="95"/>
      <c r="H24" s="97"/>
      <c r="I24" s="97"/>
      <c r="J24" s="97"/>
      <c r="K24" s="97"/>
      <c r="L24" s="97"/>
    </row>
    <row r="25" spans="2:17">
      <c r="B25" s="2" t="s">
        <v>175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7" ht="14">
      <c r="N26" s="62"/>
      <c r="O26" s="62"/>
      <c r="P26" s="62"/>
      <c r="Q26" s="62"/>
    </row>
    <row r="27" spans="2:17" ht="14">
      <c r="B27" s="106" t="s">
        <v>176</v>
      </c>
      <c r="C27" s="139" t="s">
        <v>183</v>
      </c>
      <c r="D27" s="139"/>
      <c r="E27" s="139"/>
      <c r="F27" s="139"/>
      <c r="G27" s="139"/>
      <c r="H27" s="139"/>
      <c r="I27" s="139"/>
      <c r="J27" s="139"/>
      <c r="K27" s="139"/>
      <c r="L27" s="139"/>
      <c r="M27" s="1"/>
      <c r="N27" s="62"/>
      <c r="O27" s="62"/>
      <c r="P27" s="62"/>
      <c r="Q27" s="62"/>
    </row>
    <row r="28" spans="2:17" ht="14">
      <c r="M28" s="1"/>
      <c r="N28" s="62"/>
      <c r="O28" s="62"/>
      <c r="P28" s="62"/>
      <c r="Q28" s="62"/>
    </row>
    <row r="29" spans="2:17" ht="14">
      <c r="B29" s="106" t="s">
        <v>177</v>
      </c>
      <c r="C29" s="106"/>
      <c r="D29" s="106"/>
      <c r="E29" s="106"/>
      <c r="F29" s="106"/>
      <c r="G29" s="106"/>
      <c r="H29" s="107"/>
      <c r="I29" s="107"/>
      <c r="J29" s="107"/>
      <c r="K29" s="107"/>
      <c r="L29" s="107"/>
      <c r="M29" s="1"/>
      <c r="N29" s="62"/>
      <c r="O29" s="62"/>
      <c r="P29" s="62"/>
      <c r="Q29" s="62"/>
    </row>
    <row r="30" spans="2:17">
      <c r="B30" s="72" t="s">
        <v>181</v>
      </c>
      <c r="C30" s="108">
        <f>C10/C7</f>
        <v>0.67637280683363388</v>
      </c>
      <c r="D30" s="108">
        <f>D10/D7</f>
        <v>0.68716191849981967</v>
      </c>
      <c r="E30" s="108">
        <f>E10/E7</f>
        <v>0.66657500174436979</v>
      </c>
      <c r="F30" s="108">
        <f>F10/F7</f>
        <v>0.6178237948443015</v>
      </c>
      <c r="G30" s="108">
        <f>G10/G7</f>
        <v>0.590729404920872</v>
      </c>
      <c r="H30" s="109">
        <v>0.58699999999999997</v>
      </c>
      <c r="I30" s="110">
        <v>0.58499999999999996</v>
      </c>
      <c r="J30" s="110">
        <v>0.57999999999999996</v>
      </c>
      <c r="K30" s="110">
        <v>0.57499999999999996</v>
      </c>
      <c r="L30" s="111">
        <v>0.56999999999999995</v>
      </c>
    </row>
    <row r="31" spans="2:17">
      <c r="B31" s="38" t="s">
        <v>178</v>
      </c>
      <c r="C31" s="108">
        <f t="shared" ref="C31:G33" si="14">C12/C$7</f>
        <v>0.32780836113790068</v>
      </c>
      <c r="D31" s="108">
        <f t="shared" si="14"/>
        <v>0.17508113956004329</v>
      </c>
      <c r="E31" s="108">
        <f t="shared" si="14"/>
        <v>0.18819903054083673</v>
      </c>
      <c r="F31" s="108">
        <f t="shared" si="14"/>
        <v>0.21856245066940683</v>
      </c>
      <c r="G31" s="108">
        <f t="shared" si="14"/>
        <v>0.21236299694593916</v>
      </c>
      <c r="H31" s="112">
        <v>0.21</v>
      </c>
      <c r="I31" s="113">
        <v>0.20799999999999999</v>
      </c>
      <c r="J31" s="113">
        <v>0.20499999999999999</v>
      </c>
      <c r="K31" s="113">
        <v>0.20200000000000001</v>
      </c>
      <c r="L31" s="114">
        <v>0.2</v>
      </c>
    </row>
    <row r="32" spans="2:17">
      <c r="B32" s="38" t="s">
        <v>179</v>
      </c>
      <c r="C32" s="108">
        <f t="shared" si="14"/>
        <v>2.3361826775049568E-2</v>
      </c>
      <c r="D32" s="108">
        <f t="shared" si="14"/>
        <v>0.1236683852983889</v>
      </c>
      <c r="E32" s="108">
        <f t="shared" si="14"/>
        <v>9.9433182428244837E-2</v>
      </c>
      <c r="F32" s="108">
        <f t="shared" si="14"/>
        <v>7.2718878911078352E-2</v>
      </c>
      <c r="G32" s="108">
        <f t="shared" si="14"/>
        <v>6.7258749024948106E-2</v>
      </c>
      <c r="H32" s="112">
        <v>6.5000000000000002E-2</v>
      </c>
      <c r="I32" s="113">
        <v>6.4000000000000001E-2</v>
      </c>
      <c r="J32" s="113">
        <v>6.3E-2</v>
      </c>
      <c r="K32" s="113">
        <v>6.2E-2</v>
      </c>
      <c r="L32" s="114">
        <v>6.0999999999999999E-2</v>
      </c>
    </row>
    <row r="33" spans="2:12">
      <c r="B33" s="38" t="s">
        <v>180</v>
      </c>
      <c r="C33" s="108">
        <f t="shared" si="14"/>
        <v>2.4559869173770059E-2</v>
      </c>
      <c r="D33" s="108">
        <f t="shared" si="14"/>
        <v>2.1442286137562015E-2</v>
      </c>
      <c r="E33" s="108">
        <f t="shared" si="14"/>
        <v>3.1193436244310275E-2</v>
      </c>
      <c r="F33" s="108">
        <f t="shared" si="14"/>
        <v>3.9464474526798611E-2</v>
      </c>
      <c r="G33" s="108">
        <f t="shared" si="14"/>
        <v>5.2553644380395836E-2</v>
      </c>
      <c r="H33" s="112">
        <v>5.3999999999999999E-2</v>
      </c>
      <c r="I33" s="113">
        <v>5.2999999999999999E-2</v>
      </c>
      <c r="J33" s="113">
        <v>5.1999999999999998E-2</v>
      </c>
      <c r="K33" s="113">
        <v>5.0999999999999997E-2</v>
      </c>
      <c r="L33" s="114">
        <v>0.05</v>
      </c>
    </row>
    <row r="34" spans="2:12">
      <c r="B34" s="38" t="s">
        <v>182</v>
      </c>
      <c r="C34" s="108">
        <f>C16/C7</f>
        <v>-1.8569657180167606E-2</v>
      </c>
      <c r="D34" s="108">
        <f>D16/D7</f>
        <v>5.8478962193350944E-3</v>
      </c>
      <c r="E34" s="108">
        <f>E16/E7</f>
        <v>1.1492318616324838E-2</v>
      </c>
      <c r="F34" s="108">
        <f>F16/F7</f>
        <v>-1.1169190903810927E-3</v>
      </c>
      <c r="G34" s="108">
        <f>G16/G7</f>
        <v>3.3052606528550842E-3</v>
      </c>
      <c r="H34" s="115">
        <f>-AVERAGE($C$34:$G$34)</f>
        <v>-1.9177984359326338E-4</v>
      </c>
      <c r="I34" s="116">
        <f>-AVERAGE($C$34:$G$34)</f>
        <v>-1.9177984359326338E-4</v>
      </c>
      <c r="J34" s="116">
        <f>-AVERAGE($C$34:$G$34)</f>
        <v>-1.9177984359326338E-4</v>
      </c>
      <c r="K34" s="116">
        <f>-AVERAGE($C$34:$G$34)</f>
        <v>-1.9177984359326338E-4</v>
      </c>
      <c r="L34" s="117">
        <f>-AVERAGE($C$34:$G$34)</f>
        <v>-1.9177984359326338E-4</v>
      </c>
    </row>
    <row r="35" spans="2:12">
      <c r="B35" s="94"/>
      <c r="C35" s="95"/>
      <c r="D35" s="95"/>
      <c r="E35" s="95"/>
      <c r="F35" s="95"/>
      <c r="G35" s="95"/>
      <c r="H35" s="97"/>
      <c r="I35" s="97"/>
      <c r="J35" s="97"/>
      <c r="K35" s="97"/>
      <c r="L35" s="97"/>
    </row>
    <row r="36" spans="2:12">
      <c r="B36" s="6" t="s">
        <v>187</v>
      </c>
      <c r="C36" s="6"/>
      <c r="D36" s="6"/>
      <c r="E36" s="6"/>
      <c r="F36" s="6"/>
      <c r="G36" s="6"/>
      <c r="H36" s="107"/>
      <c r="I36" s="107"/>
      <c r="J36" s="107"/>
      <c r="K36" s="107"/>
      <c r="L36" s="107"/>
    </row>
    <row r="37" spans="2:12">
      <c r="B37" s="37" t="s">
        <v>188</v>
      </c>
      <c r="C37" s="108">
        <f>ABS(C123/C7)</f>
        <v>1.1010009644241311E-2</v>
      </c>
      <c r="D37" s="108">
        <f>ABS(D123/D7)</f>
        <v>4.5126265825869143E-2</v>
      </c>
      <c r="E37" s="108">
        <f t="shared" ref="E37:G37" si="15">ABS(E123/E7)</f>
        <v>6.6290156418665175E-2</v>
      </c>
      <c r="F37" s="108">
        <f t="shared" si="15"/>
        <v>5.5603955382805402E-2</v>
      </c>
      <c r="G37" s="108">
        <f t="shared" si="15"/>
        <v>5.6199346880494994E-2</v>
      </c>
      <c r="H37" s="109">
        <v>5.5E-2</v>
      </c>
      <c r="I37" s="110">
        <v>5.2999999999999999E-2</v>
      </c>
      <c r="J37" s="110">
        <v>5.0999999999999997E-2</v>
      </c>
      <c r="K37" s="110">
        <v>4.9000000000000002E-2</v>
      </c>
      <c r="L37" s="111">
        <v>4.8000000000000001E-2</v>
      </c>
    </row>
    <row r="38" spans="2:12">
      <c r="B38" s="37" t="s">
        <v>190</v>
      </c>
      <c r="C38" s="118">
        <f>C121/C7</f>
        <v>-2.1828332504687343E-2</v>
      </c>
      <c r="D38" s="118">
        <f>D121/D7</f>
        <v>-0.10956520891609244</v>
      </c>
      <c r="E38" s="118">
        <f t="shared" ref="E38:G38" si="16">E121/E7</f>
        <v>-2.6498003209640415E-2</v>
      </c>
      <c r="F38" s="118">
        <f t="shared" si="16"/>
        <v>-2.9132972940773504E-2</v>
      </c>
      <c r="G38" s="118">
        <f t="shared" si="16"/>
        <v>-8.5279030104314021E-2</v>
      </c>
      <c r="H38" s="115">
        <f>AVERAGE($C$38:$G$38)</f>
        <v>-5.4460709535101536E-2</v>
      </c>
      <c r="I38" s="116">
        <f t="shared" ref="I38:L38" si="17">AVERAGE($C$38:$G$38)</f>
        <v>-5.4460709535101536E-2</v>
      </c>
      <c r="J38" s="116">
        <f t="shared" si="17"/>
        <v>-5.4460709535101536E-2</v>
      </c>
      <c r="K38" s="116">
        <f t="shared" si="17"/>
        <v>-5.4460709535101536E-2</v>
      </c>
      <c r="L38" s="117">
        <f t="shared" si="17"/>
        <v>-5.4460709535101536E-2</v>
      </c>
    </row>
    <row r="39" spans="2:12">
      <c r="B39" s="37"/>
      <c r="C39" s="36"/>
      <c r="D39" s="36"/>
      <c r="E39" s="36"/>
      <c r="F39" s="36"/>
      <c r="G39" s="36"/>
      <c r="H39" s="25"/>
      <c r="I39" s="25"/>
      <c r="J39" s="25"/>
      <c r="K39" s="25"/>
      <c r="L39" s="25"/>
    </row>
    <row r="40" spans="2:12">
      <c r="B40" s="37"/>
      <c r="C40" s="36"/>
      <c r="D40" s="36"/>
      <c r="E40" s="36"/>
      <c r="F40" s="36"/>
      <c r="G40" s="36"/>
      <c r="H40" s="25"/>
      <c r="I40" s="25"/>
      <c r="J40" s="25"/>
      <c r="K40" s="25"/>
      <c r="L40" s="25"/>
    </row>
    <row r="41" spans="2:12">
      <c r="B41" s="37"/>
      <c r="C41" s="36"/>
      <c r="D41" s="36"/>
      <c r="E41" s="36"/>
      <c r="F41" s="36"/>
      <c r="G41" s="36"/>
      <c r="H41" s="25"/>
      <c r="I41" s="25"/>
      <c r="J41" s="25"/>
      <c r="K41" s="25"/>
      <c r="L41" s="25"/>
    </row>
    <row r="42" spans="2:12">
      <c r="B42" s="37"/>
      <c r="C42" s="36"/>
      <c r="D42" s="36"/>
      <c r="E42" s="36"/>
      <c r="F42" s="36"/>
      <c r="G42" s="36"/>
      <c r="H42" s="25"/>
      <c r="I42" s="25"/>
      <c r="J42" s="25"/>
      <c r="K42" s="25"/>
      <c r="L42" s="25"/>
    </row>
    <row r="43" spans="2:12">
      <c r="B43" s="94"/>
      <c r="C43" s="95"/>
      <c r="D43" s="95"/>
      <c r="E43" s="95"/>
      <c r="F43" s="95"/>
      <c r="G43" s="95"/>
      <c r="H43" s="97"/>
      <c r="I43" s="97"/>
      <c r="J43" s="97"/>
      <c r="K43" s="97"/>
      <c r="L43" s="97"/>
    </row>
    <row r="44" spans="2:12" ht="17">
      <c r="B44" s="119" t="s">
        <v>201</v>
      </c>
      <c r="C44" s="2"/>
      <c r="D44" s="2"/>
      <c r="E44" s="2"/>
      <c r="F44" s="2"/>
      <c r="G44" s="2"/>
      <c r="H44" s="120"/>
      <c r="I44" s="120"/>
      <c r="J44" s="120"/>
      <c r="K44" s="120"/>
      <c r="L44" s="120"/>
    </row>
    <row r="45" spans="2:12">
      <c r="B45" s="94"/>
      <c r="C45" s="95"/>
      <c r="D45" s="95"/>
      <c r="E45" s="95"/>
      <c r="F45" s="95"/>
      <c r="G45" s="95"/>
    </row>
    <row r="46" spans="2:12">
      <c r="B46" s="72" t="s">
        <v>18</v>
      </c>
      <c r="C46" s="72">
        <v>-2.9</v>
      </c>
      <c r="D46" s="72">
        <v>1.4</v>
      </c>
      <c r="E46" s="72">
        <v>0.2</v>
      </c>
      <c r="F46" s="72">
        <v>-1</v>
      </c>
      <c r="G46" s="72">
        <v>-1.2</v>
      </c>
    </row>
    <row r="47" spans="2:12">
      <c r="B47" s="72" t="s">
        <v>19</v>
      </c>
    </row>
    <row r="48" spans="2:12">
      <c r="B48" s="72" t="s">
        <v>20</v>
      </c>
      <c r="C48" s="72">
        <v>0.2</v>
      </c>
      <c r="D48" s="72">
        <v>-0.2</v>
      </c>
      <c r="E48" s="72">
        <v>-0.1</v>
      </c>
      <c r="F48" s="72">
        <v>-0.2</v>
      </c>
      <c r="G48" s="72">
        <v>1.1000000000000001</v>
      </c>
    </row>
    <row r="49" spans="2:7">
      <c r="B49" s="72" t="s">
        <v>21</v>
      </c>
      <c r="C49" s="72">
        <v>-8.3350000000000009</v>
      </c>
      <c r="D49" s="72">
        <v>-1.5169999999999999</v>
      </c>
      <c r="E49" s="72">
        <v>0.81399999999999995</v>
      </c>
      <c r="F49" s="72">
        <v>12.978</v>
      </c>
      <c r="G49" s="72">
        <v>22.181000000000001</v>
      </c>
    </row>
    <row r="50" spans="2:7">
      <c r="B50" s="72" t="s">
        <v>22</v>
      </c>
      <c r="C50" s="72">
        <v>0.37</v>
      </c>
      <c r="D50" s="72">
        <v>0.186</v>
      </c>
      <c r="E50" s="72">
        <v>0.18099999999999999</v>
      </c>
      <c r="F50" s="72">
        <v>0.98499999999999999</v>
      </c>
      <c r="G50" s="72">
        <v>-42.351999999999997</v>
      </c>
    </row>
    <row r="51" spans="2:7" ht="14" thickBot="1">
      <c r="B51" s="121" t="s">
        <v>23</v>
      </c>
      <c r="C51" s="122">
        <v>-8.7050000000000001</v>
      </c>
      <c r="D51" s="122">
        <v>-1.7030000000000001</v>
      </c>
      <c r="E51" s="122">
        <v>0.63300000000000001</v>
      </c>
      <c r="F51" s="122">
        <v>11.993</v>
      </c>
      <c r="G51" s="122">
        <v>64.533000000000001</v>
      </c>
    </row>
    <row r="52" spans="2:7" ht="14" thickTop="1">
      <c r="B52" s="72" t="s">
        <v>24</v>
      </c>
      <c r="C52" s="72">
        <v>-0.66800000000000004</v>
      </c>
      <c r="D52" s="72">
        <v>-0.66800000000000004</v>
      </c>
      <c r="E52" s="72">
        <v>-0.623</v>
      </c>
      <c r="F52" s="72">
        <v>-0.57799999999999996</v>
      </c>
      <c r="G52" s="72">
        <v>-0.57799999999999996</v>
      </c>
    </row>
    <row r="53" spans="2:7">
      <c r="B53" s="72" t="s">
        <v>25</v>
      </c>
      <c r="C53" s="72">
        <v>-0.14000000000000001</v>
      </c>
      <c r="D53" s="72">
        <v>-0.03</v>
      </c>
      <c r="E53" s="72">
        <v>0</v>
      </c>
      <c r="F53" s="72">
        <v>0.16</v>
      </c>
      <c r="G53" s="72">
        <v>0.87</v>
      </c>
    </row>
    <row r="54" spans="2:7">
      <c r="B54" s="72" t="s">
        <v>26</v>
      </c>
      <c r="C54" s="72">
        <v>-0.14000000000000001</v>
      </c>
      <c r="D54" s="72">
        <v>-0.03</v>
      </c>
      <c r="E54" s="72">
        <v>0</v>
      </c>
      <c r="F54" s="72">
        <v>0.16</v>
      </c>
      <c r="G54" s="72">
        <v>0.87</v>
      </c>
    </row>
    <row r="55" spans="2:7">
      <c r="B55" s="72" t="s">
        <v>27</v>
      </c>
      <c r="C55" s="72">
        <v>-0.15</v>
      </c>
      <c r="D55" s="72">
        <v>-0.02</v>
      </c>
      <c r="E55" s="72">
        <v>0.03</v>
      </c>
      <c r="F55" s="72">
        <v>0.19</v>
      </c>
      <c r="G55" s="72">
        <v>0.89</v>
      </c>
    </row>
    <row r="56" spans="2:7">
      <c r="B56" s="72" t="s">
        <v>28</v>
      </c>
      <c r="C56" s="72">
        <v>67</v>
      </c>
      <c r="D56" s="72">
        <v>71</v>
      </c>
      <c r="E56" s="72">
        <v>72</v>
      </c>
      <c r="F56" s="72">
        <v>73</v>
      </c>
      <c r="G56" s="72">
        <v>73</v>
      </c>
    </row>
    <row r="57" spans="2:7">
      <c r="B57" s="72" t="s">
        <v>29</v>
      </c>
      <c r="C57" s="72">
        <v>-0.14000000000000001</v>
      </c>
      <c r="D57" s="72">
        <v>-0.03</v>
      </c>
      <c r="E57" s="72">
        <v>0</v>
      </c>
      <c r="F57" s="72">
        <v>0.15</v>
      </c>
      <c r="G57" s="72">
        <v>0.86</v>
      </c>
    </row>
    <row r="58" spans="2:7">
      <c r="B58" s="72" t="s">
        <v>30</v>
      </c>
      <c r="C58" s="72">
        <v>-0.14000000000000001</v>
      </c>
      <c r="D58" s="72">
        <v>-0.03</v>
      </c>
      <c r="E58" s="72">
        <v>0</v>
      </c>
      <c r="F58" s="72">
        <v>0.15</v>
      </c>
      <c r="G58" s="72">
        <v>0.86</v>
      </c>
    </row>
    <row r="59" spans="2:7">
      <c r="B59" s="72" t="s">
        <v>31</v>
      </c>
      <c r="C59" s="72">
        <v>-0.15</v>
      </c>
      <c r="D59" s="72">
        <v>-0.02</v>
      </c>
      <c r="E59" s="72">
        <v>0.03</v>
      </c>
      <c r="F59" s="72">
        <v>0.19</v>
      </c>
      <c r="G59" s="72">
        <v>0.87</v>
      </c>
    </row>
    <row r="60" spans="2:7">
      <c r="B60" s="72" t="s">
        <v>32</v>
      </c>
      <c r="C60" s="72">
        <v>67</v>
      </c>
      <c r="D60" s="72">
        <v>71</v>
      </c>
      <c r="E60" s="72">
        <v>73</v>
      </c>
      <c r="F60" s="72">
        <v>74</v>
      </c>
      <c r="G60" s="72">
        <v>75</v>
      </c>
    </row>
    <row r="61" spans="2:7">
      <c r="B61" s="72" t="s">
        <v>33</v>
      </c>
    </row>
    <row r="62" spans="2:7">
      <c r="B62" s="72" t="s">
        <v>34</v>
      </c>
      <c r="C62" s="72">
        <v>181</v>
      </c>
      <c r="D62" s="72">
        <v>225</v>
      </c>
      <c r="E62" s="72">
        <v>269</v>
      </c>
      <c r="F62" s="72">
        <v>359</v>
      </c>
      <c r="G62" s="72">
        <v>358</v>
      </c>
    </row>
    <row r="65" spans="1:7">
      <c r="B65" s="2" t="s">
        <v>35</v>
      </c>
      <c r="C65" s="2"/>
      <c r="D65" s="2"/>
      <c r="E65" s="2"/>
      <c r="F65" s="2"/>
      <c r="G65" s="2"/>
    </row>
    <row r="66" spans="1:7">
      <c r="B66" s="106" t="s">
        <v>2</v>
      </c>
      <c r="C66" s="123">
        <v>44377</v>
      </c>
      <c r="D66" s="123">
        <v>44742</v>
      </c>
      <c r="E66" s="123">
        <v>45107</v>
      </c>
      <c r="F66" s="123">
        <v>45473</v>
      </c>
      <c r="G66" s="123">
        <v>45838</v>
      </c>
    </row>
    <row r="67" spans="1:7">
      <c r="B67" s="72" t="s">
        <v>3</v>
      </c>
      <c r="C67" s="72" t="s">
        <v>4</v>
      </c>
      <c r="D67" s="72" t="s">
        <v>4</v>
      </c>
      <c r="E67" s="72" t="s">
        <v>4</v>
      </c>
      <c r="F67" s="72" t="s">
        <v>4</v>
      </c>
      <c r="G67" s="72" t="s">
        <v>4</v>
      </c>
    </row>
    <row r="68" spans="1:7">
      <c r="B68" s="77" t="s">
        <v>5</v>
      </c>
      <c r="C68" s="77" t="s">
        <v>6</v>
      </c>
      <c r="D68" s="77" t="s">
        <v>6</v>
      </c>
      <c r="E68" s="77" t="s">
        <v>6</v>
      </c>
      <c r="F68" s="77" t="s">
        <v>6</v>
      </c>
      <c r="G68" s="77" t="s">
        <v>6</v>
      </c>
    </row>
    <row r="69" spans="1:7">
      <c r="B69" s="72" t="s">
        <v>36</v>
      </c>
      <c r="C69" s="72">
        <v>88.135999999999996</v>
      </c>
      <c r="D69" s="72">
        <v>68.125</v>
      </c>
      <c r="E69" s="72">
        <v>50.927</v>
      </c>
      <c r="F69" s="72">
        <v>58.92</v>
      </c>
      <c r="G69" s="72">
        <v>51.146000000000001</v>
      </c>
    </row>
    <row r="70" spans="1:7">
      <c r="B70" s="72" t="s">
        <v>37</v>
      </c>
      <c r="C70" s="72">
        <v>88.135999999999996</v>
      </c>
      <c r="D70" s="72">
        <v>68.125</v>
      </c>
      <c r="E70" s="72">
        <v>50.927</v>
      </c>
      <c r="F70" s="72">
        <v>58.92</v>
      </c>
      <c r="G70" s="72">
        <v>51.146000000000001</v>
      </c>
    </row>
    <row r="71" spans="1:7">
      <c r="B71" s="72" t="s">
        <v>38</v>
      </c>
      <c r="C71" s="72">
        <v>35.436999999999998</v>
      </c>
      <c r="D71" s="72">
        <v>44.415999999999997</v>
      </c>
      <c r="E71" s="72">
        <v>36.83</v>
      </c>
      <c r="F71" s="72">
        <v>50.238999999999997</v>
      </c>
      <c r="G71" s="72">
        <v>43.348999999999997</v>
      </c>
    </row>
    <row r="72" spans="1:7">
      <c r="B72" s="72" t="s">
        <v>39</v>
      </c>
      <c r="C72" s="72">
        <v>5.2919999999999998</v>
      </c>
      <c r="D72" s="72">
        <v>19.754000000000001</v>
      </c>
      <c r="E72" s="72">
        <v>31.872</v>
      </c>
      <c r="F72" s="72">
        <v>40.790999999999997</v>
      </c>
      <c r="G72" s="72">
        <v>45.703000000000003</v>
      </c>
    </row>
    <row r="73" spans="1:7">
      <c r="B73" s="72" t="s">
        <v>40</v>
      </c>
      <c r="C73" s="72">
        <v>2.4</v>
      </c>
      <c r="D73" s="72">
        <v>4.3</v>
      </c>
      <c r="E73" s="72">
        <v>3.8</v>
      </c>
      <c r="F73" s="72">
        <v>7.8</v>
      </c>
      <c r="G73" s="72">
        <v>12.7</v>
      </c>
    </row>
    <row r="74" spans="1:7">
      <c r="B74" s="72" t="s">
        <v>41</v>
      </c>
    </row>
    <row r="75" spans="1:7">
      <c r="B75" s="124" t="s">
        <v>42</v>
      </c>
      <c r="C75" s="125">
        <v>131.279</v>
      </c>
      <c r="D75" s="125">
        <v>136.58000000000001</v>
      </c>
      <c r="E75" s="125">
        <v>123.383</v>
      </c>
      <c r="F75" s="125">
        <v>157.79400000000001</v>
      </c>
      <c r="G75" s="125">
        <v>152.92500000000001</v>
      </c>
    </row>
    <row r="76" spans="1:7">
      <c r="B76" s="72" t="s">
        <v>43</v>
      </c>
      <c r="C76" s="72">
        <v>42.5</v>
      </c>
      <c r="D76" s="72">
        <v>49</v>
      </c>
      <c r="E76" s="72">
        <v>65.7</v>
      </c>
      <c r="F76" s="72">
        <v>85</v>
      </c>
      <c r="G76" s="72">
        <v>97.5</v>
      </c>
    </row>
    <row r="77" spans="1:7">
      <c r="B77" s="72" t="s">
        <v>44</v>
      </c>
      <c r="C77" s="72">
        <v>-33.866</v>
      </c>
      <c r="D77" s="72">
        <v>-33.817999999999998</v>
      </c>
      <c r="E77" s="72">
        <v>-37.848999999999997</v>
      </c>
      <c r="F77" s="72">
        <v>-43.033999999999999</v>
      </c>
      <c r="G77" s="72">
        <v>-50.598999999999997</v>
      </c>
    </row>
    <row r="78" spans="1:7">
      <c r="B78" s="72" t="s">
        <v>45</v>
      </c>
      <c r="C78" s="72">
        <v>8.6</v>
      </c>
      <c r="D78" s="72">
        <v>15.2</v>
      </c>
      <c r="E78" s="72">
        <v>27.9</v>
      </c>
      <c r="F78" s="72">
        <v>42</v>
      </c>
      <c r="G78" s="72">
        <v>46.9</v>
      </c>
    </row>
    <row r="79" spans="1:7">
      <c r="B79" s="72" t="s">
        <v>46</v>
      </c>
      <c r="C79" s="72">
        <v>63.945</v>
      </c>
      <c r="D79" s="72">
        <v>66.656000000000006</v>
      </c>
      <c r="E79" s="72">
        <v>92.004999999999995</v>
      </c>
      <c r="F79" s="72">
        <v>94.903000000000006</v>
      </c>
      <c r="G79" s="72">
        <v>103.22199999999999</v>
      </c>
    </row>
    <row r="80" spans="1:7">
      <c r="A80" s="72" t="s">
        <v>174</v>
      </c>
      <c r="B80" s="72" t="s">
        <v>47</v>
      </c>
      <c r="C80" s="72">
        <v>19.992000000000001</v>
      </c>
      <c r="D80" s="72">
        <v>17.946999999999999</v>
      </c>
      <c r="E80" s="72">
        <v>27.812000000000001</v>
      </c>
      <c r="F80" s="72">
        <v>24.626000000000001</v>
      </c>
      <c r="G80" s="72">
        <v>23.331</v>
      </c>
    </row>
    <row r="81" spans="2:7">
      <c r="B81" s="72" t="s">
        <v>48</v>
      </c>
    </row>
    <row r="82" spans="2:7">
      <c r="B82" s="72" t="s">
        <v>49</v>
      </c>
      <c r="C82" s="72">
        <v>11.6</v>
      </c>
      <c r="D82" s="72">
        <v>14.7</v>
      </c>
      <c r="E82" s="72">
        <v>13.3</v>
      </c>
      <c r="F82" s="72">
        <v>10</v>
      </c>
      <c r="G82" s="72">
        <v>5.8</v>
      </c>
    </row>
    <row r="83" spans="2:7">
      <c r="B83" s="72" t="s">
        <v>50</v>
      </c>
      <c r="C83" s="72">
        <v>2.2000000000000002</v>
      </c>
      <c r="D83" s="72">
        <v>4.5999999999999996</v>
      </c>
      <c r="E83" s="72">
        <v>5.2</v>
      </c>
      <c r="F83" s="72">
        <v>6.2</v>
      </c>
      <c r="G83" s="72">
        <v>49.8</v>
      </c>
    </row>
    <row r="84" spans="2:7">
      <c r="B84" s="72" t="s">
        <v>51</v>
      </c>
    </row>
    <row r="85" spans="2:7">
      <c r="B85" s="124" t="s">
        <v>52</v>
      </c>
      <c r="C85" s="125">
        <v>237.672</v>
      </c>
      <c r="D85" s="125">
        <v>255.63200000000001</v>
      </c>
      <c r="E85" s="125">
        <v>289.61200000000002</v>
      </c>
      <c r="F85" s="125">
        <v>335.56799999999998</v>
      </c>
      <c r="G85" s="125">
        <v>381.858</v>
      </c>
    </row>
    <row r="86" spans="2:7">
      <c r="B86" s="72" t="s">
        <v>53</v>
      </c>
      <c r="C86" s="72">
        <v>36.774999999999999</v>
      </c>
      <c r="D86" s="72">
        <v>48.44</v>
      </c>
      <c r="E86" s="72">
        <v>52.869</v>
      </c>
      <c r="F86" s="72">
        <v>78.894999999999996</v>
      </c>
      <c r="G86" s="72">
        <v>58.741</v>
      </c>
    </row>
    <row r="87" spans="2:7">
      <c r="B87" s="72" t="s">
        <v>54</v>
      </c>
    </row>
    <row r="88" spans="2:7">
      <c r="B88" s="72" t="s">
        <v>55</v>
      </c>
      <c r="C88" s="72">
        <v>26.1</v>
      </c>
      <c r="D88" s="72">
        <v>28.2</v>
      </c>
      <c r="E88" s="72">
        <v>26.3</v>
      </c>
      <c r="F88" s="72">
        <v>24</v>
      </c>
      <c r="G88" s="72">
        <v>17.5</v>
      </c>
    </row>
    <row r="89" spans="2:7">
      <c r="B89" s="72" t="s">
        <v>56</v>
      </c>
      <c r="C89" s="72">
        <v>0.7</v>
      </c>
      <c r="D89" s="72">
        <v>0.7</v>
      </c>
      <c r="E89" s="72">
        <v>0.9</v>
      </c>
      <c r="F89" s="72">
        <v>1.3</v>
      </c>
      <c r="G89" s="72">
        <v>1.9</v>
      </c>
    </row>
    <row r="90" spans="2:7">
      <c r="B90" s="72" t="s">
        <v>57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</row>
    <row r="91" spans="2:7">
      <c r="B91" s="72" t="s">
        <v>58</v>
      </c>
      <c r="C91" s="72">
        <v>2.1</v>
      </c>
      <c r="D91" s="72">
        <v>1.9</v>
      </c>
      <c r="E91" s="72">
        <v>1.7</v>
      </c>
      <c r="F91" s="72">
        <v>1.7</v>
      </c>
      <c r="G91" s="72">
        <v>4.2</v>
      </c>
    </row>
    <row r="92" spans="2:7">
      <c r="B92" s="124" t="s">
        <v>59</v>
      </c>
      <c r="C92" s="125">
        <v>65.673000000000002</v>
      </c>
      <c r="D92" s="125">
        <v>79.179000000000002</v>
      </c>
      <c r="E92" s="125">
        <v>81.692999999999998</v>
      </c>
      <c r="F92" s="125">
        <v>105.895</v>
      </c>
      <c r="G92" s="125">
        <v>82.396000000000001</v>
      </c>
    </row>
    <row r="93" spans="2:7">
      <c r="B93" s="72" t="s">
        <v>60</v>
      </c>
      <c r="C93" s="72">
        <v>13.6</v>
      </c>
      <c r="D93" s="72">
        <v>13.9</v>
      </c>
      <c r="E93" s="72">
        <v>37.5</v>
      </c>
      <c r="F93" s="72">
        <v>36.299999999999997</v>
      </c>
      <c r="G93" s="72">
        <v>36.700000000000003</v>
      </c>
    </row>
    <row r="94" spans="2:7">
      <c r="B94" s="72" t="s">
        <v>61</v>
      </c>
    </row>
    <row r="95" spans="2:7">
      <c r="B95" s="72" t="s">
        <v>62</v>
      </c>
      <c r="C95" s="72">
        <v>13.644</v>
      </c>
      <c r="D95" s="72">
        <v>13.93</v>
      </c>
      <c r="E95" s="72">
        <v>37.548000000000002</v>
      </c>
      <c r="F95" s="72">
        <v>36.283999999999999</v>
      </c>
      <c r="G95" s="72">
        <v>36.746000000000002</v>
      </c>
    </row>
    <row r="96" spans="2:7">
      <c r="B96" s="72" t="s">
        <v>63</v>
      </c>
      <c r="C96" s="72">
        <v>0.17899999999999999</v>
      </c>
      <c r="D96" s="72">
        <v>0.186</v>
      </c>
      <c r="E96" s="72">
        <v>0.27500000000000002</v>
      </c>
      <c r="F96" s="72">
        <v>0.46600000000000003</v>
      </c>
      <c r="G96" s="72">
        <v>0</v>
      </c>
    </row>
    <row r="97" spans="2:7">
      <c r="B97" s="72" t="s">
        <v>64</v>
      </c>
      <c r="C97" s="72">
        <v>3.6</v>
      </c>
      <c r="D97" s="72">
        <v>2.4</v>
      </c>
      <c r="E97" s="72">
        <v>2.5</v>
      </c>
      <c r="F97" s="72">
        <v>8.5</v>
      </c>
      <c r="G97" s="72">
        <v>9</v>
      </c>
    </row>
    <row r="98" spans="2:7">
      <c r="B98" s="72" t="s">
        <v>65</v>
      </c>
    </row>
    <row r="99" spans="2:7">
      <c r="B99" s="124" t="s">
        <v>66</v>
      </c>
      <c r="C99" s="125">
        <v>83.141000000000005</v>
      </c>
      <c r="D99" s="125">
        <v>95.661000000000001</v>
      </c>
      <c r="E99" s="125">
        <v>122.02</v>
      </c>
      <c r="F99" s="125">
        <v>151.102</v>
      </c>
      <c r="G99" s="125">
        <v>128.107</v>
      </c>
    </row>
    <row r="100" spans="2:7">
      <c r="B100" s="72" t="s">
        <v>67</v>
      </c>
      <c r="C100" s="72">
        <v>3.1</v>
      </c>
      <c r="D100" s="72">
        <v>3.1</v>
      </c>
      <c r="E100" s="72">
        <v>2.7</v>
      </c>
      <c r="F100" s="72">
        <v>2.7</v>
      </c>
      <c r="G100" s="72">
        <v>2.7</v>
      </c>
    </row>
    <row r="101" spans="2:7">
      <c r="B101" s="72" t="s">
        <v>68</v>
      </c>
      <c r="C101" s="72">
        <v>0</v>
      </c>
      <c r="D101" s="72">
        <v>0</v>
      </c>
    </row>
    <row r="102" spans="2:7">
      <c r="B102" s="72" t="s">
        <v>69</v>
      </c>
    </row>
    <row r="103" spans="2:7">
      <c r="B103" s="72" t="s">
        <v>70</v>
      </c>
      <c r="C103" s="72">
        <v>462.8</v>
      </c>
      <c r="D103" s="72">
        <v>469.9</v>
      </c>
      <c r="E103" s="72">
        <v>477.3</v>
      </c>
      <c r="F103" s="72">
        <v>482.3</v>
      </c>
      <c r="G103" s="72">
        <v>0</v>
      </c>
    </row>
    <row r="104" spans="2:7">
      <c r="B104" s="72" t="s">
        <v>71</v>
      </c>
      <c r="G104" s="72">
        <v>486.75900000000001</v>
      </c>
    </row>
    <row r="105" spans="2:7">
      <c r="B105" s="72" t="s">
        <v>72</v>
      </c>
      <c r="C105" s="72">
        <v>-311.38200000000001</v>
      </c>
      <c r="D105" s="72">
        <v>-313.08499999999998</v>
      </c>
      <c r="E105" s="72">
        <v>-312.452</v>
      </c>
      <c r="F105" s="72">
        <v>-300.459</v>
      </c>
      <c r="G105" s="72">
        <v>-235.92599999999999</v>
      </c>
    </row>
    <row r="106" spans="2:7">
      <c r="B106" s="72" t="s">
        <v>73</v>
      </c>
    </row>
    <row r="107" spans="2:7">
      <c r="B107" s="72" t="s">
        <v>74</v>
      </c>
    </row>
    <row r="108" spans="2:7">
      <c r="B108" s="72" t="s">
        <v>75</v>
      </c>
    </row>
    <row r="109" spans="2:7">
      <c r="B109" s="72" t="s">
        <v>76</v>
      </c>
      <c r="F109" s="72">
        <v>-0.124</v>
      </c>
      <c r="G109" s="72">
        <v>0.19800000000000001</v>
      </c>
    </row>
    <row r="111" spans="2:7">
      <c r="B111" s="72" t="s">
        <v>77</v>
      </c>
      <c r="C111" s="72">
        <v>154.53100000000001</v>
      </c>
      <c r="D111" s="72">
        <v>159.971</v>
      </c>
      <c r="E111" s="72">
        <v>167.59200000000001</v>
      </c>
      <c r="F111" s="72">
        <v>184.46600000000001</v>
      </c>
      <c r="G111" s="72">
        <v>253.751</v>
      </c>
    </row>
    <row r="112" spans="2:7" ht="14" thickBot="1">
      <c r="B112" s="126" t="s">
        <v>78</v>
      </c>
      <c r="C112" s="127">
        <v>237.672</v>
      </c>
      <c r="D112" s="127">
        <v>255.63200000000001</v>
      </c>
      <c r="E112" s="127">
        <v>289.61200000000002</v>
      </c>
      <c r="F112" s="127">
        <v>335.56799999999998</v>
      </c>
      <c r="G112" s="127">
        <v>381.858</v>
      </c>
    </row>
    <row r="113" spans="2:7" ht="14" thickTop="1">
      <c r="B113" s="72" t="s">
        <v>79</v>
      </c>
      <c r="C113" s="72">
        <v>71</v>
      </c>
      <c r="D113" s="72">
        <v>71</v>
      </c>
      <c r="E113" s="72">
        <v>73</v>
      </c>
      <c r="F113" s="72">
        <v>73</v>
      </c>
      <c r="G113" s="72">
        <v>73</v>
      </c>
    </row>
    <row r="116" spans="2:7">
      <c r="B116" s="2" t="s">
        <v>80</v>
      </c>
      <c r="C116" s="2"/>
      <c r="D116" s="2"/>
      <c r="E116" s="2"/>
      <c r="F116" s="2"/>
      <c r="G116" s="2"/>
    </row>
    <row r="117" spans="2:7">
      <c r="B117" s="106" t="s">
        <v>2</v>
      </c>
      <c r="C117" s="123">
        <v>44377</v>
      </c>
      <c r="D117" s="123">
        <v>44742</v>
      </c>
      <c r="E117" s="123">
        <v>45107</v>
      </c>
      <c r="F117" s="123">
        <v>45473</v>
      </c>
      <c r="G117" s="123">
        <v>45838</v>
      </c>
    </row>
    <row r="118" spans="2:7">
      <c r="B118" s="72" t="s">
        <v>3</v>
      </c>
      <c r="C118" s="72" t="s">
        <v>4</v>
      </c>
      <c r="D118" s="72" t="s">
        <v>4</v>
      </c>
      <c r="E118" s="72" t="s">
        <v>4</v>
      </c>
      <c r="F118" s="72" t="s">
        <v>4</v>
      </c>
      <c r="G118" s="72" t="s">
        <v>4</v>
      </c>
    </row>
    <row r="119" spans="2:7">
      <c r="B119" s="77" t="s">
        <v>5</v>
      </c>
      <c r="C119" s="77" t="s">
        <v>6</v>
      </c>
      <c r="D119" s="77" t="s">
        <v>6</v>
      </c>
      <c r="E119" s="77" t="s">
        <v>6</v>
      </c>
      <c r="F119" s="77" t="s">
        <v>6</v>
      </c>
      <c r="G119" s="77" t="s">
        <v>6</v>
      </c>
    </row>
    <row r="120" spans="2:7">
      <c r="B120" s="72" t="s">
        <v>23</v>
      </c>
      <c r="C120" s="72">
        <v>-8.7050000000000001</v>
      </c>
      <c r="D120" s="72">
        <v>-1.7030000000000001</v>
      </c>
      <c r="E120" s="72">
        <v>0.63300000000000001</v>
      </c>
      <c r="F120" s="72">
        <v>11.993</v>
      </c>
      <c r="G120" s="72">
        <v>64.533000000000001</v>
      </c>
    </row>
    <row r="121" spans="2:7">
      <c r="B121" s="72" t="s">
        <v>81</v>
      </c>
      <c r="C121" s="72">
        <v>-3.6440000000000001</v>
      </c>
      <c r="D121" s="72">
        <v>-22.483000000000001</v>
      </c>
      <c r="E121" s="72">
        <v>-6.4560000000000004</v>
      </c>
      <c r="F121" s="72">
        <v>-7.8250000000000002</v>
      </c>
      <c r="G121" s="72">
        <v>-25.800999999999998</v>
      </c>
    </row>
    <row r="122" spans="2:7">
      <c r="B122" s="124" t="s">
        <v>82</v>
      </c>
      <c r="C122" s="125">
        <v>8.1769999999999996</v>
      </c>
      <c r="D122" s="125">
        <v>-8.7050000000000001</v>
      </c>
      <c r="E122" s="125">
        <v>14.192</v>
      </c>
      <c r="F122" s="125">
        <v>27.745000000000001</v>
      </c>
      <c r="G122" s="125">
        <v>20.34</v>
      </c>
    </row>
    <row r="123" spans="2:7">
      <c r="B123" s="72" t="s">
        <v>83</v>
      </c>
      <c r="C123" s="72">
        <v>-1.8380000000000001</v>
      </c>
      <c r="D123" s="72">
        <v>-9.26</v>
      </c>
      <c r="E123" s="72">
        <v>-16.151</v>
      </c>
      <c r="F123" s="72">
        <v>-14.935</v>
      </c>
      <c r="G123" s="72">
        <v>-17.003</v>
      </c>
    </row>
    <row r="124" spans="2:7">
      <c r="B124" s="8" t="s">
        <v>149</v>
      </c>
      <c r="C124" s="5">
        <f>C122+C123</f>
        <v>6.3389999999999995</v>
      </c>
      <c r="D124" s="5">
        <f t="shared" ref="D124:G124" si="18">D122+D123</f>
        <v>-17.965</v>
      </c>
      <c r="E124" s="5">
        <f t="shared" si="18"/>
        <v>-1.9589999999999996</v>
      </c>
      <c r="F124" s="5">
        <f t="shared" si="18"/>
        <v>12.81</v>
      </c>
      <c r="G124" s="5">
        <f t="shared" si="18"/>
        <v>3.3369999999999997</v>
      </c>
    </row>
    <row r="125" spans="2:7">
      <c r="B125" s="72" t="s">
        <v>84</v>
      </c>
    </row>
    <row r="126" spans="2:7">
      <c r="B126" s="72" t="s">
        <v>85</v>
      </c>
    </row>
    <row r="127" spans="2:7">
      <c r="B127" s="72" t="s">
        <v>86</v>
      </c>
      <c r="C127" s="72">
        <v>0.01</v>
      </c>
      <c r="D127" s="72">
        <v>0</v>
      </c>
      <c r="E127" s="72">
        <v>0</v>
      </c>
    </row>
    <row r="128" spans="2:7">
      <c r="B128" s="72" t="s">
        <v>87</v>
      </c>
      <c r="D128" s="72">
        <v>-2.9660000000000002</v>
      </c>
      <c r="E128" s="72">
        <v>-35.713999999999999</v>
      </c>
      <c r="F128" s="72">
        <v>-3.7010000000000001</v>
      </c>
      <c r="G128" s="72">
        <v>-11.132</v>
      </c>
    </row>
    <row r="129" spans="2:7">
      <c r="B129" s="72" t="s">
        <v>88</v>
      </c>
    </row>
    <row r="130" spans="2:7">
      <c r="B130" s="72" t="s">
        <v>89</v>
      </c>
      <c r="C130" s="72">
        <v>0.01</v>
      </c>
      <c r="D130" s="72">
        <v>-2.9660000000000002</v>
      </c>
      <c r="E130" s="72">
        <v>-35.713999999999999</v>
      </c>
      <c r="F130" s="72">
        <v>-3.7010000000000001</v>
      </c>
      <c r="G130" s="72">
        <v>-11.132</v>
      </c>
    </row>
    <row r="131" spans="2:7">
      <c r="B131" s="124" t="s">
        <v>90</v>
      </c>
      <c r="C131" s="125">
        <v>-1.8280000000000001</v>
      </c>
      <c r="D131" s="125">
        <v>-12.226000000000001</v>
      </c>
      <c r="E131" s="125">
        <v>-51.865000000000002</v>
      </c>
      <c r="F131" s="125">
        <v>-18.635999999999999</v>
      </c>
      <c r="G131" s="125">
        <v>-28.135000000000002</v>
      </c>
    </row>
    <row r="132" spans="2:7">
      <c r="B132" s="72" t="s">
        <v>91</v>
      </c>
    </row>
    <row r="133" spans="2:7">
      <c r="B133" s="72" t="s">
        <v>92</v>
      </c>
      <c r="C133" s="72">
        <v>-1.194</v>
      </c>
      <c r="D133" s="72">
        <v>0.13200000000000001</v>
      </c>
      <c r="E133" s="72">
        <v>23.73</v>
      </c>
      <c r="F133" s="72">
        <v>-0.95399999999999996</v>
      </c>
      <c r="G133" s="72">
        <v>0.33500000000000002</v>
      </c>
    </row>
    <row r="134" spans="2:7">
      <c r="B134" s="72" t="s">
        <v>93</v>
      </c>
      <c r="C134" s="72">
        <v>55.085999999999999</v>
      </c>
      <c r="D134" s="72">
        <v>0.89500000000000002</v>
      </c>
      <c r="E134" s="72">
        <v>-2.1509999999999998</v>
      </c>
      <c r="F134" s="72">
        <v>0.115</v>
      </c>
      <c r="G134" s="72">
        <v>0.73099999999999998</v>
      </c>
    </row>
    <row r="135" spans="2:7">
      <c r="B135" s="72" t="s">
        <v>94</v>
      </c>
    </row>
    <row r="136" spans="2:7">
      <c r="B136" s="124" t="s">
        <v>95</v>
      </c>
      <c r="C136" s="125">
        <v>50.073999999999998</v>
      </c>
      <c r="D136" s="125">
        <v>0.92</v>
      </c>
      <c r="E136" s="125">
        <v>20.475000000000001</v>
      </c>
      <c r="F136" s="125">
        <v>-1.0580000000000001</v>
      </c>
      <c r="G136" s="125">
        <v>4.2000000000000003E-2</v>
      </c>
    </row>
    <row r="137" spans="2:7">
      <c r="B137" s="72" t="s">
        <v>96</v>
      </c>
      <c r="F137" s="72">
        <v>-5.8000000000000003E-2</v>
      </c>
      <c r="G137" s="72">
        <v>-2.1000000000000001E-2</v>
      </c>
    </row>
    <row r="138" spans="2:7">
      <c r="B138" s="72" t="s">
        <v>97</v>
      </c>
      <c r="C138" s="72">
        <v>56.423000000000002</v>
      </c>
      <c r="D138" s="72">
        <v>-20.010999999999999</v>
      </c>
      <c r="E138" s="72">
        <v>-17.198</v>
      </c>
      <c r="F138" s="72">
        <v>7.9930000000000003</v>
      </c>
      <c r="G138" s="72">
        <v>-7.774</v>
      </c>
    </row>
    <row r="139" spans="2:7">
      <c r="B139" s="72" t="s">
        <v>98</v>
      </c>
      <c r="C139" s="72">
        <v>31.713000000000001</v>
      </c>
      <c r="D139" s="72">
        <v>88.135999999999996</v>
      </c>
      <c r="E139" s="72">
        <v>68.125</v>
      </c>
      <c r="F139" s="72">
        <v>50.927</v>
      </c>
      <c r="G139" s="72">
        <v>58.92</v>
      </c>
    </row>
    <row r="140" spans="2:7">
      <c r="B140" s="72" t="s">
        <v>99</v>
      </c>
      <c r="C140" s="72">
        <v>88.135999999999996</v>
      </c>
      <c r="D140" s="72">
        <v>68.125</v>
      </c>
      <c r="E140" s="72">
        <v>50.927</v>
      </c>
      <c r="F140" s="72">
        <v>58.92</v>
      </c>
      <c r="G140" s="72">
        <v>51.146000000000001</v>
      </c>
    </row>
    <row r="143" spans="2:7">
      <c r="B143" s="72" t="s">
        <v>0</v>
      </c>
    </row>
    <row r="144" spans="2:7">
      <c r="B144" s="2" t="s">
        <v>100</v>
      </c>
      <c r="C144" s="2"/>
      <c r="D144" s="2"/>
      <c r="E144" s="2"/>
      <c r="F144" s="2"/>
      <c r="G144" s="2"/>
    </row>
    <row r="145" spans="2:7">
      <c r="B145" s="106" t="s">
        <v>2</v>
      </c>
      <c r="C145" s="123">
        <v>44377</v>
      </c>
      <c r="D145" s="123">
        <v>44742</v>
      </c>
      <c r="E145" s="123">
        <v>45107</v>
      </c>
      <c r="F145" s="123">
        <v>45473</v>
      </c>
      <c r="G145" s="123">
        <v>45838</v>
      </c>
    </row>
    <row r="146" spans="2:7">
      <c r="B146" s="72" t="s">
        <v>3</v>
      </c>
    </row>
    <row r="147" spans="2:7">
      <c r="B147" s="77" t="s">
        <v>5</v>
      </c>
      <c r="C147" s="77"/>
      <c r="D147" s="77"/>
      <c r="E147" s="77"/>
      <c r="F147" s="77"/>
      <c r="G147" s="77"/>
    </row>
    <row r="148" spans="2:7">
      <c r="B148" s="72" t="s">
        <v>101</v>
      </c>
    </row>
    <row r="149" spans="2:7">
      <c r="B149" s="72" t="s">
        <v>102</v>
      </c>
      <c r="C149" s="72">
        <v>32.36</v>
      </c>
      <c r="D149" s="72">
        <v>31.28</v>
      </c>
      <c r="E149" s="72">
        <v>33.340000000000003</v>
      </c>
      <c r="F149" s="72">
        <v>38.22</v>
      </c>
      <c r="G149" s="72">
        <v>40.93</v>
      </c>
    </row>
    <row r="150" spans="2:7">
      <c r="B150" s="72" t="s">
        <v>103</v>
      </c>
      <c r="C150" s="72">
        <v>-3.38</v>
      </c>
      <c r="D150" s="72">
        <v>-1.29</v>
      </c>
      <c r="E150" s="72">
        <v>0.31</v>
      </c>
      <c r="F150" s="72">
        <v>5.28</v>
      </c>
      <c r="G150" s="72">
        <v>7.38</v>
      </c>
    </row>
    <row r="151" spans="2:7">
      <c r="B151" s="72" t="s">
        <v>104</v>
      </c>
      <c r="C151" s="72">
        <v>-4.99</v>
      </c>
      <c r="D151" s="72">
        <v>-0.74</v>
      </c>
      <c r="E151" s="72">
        <v>0.33</v>
      </c>
      <c r="F151" s="72">
        <v>4.83</v>
      </c>
      <c r="G151" s="72">
        <v>7.33</v>
      </c>
    </row>
    <row r="152" spans="2:7">
      <c r="B152" s="72" t="s">
        <v>105</v>
      </c>
      <c r="E152" s="72">
        <v>22.24</v>
      </c>
      <c r="F152" s="72">
        <v>7.59</v>
      </c>
      <c r="G152" s="72">
        <v>-190.94</v>
      </c>
    </row>
    <row r="153" spans="2:7">
      <c r="B153" s="72" t="s">
        <v>106</v>
      </c>
      <c r="C153" s="72">
        <v>-5.61</v>
      </c>
      <c r="D153" s="72">
        <v>-1.1599999999999999</v>
      </c>
      <c r="E153" s="72">
        <v>0</v>
      </c>
      <c r="F153" s="72">
        <v>4.25</v>
      </c>
      <c r="G153" s="72">
        <v>21.14</v>
      </c>
    </row>
    <row r="154" spans="2:7">
      <c r="B154" s="72" t="s">
        <v>107</v>
      </c>
      <c r="C154" s="72">
        <v>-7.1</v>
      </c>
      <c r="D154" s="72">
        <v>-1.5</v>
      </c>
      <c r="E154" s="72">
        <v>3.8</v>
      </c>
      <c r="F154" s="72">
        <v>16.899999999999999</v>
      </c>
      <c r="G154" s="72">
        <v>24.4</v>
      </c>
    </row>
    <row r="155" spans="2:7">
      <c r="B155" s="72" t="s">
        <v>108</v>
      </c>
      <c r="C155" s="72">
        <v>-1.6</v>
      </c>
      <c r="D155" s="72">
        <v>3.9</v>
      </c>
      <c r="E155" s="72">
        <v>11.4</v>
      </c>
      <c r="F155" s="72">
        <v>29.1</v>
      </c>
      <c r="G155" s="72">
        <v>40.299999999999997</v>
      </c>
    </row>
    <row r="156" spans="2:7">
      <c r="B156" s="72" t="s">
        <v>109</v>
      </c>
      <c r="C156" s="72">
        <v>-2.4</v>
      </c>
      <c r="D156" s="72">
        <v>-0.1</v>
      </c>
      <c r="E156" s="72">
        <v>3.1</v>
      </c>
      <c r="F156" s="72">
        <v>8.9</v>
      </c>
      <c r="G156" s="72">
        <v>11.5</v>
      </c>
    </row>
    <row r="157" spans="2:7">
      <c r="B157" s="72" t="s">
        <v>110</v>
      </c>
    </row>
    <row r="158" spans="2:7">
      <c r="B158" s="72" t="s">
        <v>111</v>
      </c>
      <c r="C158" s="72">
        <v>-9.3000000000000007</v>
      </c>
      <c r="D158" s="72">
        <v>-1</v>
      </c>
      <c r="E158" s="72">
        <v>1</v>
      </c>
      <c r="F158" s="72">
        <v>7.8</v>
      </c>
      <c r="G158" s="72">
        <v>29.1</v>
      </c>
    </row>
    <row r="159" spans="2:7">
      <c r="B159" s="72" t="s">
        <v>112</v>
      </c>
      <c r="C159" s="72">
        <v>-8.1</v>
      </c>
      <c r="D159" s="72">
        <v>-0.9</v>
      </c>
      <c r="E159" s="72">
        <v>0.9</v>
      </c>
      <c r="F159" s="72">
        <v>6.6</v>
      </c>
      <c r="G159" s="72">
        <v>25.5</v>
      </c>
    </row>
    <row r="160" spans="2:7">
      <c r="B160" s="72" t="s">
        <v>113</v>
      </c>
      <c r="C160" s="72">
        <v>-5.4</v>
      </c>
      <c r="D160" s="72">
        <v>-0.7</v>
      </c>
      <c r="E160" s="72">
        <v>0.6</v>
      </c>
      <c r="F160" s="72">
        <v>4.5</v>
      </c>
      <c r="G160" s="72">
        <v>19.100000000000001</v>
      </c>
    </row>
    <row r="161" spans="2:7">
      <c r="B161" s="72" t="s">
        <v>114</v>
      </c>
    </row>
    <row r="162" spans="2:7">
      <c r="B162" s="72" t="s">
        <v>115</v>
      </c>
      <c r="C162" s="72">
        <v>126</v>
      </c>
      <c r="D162" s="72">
        <v>116.8</v>
      </c>
      <c r="E162" s="72">
        <v>91.5</v>
      </c>
      <c r="F162" s="72">
        <v>117</v>
      </c>
      <c r="G162" s="72">
        <v>107.2</v>
      </c>
    </row>
    <row r="163" spans="2:7">
      <c r="B163" s="72" t="s">
        <v>116</v>
      </c>
      <c r="C163" s="72">
        <v>1.92</v>
      </c>
      <c r="D163" s="72">
        <v>1.48</v>
      </c>
      <c r="E163" s="72">
        <v>1.1200000000000001</v>
      </c>
      <c r="F163" s="72">
        <v>1.1000000000000001</v>
      </c>
      <c r="G163" s="72">
        <v>1.3</v>
      </c>
    </row>
    <row r="164" spans="2:7">
      <c r="B164" s="72" t="s">
        <v>117</v>
      </c>
      <c r="C164" s="72">
        <v>2</v>
      </c>
      <c r="D164" s="72">
        <v>1.72</v>
      </c>
      <c r="E164" s="72">
        <v>1.51</v>
      </c>
      <c r="F164" s="72">
        <v>1.49</v>
      </c>
      <c r="G164" s="72">
        <v>1.86</v>
      </c>
    </row>
    <row r="165" spans="2:7">
      <c r="B165" s="72" t="s">
        <v>118</v>
      </c>
      <c r="C165" s="72">
        <v>-70.7</v>
      </c>
      <c r="D165" s="72">
        <v>-50.4</v>
      </c>
      <c r="E165" s="72">
        <v>-9.8000000000000007</v>
      </c>
      <c r="F165" s="72">
        <v>-18.600000000000001</v>
      </c>
      <c r="G165" s="72">
        <v>-9.8000000000000007</v>
      </c>
    </row>
    <row r="166" spans="2:7">
      <c r="B166" s="72" t="s">
        <v>119</v>
      </c>
      <c r="C166" s="72">
        <v>8.8000000000000007</v>
      </c>
      <c r="D166" s="72">
        <v>8.6999999999999993</v>
      </c>
      <c r="E166" s="72">
        <v>22.4</v>
      </c>
      <c r="F166" s="72">
        <v>19.7</v>
      </c>
      <c r="G166" s="72">
        <v>14.5</v>
      </c>
    </row>
    <row r="167" spans="2:7">
      <c r="B167" s="72" t="s">
        <v>120</v>
      </c>
      <c r="C167" s="72">
        <v>8.1</v>
      </c>
      <c r="D167" s="72">
        <v>8</v>
      </c>
      <c r="E167" s="72">
        <v>18.3</v>
      </c>
      <c r="F167" s="72">
        <v>16.399999999999999</v>
      </c>
      <c r="G167" s="72">
        <v>12.6</v>
      </c>
    </row>
    <row r="168" spans="2:7">
      <c r="B168" s="72" t="s">
        <v>121</v>
      </c>
      <c r="C168" s="72">
        <v>0</v>
      </c>
      <c r="D168" s="72">
        <v>0</v>
      </c>
      <c r="E168" s="72">
        <v>0</v>
      </c>
      <c r="F168" s="72">
        <v>0</v>
      </c>
      <c r="G168" s="72">
        <v>0</v>
      </c>
    </row>
    <row r="169" spans="2:7">
      <c r="B169" s="72" t="s">
        <v>122</v>
      </c>
    </row>
    <row r="170" spans="2:7">
      <c r="B170" s="72" t="s">
        <v>123</v>
      </c>
      <c r="C170" s="72">
        <v>8.1</v>
      </c>
      <c r="D170" s="72">
        <v>8</v>
      </c>
      <c r="E170" s="72">
        <v>18.3</v>
      </c>
      <c r="F170" s="72">
        <v>16.399999999999999</v>
      </c>
      <c r="G170" s="72">
        <v>12.6</v>
      </c>
    </row>
    <row r="171" spans="2:7">
      <c r="B171" s="72" t="s">
        <v>124</v>
      </c>
      <c r="C171" s="72">
        <v>5.7</v>
      </c>
      <c r="D171" s="72">
        <v>5.4</v>
      </c>
      <c r="E171" s="72">
        <v>13</v>
      </c>
      <c r="F171" s="72">
        <v>10.8</v>
      </c>
      <c r="G171" s="72">
        <v>9.6</v>
      </c>
    </row>
    <row r="172" spans="2:7">
      <c r="B172" s="72" t="s">
        <v>125</v>
      </c>
    </row>
    <row r="173" spans="2:7">
      <c r="B173" s="72" t="s">
        <v>126</v>
      </c>
      <c r="C173" s="72">
        <v>1.5</v>
      </c>
      <c r="D173" s="72">
        <v>1.6</v>
      </c>
      <c r="E173" s="72">
        <v>1.7</v>
      </c>
      <c r="F173" s="72">
        <v>1.8</v>
      </c>
      <c r="G173" s="72">
        <v>1.5</v>
      </c>
    </row>
    <row r="174" spans="2:7">
      <c r="B174" s="72" t="s">
        <v>127</v>
      </c>
    </row>
    <row r="175" spans="2:7">
      <c r="B175" s="72" t="s">
        <v>128</v>
      </c>
      <c r="C175" s="72">
        <v>17</v>
      </c>
      <c r="D175" s="72">
        <v>51</v>
      </c>
      <c r="E175" s="72">
        <v>72</v>
      </c>
      <c r="F175" s="72">
        <v>90</v>
      </c>
      <c r="G175" s="72">
        <v>93</v>
      </c>
    </row>
    <row r="176" spans="2:7">
      <c r="B176" s="72" t="s">
        <v>129</v>
      </c>
    </row>
    <row r="177" spans="2:7">
      <c r="B177" s="72" t="s">
        <v>130</v>
      </c>
      <c r="C177" s="72">
        <v>119</v>
      </c>
      <c r="D177" s="72">
        <v>125</v>
      </c>
      <c r="E177" s="72">
        <v>119</v>
      </c>
      <c r="F177" s="72">
        <v>174</v>
      </c>
      <c r="G177" s="72">
        <v>120</v>
      </c>
    </row>
    <row r="178" spans="2:7">
      <c r="B178" s="72" t="s">
        <v>131</v>
      </c>
    </row>
    <row r="179" spans="2:7">
      <c r="B179" s="72" t="s">
        <v>132</v>
      </c>
      <c r="C179" s="72">
        <v>0.70199999999999996</v>
      </c>
      <c r="D179" s="72">
        <v>0.80300000000000005</v>
      </c>
      <c r="E179" s="72">
        <v>0.84099999999999997</v>
      </c>
      <c r="F179" s="72">
        <v>0.8</v>
      </c>
      <c r="G179" s="72">
        <v>0.79200000000000004</v>
      </c>
    </row>
    <row r="180" spans="2:7">
      <c r="B180" s="72" t="s">
        <v>133</v>
      </c>
    </row>
    <row r="181" spans="2:7">
      <c r="B181" s="72" t="s">
        <v>134</v>
      </c>
      <c r="C181" s="72">
        <v>21.3</v>
      </c>
      <c r="D181" s="72">
        <v>7.1</v>
      </c>
      <c r="E181" s="72">
        <v>5.0999999999999996</v>
      </c>
      <c r="F181" s="72">
        <v>4.0999999999999996</v>
      </c>
      <c r="G181" s="72">
        <v>3.9</v>
      </c>
    </row>
    <row r="182" spans="2:7">
      <c r="B182" s="72" t="s">
        <v>135</v>
      </c>
      <c r="C182" s="72">
        <v>3.1</v>
      </c>
      <c r="D182" s="72">
        <v>2.9</v>
      </c>
      <c r="E182" s="72">
        <v>3.1</v>
      </c>
      <c r="F182" s="72">
        <v>2.1</v>
      </c>
      <c r="G182" s="72">
        <v>3</v>
      </c>
    </row>
    <row r="183" spans="2:7">
      <c r="B183" s="72" t="s">
        <v>136</v>
      </c>
      <c r="C183" s="72">
        <v>31.6</v>
      </c>
      <c r="D183" s="72">
        <v>10.4</v>
      </c>
      <c r="E183" s="72">
        <v>7.6</v>
      </c>
      <c r="F183" s="72">
        <v>6.6</v>
      </c>
      <c r="G183" s="72">
        <v>6.6</v>
      </c>
    </row>
    <row r="184" spans="2:7">
      <c r="B184" s="72" t="s">
        <v>137</v>
      </c>
      <c r="C184" s="72">
        <v>2.5</v>
      </c>
      <c r="D184" s="72">
        <v>3.6</v>
      </c>
      <c r="E184" s="72">
        <v>5.8</v>
      </c>
      <c r="F184" s="72">
        <v>5.2</v>
      </c>
      <c r="G184" s="72">
        <v>4.3</v>
      </c>
    </row>
    <row r="185" spans="2:7">
      <c r="B185" s="72" t="s">
        <v>138</v>
      </c>
      <c r="C185" s="72">
        <v>1.9</v>
      </c>
      <c r="D185" s="72">
        <v>3</v>
      </c>
      <c r="E185" s="72">
        <v>4.8</v>
      </c>
      <c r="F185" s="72">
        <v>4.5999999999999996</v>
      </c>
      <c r="G185" s="72">
        <v>5.9</v>
      </c>
    </row>
    <row r="186" spans="2:7">
      <c r="B186" s="72" t="s">
        <v>139</v>
      </c>
      <c r="C186" s="72">
        <v>19.399999999999999</v>
      </c>
      <c r="D186" s="72">
        <v>13.5</v>
      </c>
      <c r="E186" s="72">
        <v>8.6999999999999993</v>
      </c>
      <c r="F186" s="72">
        <v>6.4</v>
      </c>
      <c r="G186" s="72">
        <v>6.5</v>
      </c>
    </row>
    <row r="187" spans="2:7">
      <c r="B187" s="72" t="s">
        <v>140</v>
      </c>
    </row>
    <row r="188" spans="2:7">
      <c r="B188" s="72" t="s">
        <v>141</v>
      </c>
      <c r="C188" s="72">
        <v>6.3390000000000004</v>
      </c>
      <c r="D188" s="72">
        <v>-17.965</v>
      </c>
      <c r="E188" s="72">
        <v>-1.9590000000000001</v>
      </c>
      <c r="F188" s="72">
        <v>12.81</v>
      </c>
      <c r="G188" s="72">
        <v>3.3370000000000002</v>
      </c>
    </row>
    <row r="189" spans="2:7">
      <c r="B189" s="72" t="s">
        <v>142</v>
      </c>
      <c r="C189" s="72">
        <v>0.09</v>
      </c>
      <c r="D189" s="72">
        <v>-0.25</v>
      </c>
      <c r="E189" s="72">
        <v>-0.03</v>
      </c>
      <c r="F189" s="72">
        <v>0.17</v>
      </c>
      <c r="G189" s="72">
        <v>0.04</v>
      </c>
    </row>
    <row r="190" spans="2:7">
      <c r="B190" s="72" t="s">
        <v>143</v>
      </c>
      <c r="C190" s="72">
        <v>2.17</v>
      </c>
      <c r="D190" s="72">
        <v>2.25</v>
      </c>
      <c r="E190" s="72">
        <v>2.31</v>
      </c>
      <c r="F190" s="72">
        <v>2.5299999999999998</v>
      </c>
      <c r="G190" s="72">
        <v>3.46</v>
      </c>
    </row>
    <row r="191" spans="2:7">
      <c r="B191" s="72" t="s">
        <v>144</v>
      </c>
      <c r="C191" s="72">
        <v>67.5</v>
      </c>
      <c r="D191" s="72">
        <v>72.2</v>
      </c>
      <c r="E191" s="72">
        <v>45.1</v>
      </c>
      <c r="F191" s="72">
        <v>62.2</v>
      </c>
      <c r="G191" s="72">
        <v>124.5</v>
      </c>
    </row>
    <row r="192" spans="2:7">
      <c r="B192" s="72" t="s">
        <v>145</v>
      </c>
      <c r="C192" s="72">
        <v>0.94699999999999995</v>
      </c>
      <c r="D192" s="72">
        <v>1.0149999999999999</v>
      </c>
      <c r="E192" s="72">
        <v>0.62</v>
      </c>
      <c r="F192" s="72">
        <v>0.85299999999999998</v>
      </c>
      <c r="G192" s="72">
        <v>1.698</v>
      </c>
    </row>
    <row r="193" spans="2:2">
      <c r="B193" s="72" t="s">
        <v>146</v>
      </c>
    </row>
  </sheetData>
  <mergeCells count="3">
    <mergeCell ref="C3:G3"/>
    <mergeCell ref="H3:L3"/>
    <mergeCell ref="C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EF4D-BB63-8540-871F-CD15096D411F}">
  <dimension ref="B1:V19"/>
  <sheetViews>
    <sheetView showGridLines="0" zoomScale="117" workbookViewId="0">
      <selection activeCell="I13" sqref="I13:M13"/>
    </sheetView>
  </sheetViews>
  <sheetFormatPr baseColWidth="10" defaultRowHeight="15" customHeight="1"/>
  <cols>
    <col min="1" max="1" width="5.1640625" style="1" customWidth="1"/>
    <col min="2" max="13" width="11.83203125" style="1" customWidth="1"/>
    <col min="14" max="16384" width="10.83203125" style="1"/>
  </cols>
  <sheetData>
    <row r="1" spans="2:22" ht="15" customHeight="1">
      <c r="B1" s="2" t="s">
        <v>167</v>
      </c>
      <c r="C1" s="2"/>
      <c r="D1" s="2"/>
      <c r="E1" s="2"/>
      <c r="F1" s="2"/>
      <c r="G1" s="2"/>
      <c r="H1" s="2"/>
      <c r="I1" s="2"/>
      <c r="J1" s="2"/>
      <c r="K1" s="2"/>
      <c r="L1" s="2"/>
      <c r="M1" s="27"/>
    </row>
    <row r="2" spans="2:22" ht="15" customHeight="1">
      <c r="B2" s="23"/>
      <c r="C2" s="23"/>
      <c r="D2" s="134" t="s">
        <v>165</v>
      </c>
      <c r="E2" s="135"/>
      <c r="F2" s="135"/>
      <c r="G2" s="135"/>
      <c r="H2" s="135"/>
      <c r="I2" s="136" t="s">
        <v>166</v>
      </c>
      <c r="J2" s="137"/>
      <c r="K2" s="137"/>
      <c r="L2" s="137"/>
      <c r="M2" s="138"/>
    </row>
    <row r="3" spans="2:22" ht="15" customHeight="1">
      <c r="B3" s="28" t="s">
        <v>2</v>
      </c>
      <c r="C3" s="6"/>
      <c r="D3" s="7">
        <v>44377</v>
      </c>
      <c r="E3" s="7">
        <v>44742</v>
      </c>
      <c r="F3" s="7">
        <v>45107</v>
      </c>
      <c r="G3" s="7">
        <v>45473</v>
      </c>
      <c r="H3" s="7">
        <v>45838</v>
      </c>
      <c r="I3" s="14">
        <v>46203</v>
      </c>
      <c r="J3" s="7">
        <v>46568</v>
      </c>
      <c r="K3" s="7">
        <v>46934</v>
      </c>
      <c r="L3" s="7">
        <v>47299</v>
      </c>
      <c r="M3" s="15">
        <v>47664</v>
      </c>
    </row>
    <row r="4" spans="2:22" ht="15" customHeight="1">
      <c r="B4" s="1" t="s">
        <v>3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6" t="s">
        <v>4</v>
      </c>
      <c r="J4" s="1" t="s">
        <v>4</v>
      </c>
      <c r="K4" s="1" t="s">
        <v>4</v>
      </c>
      <c r="L4" s="1" t="s">
        <v>4</v>
      </c>
      <c r="M4" s="17" t="s">
        <v>4</v>
      </c>
    </row>
    <row r="5" spans="2:22" ht="15" customHeight="1">
      <c r="B5" s="3" t="s">
        <v>5</v>
      </c>
      <c r="C5" s="3"/>
      <c r="D5" s="3" t="s">
        <v>6</v>
      </c>
      <c r="E5" s="3" t="s">
        <v>6</v>
      </c>
      <c r="F5" s="3" t="s">
        <v>6</v>
      </c>
      <c r="G5" s="3" t="s">
        <v>6</v>
      </c>
      <c r="H5" s="3" t="s">
        <v>6</v>
      </c>
      <c r="I5" s="18" t="s">
        <v>6</v>
      </c>
      <c r="J5" s="3" t="s">
        <v>6</v>
      </c>
      <c r="K5" s="3" t="s">
        <v>6</v>
      </c>
      <c r="L5" s="3" t="s">
        <v>6</v>
      </c>
      <c r="M5" s="19" t="s">
        <v>6</v>
      </c>
    </row>
    <row r="6" spans="2:22" ht="15" customHeight="1">
      <c r="B6" s="29" t="s">
        <v>168</v>
      </c>
      <c r="C6" s="12"/>
      <c r="D6" s="1">
        <v>85.5</v>
      </c>
      <c r="E6" s="1">
        <v>110.7</v>
      </c>
      <c r="F6" s="1">
        <v>132.6</v>
      </c>
      <c r="G6" s="1">
        <v>156.19999999999999</v>
      </c>
      <c r="H6" s="1">
        <v>178.5</v>
      </c>
      <c r="I6" s="20">
        <f>H6*(1+I7)</f>
        <v>199.92000000000002</v>
      </c>
      <c r="J6" s="21">
        <f t="shared" ref="J6:M6" si="0">I6*(1+J7)</f>
        <v>219.91200000000003</v>
      </c>
      <c r="K6" s="21">
        <f t="shared" si="0"/>
        <v>237.50496000000004</v>
      </c>
      <c r="L6" s="21">
        <f t="shared" si="0"/>
        <v>251.75525760000005</v>
      </c>
      <c r="M6" s="22">
        <f t="shared" si="0"/>
        <v>261.82546790400005</v>
      </c>
    </row>
    <row r="7" spans="2:22" ht="15" customHeight="1">
      <c r="B7" s="30" t="s">
        <v>172</v>
      </c>
      <c r="C7" s="12"/>
      <c r="E7" s="64">
        <f>E6/D6 -1</f>
        <v>0.29473684210526319</v>
      </c>
      <c r="F7" s="64">
        <f t="shared" ref="F7:H7" si="1">F6/E6 -1</f>
        <v>0.19783197831978305</v>
      </c>
      <c r="G7" s="64">
        <f t="shared" si="1"/>
        <v>0.17797888386123684</v>
      </c>
      <c r="H7" s="64">
        <f t="shared" si="1"/>
        <v>0.14276568501920628</v>
      </c>
      <c r="I7" s="24">
        <v>0.12</v>
      </c>
      <c r="J7" s="25">
        <v>0.1</v>
      </c>
      <c r="K7" s="25">
        <v>0.08</v>
      </c>
      <c r="L7" s="25">
        <v>0.06</v>
      </c>
      <c r="M7" s="26">
        <v>0.04</v>
      </c>
    </row>
    <row r="8" spans="2:22" ht="15" customHeight="1">
      <c r="B8" s="30" t="s">
        <v>169</v>
      </c>
      <c r="C8" s="11"/>
      <c r="D8" s="64">
        <f>D6/D15</f>
        <v>0.51228280407429594</v>
      </c>
      <c r="E8" s="64">
        <f t="shared" ref="E8:M8" si="2">E6/E15</f>
        <v>0.53921091086215289</v>
      </c>
      <c r="F8" s="64">
        <f t="shared" si="2"/>
        <v>0.54433497536945807</v>
      </c>
      <c r="G8" s="64">
        <f t="shared" si="2"/>
        <v>0.58153387937453449</v>
      </c>
      <c r="H8" s="64">
        <f t="shared" si="2"/>
        <v>0.59008264462809923</v>
      </c>
      <c r="I8" s="65">
        <f t="shared" si="2"/>
        <v>0.58950497151551617</v>
      </c>
      <c r="J8" s="64">
        <f t="shared" si="2"/>
        <v>0.59162650437345921</v>
      </c>
      <c r="K8" s="64">
        <f t="shared" si="2"/>
        <v>0.59123563584184735</v>
      </c>
      <c r="L8" s="64">
        <f t="shared" si="2"/>
        <v>0.58777278133120825</v>
      </c>
      <c r="M8" s="66">
        <f t="shared" si="2"/>
        <v>0.58256309246713045</v>
      </c>
    </row>
    <row r="9" spans="2:22" ht="15" customHeight="1">
      <c r="B9" s="29" t="s">
        <v>170</v>
      </c>
      <c r="C9" s="12"/>
      <c r="D9" s="1">
        <v>53.7</v>
      </c>
      <c r="E9" s="1">
        <v>58.2</v>
      </c>
      <c r="F9" s="1">
        <v>67.599999999999994</v>
      </c>
      <c r="G9" s="1">
        <v>75.3</v>
      </c>
      <c r="H9" s="1">
        <v>84.7</v>
      </c>
      <c r="I9" s="20">
        <f>H9*(1+I10)</f>
        <v>94.01700000000001</v>
      </c>
      <c r="J9" s="21">
        <f t="shared" ref="J9" si="3">I9*(1+J10)</f>
        <v>103.88878500000001</v>
      </c>
      <c r="K9" s="21">
        <f t="shared" ref="K9" si="4">J9*(1+K10)</f>
        <v>114.38155228500001</v>
      </c>
      <c r="L9" s="21">
        <f t="shared" ref="L9" si="5">K9*(1+L10)</f>
        <v>125.24779975207501</v>
      </c>
      <c r="M9" s="22">
        <f t="shared" ref="M9" si="6">L9*(1+M10)</f>
        <v>135.26762373224102</v>
      </c>
    </row>
    <row r="10" spans="2:22" ht="15" customHeight="1">
      <c r="B10" s="30" t="s">
        <v>172</v>
      </c>
      <c r="C10" s="12"/>
      <c r="D10" s="63"/>
      <c r="E10" s="64">
        <f>E9/D9 -1</f>
        <v>8.3798882681564324E-2</v>
      </c>
      <c r="F10" s="64">
        <f t="shared" ref="F10" si="7">F9/E9 -1</f>
        <v>0.1615120274914088</v>
      </c>
      <c r="G10" s="64">
        <f t="shared" ref="G10" si="8">G9/F9 -1</f>
        <v>0.11390532544378695</v>
      </c>
      <c r="H10" s="64">
        <f t="shared" ref="H10" si="9">H9/G9 -1</f>
        <v>0.12483399734395761</v>
      </c>
      <c r="I10" s="24">
        <v>0.11</v>
      </c>
      <c r="J10" s="25">
        <v>0.105</v>
      </c>
      <c r="K10" s="25">
        <v>0.10100000000000001</v>
      </c>
      <c r="L10" s="25">
        <v>9.5000000000000001E-2</v>
      </c>
      <c r="M10" s="26">
        <v>0.08</v>
      </c>
    </row>
    <row r="11" spans="2:22" ht="15" customHeight="1">
      <c r="B11" s="30" t="s">
        <v>169</v>
      </c>
      <c r="C11" s="11"/>
      <c r="D11" s="64">
        <f>D9/D15</f>
        <v>0.32174955062911925</v>
      </c>
      <c r="E11" s="64">
        <f t="shared" ref="E11:M11" si="10">E9/E15</f>
        <v>0.28348757915245981</v>
      </c>
      <c r="F11" s="64">
        <f t="shared" si="10"/>
        <v>0.27750410509031198</v>
      </c>
      <c r="G11" s="64">
        <f t="shared" si="10"/>
        <v>0.28034251675353683</v>
      </c>
      <c r="H11" s="64">
        <f t="shared" si="10"/>
        <v>0.28000000000000003</v>
      </c>
      <c r="I11" s="65">
        <f t="shared" si="10"/>
        <v>0.27722833586921908</v>
      </c>
      <c r="J11" s="64">
        <f t="shared" si="10"/>
        <v>0.27949069952142613</v>
      </c>
      <c r="K11" s="64">
        <f t="shared" si="10"/>
        <v>0.28473699999275587</v>
      </c>
      <c r="L11" s="64">
        <f t="shared" si="10"/>
        <v>0.29241592933426519</v>
      </c>
      <c r="M11" s="66">
        <f t="shared" si="10"/>
        <v>0.3009711997193022</v>
      </c>
    </row>
    <row r="12" spans="2:22" ht="15" customHeight="1">
      <c r="B12" s="29" t="s">
        <v>171</v>
      </c>
      <c r="C12" s="12"/>
      <c r="D12" s="1">
        <v>27.7</v>
      </c>
      <c r="E12" s="1">
        <v>36.4</v>
      </c>
      <c r="F12" s="1">
        <v>43.4</v>
      </c>
      <c r="G12" s="1">
        <v>37.1</v>
      </c>
      <c r="H12" s="1">
        <v>39.299999999999997</v>
      </c>
      <c r="I12" s="20">
        <f>H12*(1+I13)</f>
        <v>45.194999999999993</v>
      </c>
      <c r="J12" s="21">
        <f t="shared" ref="J12" si="11">I12*(1+J13)</f>
        <v>47.906699999999994</v>
      </c>
      <c r="K12" s="21">
        <f t="shared" ref="K12" si="12">J12*(1+K13)</f>
        <v>49.822967999999996</v>
      </c>
      <c r="L12" s="21">
        <f t="shared" ref="L12" si="13">K12*(1+L13)</f>
        <v>51.31765704</v>
      </c>
      <c r="M12" s="22">
        <f t="shared" ref="M12" si="14">L12*(1+M13)</f>
        <v>52.344010180799998</v>
      </c>
    </row>
    <row r="13" spans="2:22" ht="15" customHeight="1">
      <c r="B13" s="30" t="s">
        <v>172</v>
      </c>
      <c r="C13" s="12"/>
      <c r="E13" s="64">
        <f>E12/D12 -1</f>
        <v>0.3140794223826715</v>
      </c>
      <c r="F13" s="64">
        <f t="shared" ref="F13" si="15">F12/E12 -1</f>
        <v>0.19230769230769229</v>
      </c>
      <c r="G13" s="64">
        <f t="shared" ref="G13" si="16">G12/F12 -1</f>
        <v>-0.14516129032258063</v>
      </c>
      <c r="H13" s="64">
        <f t="shared" ref="H13" si="17">H12/G12 -1</f>
        <v>5.9299191374662996E-2</v>
      </c>
      <c r="I13" s="24">
        <v>0.15</v>
      </c>
      <c r="J13" s="25">
        <v>0.06</v>
      </c>
      <c r="K13" s="25">
        <v>0.04</v>
      </c>
      <c r="L13" s="25">
        <v>0.03</v>
      </c>
      <c r="M13" s="26">
        <v>0.02</v>
      </c>
    </row>
    <row r="14" spans="2:22" ht="15" customHeight="1">
      <c r="B14" s="30" t="s">
        <v>169</v>
      </c>
      <c r="C14" s="11"/>
      <c r="D14" s="64">
        <f>D12/D15</f>
        <v>0.16596764529658478</v>
      </c>
      <c r="E14" s="64">
        <f t="shared" ref="E14:M14" si="18">E12/E15</f>
        <v>0.17730150998538721</v>
      </c>
      <c r="F14" s="64">
        <f t="shared" si="18"/>
        <v>0.17816091954022989</v>
      </c>
      <c r="G14" s="64">
        <f t="shared" si="18"/>
        <v>0.13812360387192851</v>
      </c>
      <c r="H14" s="64">
        <f t="shared" si="18"/>
        <v>0.12991735537190083</v>
      </c>
      <c r="I14" s="65">
        <f t="shared" si="18"/>
        <v>0.13326669261526483</v>
      </c>
      <c r="J14" s="64">
        <f t="shared" si="18"/>
        <v>0.12888279610511472</v>
      </c>
      <c r="K14" s="64">
        <f t="shared" si="18"/>
        <v>0.12402736416539682</v>
      </c>
      <c r="L14" s="64">
        <f t="shared" si="18"/>
        <v>0.11981128933452652</v>
      </c>
      <c r="M14" s="66">
        <f t="shared" si="18"/>
        <v>0.11646570781356728</v>
      </c>
      <c r="Q14" s="9"/>
      <c r="R14" s="9"/>
      <c r="S14" s="9"/>
      <c r="T14" s="9"/>
      <c r="U14" s="9"/>
      <c r="V14" s="9"/>
    </row>
    <row r="15" spans="2:22" ht="15" customHeight="1">
      <c r="B15" s="13" t="s">
        <v>7</v>
      </c>
      <c r="C15" s="13"/>
      <c r="D15" s="32">
        <f>SUM(D9+D12+D6)</f>
        <v>166.9</v>
      </c>
      <c r="E15" s="13">
        <f t="shared" ref="E15:M15" si="19">SUM(E9+E12+E6)</f>
        <v>205.3</v>
      </c>
      <c r="F15" s="13">
        <f t="shared" si="19"/>
        <v>243.6</v>
      </c>
      <c r="G15" s="13">
        <f t="shared" si="19"/>
        <v>268.60000000000002</v>
      </c>
      <c r="H15" s="13">
        <f t="shared" si="19"/>
        <v>302.5</v>
      </c>
      <c r="I15" s="31">
        <f t="shared" si="19"/>
        <v>339.13200000000001</v>
      </c>
      <c r="J15" s="32">
        <f t="shared" si="19"/>
        <v>371.70748500000002</v>
      </c>
      <c r="K15" s="32">
        <f t="shared" si="19"/>
        <v>401.70948028500004</v>
      </c>
      <c r="L15" s="32">
        <f t="shared" si="19"/>
        <v>428.32071439207505</v>
      </c>
      <c r="M15" s="33">
        <f t="shared" si="19"/>
        <v>449.43710181704108</v>
      </c>
      <c r="Q15"/>
      <c r="R15" s="70"/>
      <c r="S15" s="70"/>
      <c r="T15" s="70"/>
      <c r="U15" s="70"/>
      <c r="V15" s="70"/>
    </row>
    <row r="16" spans="2:22" ht="15" customHeight="1">
      <c r="B16" s="4" t="s">
        <v>172</v>
      </c>
      <c r="C16" s="5"/>
      <c r="D16" s="5"/>
      <c r="E16" s="67">
        <f>E15/D15 - 1</f>
        <v>0.2300778909526664</v>
      </c>
      <c r="F16" s="67">
        <f t="shared" ref="F16:G16" si="20">F15/E15 - 1</f>
        <v>0.18655625913297613</v>
      </c>
      <c r="G16" s="67">
        <f t="shared" si="20"/>
        <v>0.10262725779967163</v>
      </c>
      <c r="H16" s="67">
        <f>H15/G15 - 1</f>
        <v>0.12620997766195075</v>
      </c>
      <c r="I16" s="68">
        <f t="shared" ref="I16:M16" si="21">I15/H15 - 1</f>
        <v>0.12109752066115709</v>
      </c>
      <c r="J16" s="67">
        <f t="shared" si="21"/>
        <v>9.6055473974735461E-2</v>
      </c>
      <c r="K16" s="67">
        <f t="shared" si="21"/>
        <v>8.071399284574543E-2</v>
      </c>
      <c r="L16" s="67">
        <f t="shared" si="21"/>
        <v>6.6244974074784579E-2</v>
      </c>
      <c r="M16" s="69">
        <f t="shared" si="21"/>
        <v>4.9300411386680176E-2</v>
      </c>
      <c r="Q16"/>
      <c r="R16" s="70"/>
      <c r="S16" s="70"/>
      <c r="T16" s="70"/>
      <c r="U16" s="70"/>
      <c r="V16" s="70"/>
    </row>
    <row r="17" spans="17:22" ht="15" customHeight="1">
      <c r="Q17"/>
    </row>
    <row r="18" spans="17:22" ht="15" customHeight="1">
      <c r="R18" s="9"/>
      <c r="S18" s="9"/>
      <c r="T18" s="9"/>
      <c r="U18" s="9"/>
      <c r="V18" s="9"/>
    </row>
    <row r="19" spans="17:22" ht="15" customHeight="1">
      <c r="R19" s="10"/>
      <c r="S19" s="10"/>
      <c r="T19" s="10"/>
      <c r="U19" s="10"/>
      <c r="V19" s="10"/>
    </row>
  </sheetData>
  <mergeCells count="2">
    <mergeCell ref="D2:H2"/>
    <mergeCell ref="I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F611-4473-264B-92C9-4BE3EE23735D}">
  <dimension ref="B1:N28"/>
  <sheetViews>
    <sheetView showGridLines="0" zoomScale="125" workbookViewId="0">
      <selection activeCell="K25" sqref="K25"/>
    </sheetView>
  </sheetViews>
  <sheetFormatPr baseColWidth="10" defaultColWidth="9.1640625" defaultRowHeight="13"/>
  <cols>
    <col min="1" max="1" width="2.5" style="38" customWidth="1"/>
    <col min="2" max="3" width="4.5" style="38" customWidth="1"/>
    <col min="4" max="4" width="20.83203125" style="38" customWidth="1"/>
    <col min="5" max="5" width="14.5" style="38" customWidth="1"/>
    <col min="6" max="6" width="3.6640625" style="38" customWidth="1"/>
    <col min="7" max="7" width="13" style="38" customWidth="1"/>
    <col min="8" max="8" width="14" style="38" customWidth="1"/>
    <col min="9" max="11" width="13" style="38" customWidth="1"/>
    <col min="12" max="12" width="1.6640625" style="38" customWidth="1"/>
    <col min="13" max="13" width="26.5" style="38" bestFit="1" customWidth="1"/>
    <col min="14" max="14" width="11" style="38" bestFit="1" customWidth="1"/>
    <col min="15" max="16384" width="9.1640625" style="38"/>
  </cols>
  <sheetData>
    <row r="1" spans="2:14">
      <c r="B1" s="2" t="s">
        <v>186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>
      <c r="B2" s="39"/>
      <c r="C2" s="12"/>
      <c r="D2" s="12"/>
      <c r="E2" s="12"/>
      <c r="G2" s="38" t="s">
        <v>193</v>
      </c>
    </row>
    <row r="3" spans="2:14">
      <c r="B3" s="12"/>
      <c r="C3" s="12"/>
      <c r="D3" s="12"/>
      <c r="E3" s="12"/>
    </row>
    <row r="4" spans="2:14">
      <c r="G4" s="40">
        <v>2026</v>
      </c>
      <c r="H4" s="40">
        <v>2027</v>
      </c>
      <c r="I4" s="40">
        <v>2028</v>
      </c>
      <c r="J4" s="40">
        <v>2029</v>
      </c>
      <c r="K4" s="40">
        <v>2030</v>
      </c>
      <c r="M4" s="140" t="s">
        <v>150</v>
      </c>
      <c r="N4" s="141"/>
    </row>
    <row r="5" spans="2:14">
      <c r="B5" s="38" t="s">
        <v>151</v>
      </c>
      <c r="G5" s="41">
        <v>0.21</v>
      </c>
      <c r="H5" s="42">
        <f>G5</f>
        <v>0.21</v>
      </c>
      <c r="I5" s="42">
        <f t="shared" ref="I5:K5" si="0">H5</f>
        <v>0.21</v>
      </c>
      <c r="J5" s="42">
        <f t="shared" si="0"/>
        <v>0.21</v>
      </c>
      <c r="K5" s="42">
        <f t="shared" si="0"/>
        <v>0.21</v>
      </c>
      <c r="M5" s="43" t="s">
        <v>192</v>
      </c>
      <c r="N5" s="59">
        <f>K19</f>
        <v>67.627119601809881</v>
      </c>
    </row>
    <row r="6" spans="2:14">
      <c r="B6" s="38" t="s">
        <v>152</v>
      </c>
      <c r="G6" s="44">
        <v>0.1</v>
      </c>
      <c r="H6" s="45">
        <f>G6</f>
        <v>0.1</v>
      </c>
      <c r="I6" s="45">
        <f>G6</f>
        <v>0.1</v>
      </c>
      <c r="J6" s="45">
        <f>G6</f>
        <v>0.1</v>
      </c>
      <c r="K6" s="46">
        <f>G6</f>
        <v>0.1</v>
      </c>
      <c r="M6" s="47" t="s">
        <v>153</v>
      </c>
      <c r="N6" s="133">
        <v>0.03</v>
      </c>
    </row>
    <row r="7" spans="2:14">
      <c r="M7" s="47" t="s">
        <v>152</v>
      </c>
      <c r="N7" s="48">
        <f>K6</f>
        <v>0.1</v>
      </c>
    </row>
    <row r="8" spans="2:14">
      <c r="B8" s="12"/>
      <c r="C8" s="12"/>
      <c r="D8" s="12"/>
      <c r="E8" s="12"/>
      <c r="G8" s="142" t="s">
        <v>154</v>
      </c>
      <c r="H8" s="143"/>
      <c r="I8" s="143"/>
      <c r="J8" s="143"/>
      <c r="K8" s="144"/>
      <c r="M8" s="49" t="s">
        <v>191</v>
      </c>
      <c r="N8" s="60">
        <f>N5*(1+N6)/(N7-N6)</f>
        <v>995.08475985520261</v>
      </c>
    </row>
    <row r="9" spans="2:14">
      <c r="B9" s="12"/>
      <c r="C9" s="12"/>
      <c r="D9" s="12"/>
      <c r="E9" s="12"/>
      <c r="G9" s="145"/>
      <c r="H9" s="146"/>
      <c r="I9" s="146"/>
      <c r="J9" s="146"/>
      <c r="K9" s="147"/>
      <c r="M9" s="47" t="s">
        <v>155</v>
      </c>
      <c r="N9" s="50">
        <f>K21+0.5</f>
        <v>5</v>
      </c>
    </row>
    <row r="10" spans="2:14">
      <c r="B10" s="12"/>
      <c r="C10" s="12"/>
      <c r="D10" s="12"/>
      <c r="E10" s="12"/>
      <c r="G10" s="40">
        <v>2026</v>
      </c>
      <c r="H10" s="40">
        <v>2027</v>
      </c>
      <c r="I10" s="40">
        <v>2028</v>
      </c>
      <c r="J10" s="40">
        <v>2029</v>
      </c>
      <c r="K10" s="40">
        <v>2030</v>
      </c>
      <c r="M10" s="47" t="s">
        <v>156</v>
      </c>
      <c r="N10" s="51">
        <f>1/(1+K6)^N9</f>
        <v>0.62092132305915493</v>
      </c>
    </row>
    <row r="11" spans="2:14">
      <c r="B11" s="12"/>
      <c r="C11" s="12"/>
      <c r="D11" s="12"/>
      <c r="E11" s="12"/>
      <c r="M11" s="49" t="s">
        <v>157</v>
      </c>
      <c r="N11" s="60">
        <f>N8*N10</f>
        <v>617.86934564529383</v>
      </c>
    </row>
    <row r="12" spans="2:14">
      <c r="B12" s="12" t="s">
        <v>17</v>
      </c>
      <c r="C12" s="12"/>
      <c r="D12" s="12"/>
      <c r="E12" s="12"/>
      <c r="G12" s="57">
        <f>'Cantaloupe Raw'!H19</f>
        <v>58.932000000000016</v>
      </c>
      <c r="H12" s="57">
        <f>'Cantaloupe Raw'!I19</f>
        <v>33.453673650000042</v>
      </c>
      <c r="I12" s="57">
        <f>'Cantaloupe Raw'!J19</f>
        <v>40.170948028499993</v>
      </c>
      <c r="J12" s="57">
        <f>'Cantaloupe Raw'!K19</f>
        <v>47.115278583128259</v>
      </c>
      <c r="K12" s="57">
        <f>'Cantaloupe Raw'!L19</f>
        <v>53.483015116227932</v>
      </c>
      <c r="M12" s="52" t="s">
        <v>158</v>
      </c>
      <c r="N12" s="61">
        <f>N11+SUM(G23:K23)</f>
        <v>850.59001941131919</v>
      </c>
    </row>
    <row r="13" spans="2:14">
      <c r="G13" s="57"/>
      <c r="H13" s="57"/>
      <c r="I13" s="57"/>
      <c r="J13" s="57"/>
      <c r="K13" s="57"/>
    </row>
    <row r="14" spans="2:14">
      <c r="B14" s="38" t="s">
        <v>159</v>
      </c>
      <c r="G14" s="57">
        <f>G12*G5</f>
        <v>12.375720000000003</v>
      </c>
      <c r="H14" s="57">
        <f t="shared" ref="H14:K14" si="1">H12*H5</f>
        <v>7.0252714665000084</v>
      </c>
      <c r="I14" s="57">
        <f t="shared" si="1"/>
        <v>8.4358990859849978</v>
      </c>
      <c r="J14" s="57">
        <f t="shared" si="1"/>
        <v>9.8942085024569337</v>
      </c>
      <c r="K14" s="57">
        <f t="shared" si="1"/>
        <v>11.231433174407865</v>
      </c>
    </row>
    <row r="15" spans="2:14">
      <c r="B15" s="38" t="s">
        <v>160</v>
      </c>
      <c r="G15" s="57">
        <f>'Cantaloupe Raw'!H7*'Cantaloupe Raw'!H37</f>
        <v>18.652260000000002</v>
      </c>
      <c r="H15" s="57">
        <f>'Cantaloupe Raw'!I7*'Cantaloupe Raw'!I37</f>
        <v>19.700496704999999</v>
      </c>
      <c r="I15" s="57">
        <f>'Cantaloupe Raw'!J7*'Cantaloupe Raw'!J37</f>
        <v>20.487183494535</v>
      </c>
      <c r="J15" s="57">
        <f>'Cantaloupe Raw'!K7*'Cantaloupe Raw'!K37</f>
        <v>20.98771500521168</v>
      </c>
      <c r="K15" s="57">
        <f>'Cantaloupe Raw'!L7*'Cantaloupe Raw'!L37</f>
        <v>21.572980887217973</v>
      </c>
      <c r="M15" s="140" t="s">
        <v>194</v>
      </c>
      <c r="N15" s="141"/>
    </row>
    <row r="16" spans="2:14">
      <c r="G16" s="57"/>
      <c r="H16" s="57"/>
      <c r="I16" s="57"/>
      <c r="J16" s="57"/>
      <c r="K16" s="57"/>
      <c r="M16" s="43" t="s">
        <v>195</v>
      </c>
      <c r="N16" s="59">
        <f>N12</f>
        <v>850.59001941131919</v>
      </c>
    </row>
    <row r="17" spans="2:14">
      <c r="B17" s="38" t="s">
        <v>189</v>
      </c>
      <c r="G17" s="57">
        <f>'Cantaloupe Raw'!H14</f>
        <v>18.313127999999999</v>
      </c>
      <c r="H17" s="57">
        <f>'Cantaloupe Raw'!I14</f>
        <v>19.700496704999999</v>
      </c>
      <c r="I17" s="57">
        <f>'Cantaloupe Raw'!J14</f>
        <v>20.888892974820003</v>
      </c>
      <c r="J17" s="57">
        <f>'Cantaloupe Raw'!K14</f>
        <v>21.844356433995827</v>
      </c>
      <c r="K17" s="57">
        <f>'Cantaloupe Raw'!L14</f>
        <v>22.471855090852056</v>
      </c>
      <c r="M17" s="47" t="s">
        <v>196</v>
      </c>
      <c r="N17" s="50">
        <f>'Cantaloupe Raw'!G69</f>
        <v>51.146000000000001</v>
      </c>
    </row>
    <row r="18" spans="2:14">
      <c r="B18" s="53" t="s">
        <v>161</v>
      </c>
      <c r="C18" s="53"/>
      <c r="D18" s="53"/>
      <c r="E18" s="53"/>
      <c r="F18" s="53"/>
      <c r="G18" s="58">
        <f>'Cantaloupe Raw'!H38*'Cantaloupe Raw'!H7</f>
        <v>-18.469369346058055</v>
      </c>
      <c r="H18" s="58">
        <f>'Cantaloupe Raw'!I38*'Cantaloupe Raw'!I7</f>
        <v>-20.243453372608112</v>
      </c>
      <c r="I18" s="58">
        <f>'Cantaloupe Raw'!J38*'Cantaloupe Raw'!J7</f>
        <v>-21.877383323297984</v>
      </c>
      <c r="J18" s="58">
        <f>'Cantaloupe Raw'!K38*'Cantaloupe Raw'!K7</f>
        <v>-23.326650014373982</v>
      </c>
      <c r="K18" s="58">
        <f>'Cantaloupe Raw'!L38*'Cantaloupe Raw'!L7</f>
        <v>-24.47666345635573</v>
      </c>
      <c r="M18" s="47" t="s">
        <v>197</v>
      </c>
      <c r="N18" s="131">
        <f>'Cantaloupe Raw'!G93</f>
        <v>36.700000000000003</v>
      </c>
    </row>
    <row r="19" spans="2:14">
      <c r="B19" s="54" t="s">
        <v>149</v>
      </c>
      <c r="G19" s="130">
        <f>G12-G14-G15+G17-G18</f>
        <v>64.686517346058068</v>
      </c>
      <c r="H19" s="130">
        <f t="shared" ref="H19:K19" si="2">H12-H14-H15+H17-H18</f>
        <v>46.671855556108142</v>
      </c>
      <c r="I19" s="130">
        <f t="shared" si="2"/>
        <v>54.014141746097984</v>
      </c>
      <c r="J19" s="130">
        <f t="shared" si="2"/>
        <v>61.404361523829451</v>
      </c>
      <c r="K19" s="130">
        <f t="shared" si="2"/>
        <v>67.627119601809881</v>
      </c>
      <c r="M19" s="47" t="s">
        <v>198</v>
      </c>
      <c r="N19" s="131">
        <v>23.3</v>
      </c>
    </row>
    <row r="20" spans="2:14">
      <c r="M20" s="49" t="s">
        <v>199</v>
      </c>
      <c r="N20" s="132">
        <f>N16-SUM(N18:N19)+N17</f>
        <v>841.73601941131915</v>
      </c>
    </row>
    <row r="21" spans="2:14">
      <c r="B21" s="38" t="s">
        <v>162</v>
      </c>
      <c r="G21" s="38">
        <v>0.5</v>
      </c>
      <c r="H21" s="38">
        <f>G21+1</f>
        <v>1.5</v>
      </c>
      <c r="I21" s="38">
        <f t="shared" ref="I21:K21" si="3">H21+1</f>
        <v>2.5</v>
      </c>
      <c r="J21" s="38">
        <f t="shared" si="3"/>
        <v>3.5</v>
      </c>
      <c r="K21" s="38">
        <f t="shared" si="3"/>
        <v>4.5</v>
      </c>
      <c r="M21" s="47" t="s">
        <v>200</v>
      </c>
      <c r="N21" s="131">
        <f>'Cantaloupe Raw'!G60</f>
        <v>75</v>
      </c>
    </row>
    <row r="22" spans="2:14">
      <c r="B22" s="53" t="s">
        <v>156</v>
      </c>
      <c r="C22" s="53"/>
      <c r="D22" s="53"/>
      <c r="E22" s="53"/>
      <c r="F22" s="53"/>
      <c r="G22" s="55">
        <f>1/(1+G6)^G21</f>
        <v>0.95346258924559224</v>
      </c>
      <c r="H22" s="55">
        <f t="shared" ref="H22:K22" si="4">1/(1+H6)^H21</f>
        <v>0.86678417204144742</v>
      </c>
      <c r="I22" s="55">
        <f t="shared" si="4"/>
        <v>0.78798561094677033</v>
      </c>
      <c r="J22" s="55">
        <f t="shared" si="4"/>
        <v>0.71635055540615489</v>
      </c>
      <c r="K22" s="55">
        <f t="shared" si="4"/>
        <v>0.65122777764195883</v>
      </c>
      <c r="M22" s="52" t="s">
        <v>164</v>
      </c>
      <c r="N22" s="61">
        <f>N20/N21</f>
        <v>11.223146925484256</v>
      </c>
    </row>
    <row r="23" spans="2:14">
      <c r="B23" s="54" t="s">
        <v>163</v>
      </c>
      <c r="G23" s="130">
        <f>G19*G22</f>
        <v>61.676174318052439</v>
      </c>
      <c r="H23" s="130">
        <f t="shared" ref="H23:K23" si="5">H19*H22</f>
        <v>40.454425675839225</v>
      </c>
      <c r="I23" s="130">
        <f t="shared" si="5"/>
        <v>42.562366483564475</v>
      </c>
      <c r="J23" s="130">
        <f t="shared" si="5"/>
        <v>43.987048481955554</v>
      </c>
      <c r="K23" s="130">
        <f t="shared" si="5"/>
        <v>44.0406588066136</v>
      </c>
    </row>
    <row r="28" spans="2:14">
      <c r="N28" s="56"/>
    </row>
  </sheetData>
  <mergeCells count="3">
    <mergeCell ref="M4:N4"/>
    <mergeCell ref="G8:K9"/>
    <mergeCell ref="M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Cantaloupe Raw</vt:lpstr>
      <vt:lpstr>Revenue Build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Hassan</cp:lastModifiedBy>
  <dcterms:created xsi:type="dcterms:W3CDTF">2026-07-12T05:53:29Z</dcterms:created>
  <dcterms:modified xsi:type="dcterms:W3CDTF">2026-07-12T21:00:41Z</dcterms:modified>
</cp:coreProperties>
</file>