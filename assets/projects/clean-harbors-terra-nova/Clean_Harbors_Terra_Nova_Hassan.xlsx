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"/>
    </mc:Choice>
  </mc:AlternateContent>
  <xr:revisionPtr revIDLastSave="0" documentId="13_ncr:1_{D45D9E80-0FEC-A948-B2E4-0422CF43F1CB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Inputs" sheetId="2" r:id="rId1"/>
    <sheet name="MnA Comps" sheetId="7" r:id="rId2"/>
    <sheet name="Valuation" sheetId="3" r:id="rId3"/>
    <sheet name="Accretion-Dilutio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 s="1"/>
  <c r="H16" i="3" s="1"/>
  <c r="E16" i="3"/>
  <c r="I16" i="3" s="1"/>
  <c r="C16" i="3"/>
  <c r="B16" i="3"/>
  <c r="A16" i="3"/>
  <c r="F5" i="4"/>
  <c r="F6" i="4"/>
  <c r="F7" i="4"/>
  <c r="F8" i="4"/>
  <c r="F4" i="4"/>
  <c r="B20" i="4"/>
  <c r="G13" i="3"/>
  <c r="F13" i="3"/>
  <c r="B17" i="3"/>
  <c r="C17" i="3"/>
  <c r="E17" i="3"/>
  <c r="A17" i="3"/>
  <c r="F14" i="3"/>
  <c r="G14" i="3" s="1"/>
  <c r="F15" i="3"/>
  <c r="H15" i="3" s="1"/>
  <c r="E14" i="3"/>
  <c r="E15" i="3"/>
  <c r="E13" i="3"/>
  <c r="C14" i="3"/>
  <c r="C15" i="3"/>
  <c r="C13" i="3"/>
  <c r="B14" i="3"/>
  <c r="B15" i="3"/>
  <c r="B13" i="3"/>
  <c r="J16" i="3" l="1"/>
  <c r="H14" i="3"/>
  <c r="J15" i="3"/>
  <c r="F17" i="3"/>
  <c r="I15" i="3"/>
  <c r="A15" i="3"/>
  <c r="A14" i="3"/>
  <c r="B10" i="2"/>
  <c r="B11" i="2"/>
  <c r="B13" i="2" s="1"/>
  <c r="B12" i="2"/>
  <c r="I17" i="3" l="1"/>
  <c r="H17" i="3"/>
  <c r="J17" i="3" s="1"/>
  <c r="B18" i="4"/>
  <c r="B16" i="4"/>
  <c r="B14" i="4"/>
  <c r="B11" i="4"/>
  <c r="B7" i="4"/>
  <c r="B6" i="4"/>
  <c r="B5" i="4"/>
  <c r="B4" i="4"/>
  <c r="B26" i="4" s="1"/>
  <c r="I14" i="3"/>
  <c r="B24" i="3" s="1"/>
  <c r="J14" i="3"/>
  <c r="I13" i="3"/>
  <c r="H13" i="3"/>
  <c r="J13" i="3" s="1"/>
  <c r="B6" i="3"/>
  <c r="B5" i="3"/>
  <c r="B4" i="3"/>
  <c r="C24" i="3" l="1"/>
  <c r="C25" i="3"/>
  <c r="C23" i="3"/>
  <c r="B25" i="3"/>
  <c r="B23" i="3"/>
  <c r="B8" i="4"/>
  <c r="B8" i="3"/>
  <c r="C26" i="3"/>
  <c r="B26" i="3"/>
  <c r="B12" i="4"/>
  <c r="B9" i="4"/>
  <c r="B10" i="4" s="1"/>
  <c r="B7" i="3"/>
  <c r="B9" i="3" s="1"/>
  <c r="B13" i="4" l="1"/>
  <c r="B15" i="4" s="1"/>
  <c r="B17" i="4" s="1"/>
  <c r="B19" i="4" s="1"/>
  <c r="B24" i="4" s="1"/>
  <c r="B25" i="4" s="1"/>
  <c r="F3" i="4" s="1"/>
  <c r="B27" i="4"/>
</calcChain>
</file>

<file path=xl/sharedStrings.xml><?xml version="1.0" encoding="utf-8"?>
<sst xmlns="http://schemas.openxmlformats.org/spreadsheetml/2006/main" count="249" uniqueCount="177">
  <si>
    <t>Inputs ($mm except per-share, percentages, multiples)</t>
  </si>
  <si>
    <t>Input</t>
  </si>
  <si>
    <t>Value</t>
  </si>
  <si>
    <t>Notes</t>
  </si>
  <si>
    <t>Source URL</t>
  </si>
  <si>
    <t>Purchase price / EV</t>
  </si>
  <si>
    <t>https://ir.cleanharbors.com/news-releases/news-release-details/clean-harbors-announces-acquisition-terra-nova-solutions</t>
  </si>
  <si>
    <t>Revenue - low</t>
  </si>
  <si>
    <t>Revenue - high</t>
  </si>
  <si>
    <t>Standalone Adjusted EBITDA</t>
  </si>
  <si>
    <t>Run-rate synergies</t>
  </si>
  <si>
    <t>Disclosed post-synergy multiple</t>
  </si>
  <si>
    <t>Disclosed post-synergy EV / EBITDA multiple.</t>
  </si>
  <si>
    <t>Revenue midpoint</t>
  </si>
  <si>
    <t>Formula: average of revenue range.</t>
  </si>
  <si>
    <t>Post-synergy EBITDA</t>
  </si>
  <si>
    <t>Formula: EBITDA + synergies.</t>
  </si>
  <si>
    <t>Implied standalone EV / EBITDA</t>
  </si>
  <si>
    <t>Formula: purchase price / standalone EBITDA.</t>
  </si>
  <si>
    <t>Implied post-synergy EV / EBITDA</t>
  </si>
  <si>
    <t>Formula: purchase price / post-synergy EBITDA.</t>
  </si>
  <si>
    <t>D&amp;A as % of EBITDA</t>
  </si>
  <si>
    <t>Assumption</t>
  </si>
  <si>
    <t>Tax rate</t>
  </si>
  <si>
    <t>Clean Harbors 2025 net income</t>
  </si>
  <si>
    <t>https://ir.cleanharbors.com/news-releases/news-release-details/clean-harbors-announces-fourth-quarter-and-full-year-2025</t>
  </si>
  <si>
    <t>Clean Harbors 2025 diluted EPS</t>
  </si>
  <si>
    <t>https://ir.cleanharbors.com/news-release-details/2026/Clean-Harbors-Announces-Fourth-Quarter-and-Full-Year-2025-Financial-Results/default.aspx</t>
  </si>
  <si>
    <t>Clean Harbors diluted shares</t>
  </si>
  <si>
    <t>Weighted-average diluted shares from 2025 10-K.</t>
  </si>
  <si>
    <t>https://ir.cleanharbors.com/static-files/6b594bf5-0d42-431a-ad55-00d59200cb4c</t>
  </si>
  <si>
    <t>Terra Nova quick math</t>
  </si>
  <si>
    <t>Standalone EBITDA</t>
  </si>
  <si>
    <t>Date</t>
  </si>
  <si>
    <t>Acquirer</t>
  </si>
  <si>
    <t>Target</t>
  </si>
  <si>
    <t>Sector</t>
  </si>
  <si>
    <t>EV ($mm)</t>
  </si>
  <si>
    <t>Standalone EBITDA ($mm)</t>
  </si>
  <si>
    <t>Synergies ($mm)</t>
  </si>
  <si>
    <t>Post-Synergy EBITDA ($mm)</t>
  </si>
  <si>
    <t>Standalone EV/EBITDA</t>
  </si>
  <si>
    <t>Post-Synergy EV/EBITDA</t>
  </si>
  <si>
    <t>Terra Nova Solutions</t>
  </si>
  <si>
    <t>HEPACO</t>
  </si>
  <si>
    <t>https://www.veolia.com/en/our-media/press-releases/hazardous-waste-us-acquisition-clean-earth</t>
  </si>
  <si>
    <t>Multiple summary</t>
  </si>
  <si>
    <t>Low</t>
  </si>
  <si>
    <t>Median</t>
  </si>
  <si>
    <t>High</t>
  </si>
  <si>
    <t>Terra Nova</t>
  </si>
  <si>
    <t>Model 2: Accretion / Dilution</t>
  </si>
  <si>
    <t>Assumption / Output</t>
  </si>
  <si>
    <t>Formula / Notes</t>
  </si>
  <si>
    <t>Linked from Inputs</t>
  </si>
  <si>
    <t>Purchase price x financing cost</t>
  </si>
  <si>
    <t>Clean Harbors standalone net income</t>
  </si>
  <si>
    <t>Diluted shares</t>
  </si>
  <si>
    <t>Target EBITDA + synergies</t>
  </si>
  <si>
    <t>Standalone EBITDA + synergies</t>
  </si>
  <si>
    <t>Target EBIT after D&amp;A</t>
  </si>
  <si>
    <t>EBITDA + synergies - D&amp;A</t>
  </si>
  <si>
    <t>Pre-tax earnings contribution</t>
  </si>
  <si>
    <t>After-tax earnings contribution</t>
  </si>
  <si>
    <t>Pre-tax x (1-tax rate)</t>
  </si>
  <si>
    <t>Pro forma net income</t>
  </si>
  <si>
    <t>Standalone NI + after-tax contribution</t>
  </si>
  <si>
    <t>Pro forma EPS</t>
  </si>
  <si>
    <t>Pro forma NI / diluted shares</t>
  </si>
  <si>
    <t>Key output</t>
  </si>
  <si>
    <t>Meaning</t>
  </si>
  <si>
    <t>EPS accretion / dilution ($)</t>
  </si>
  <si>
    <t>Pro forma EPS - standalone EPS</t>
  </si>
  <si>
    <t>EPS accretion / dilution (%)</t>
  </si>
  <si>
    <t>Standalone deal multiple</t>
  </si>
  <si>
    <t>Purchase price / standalone EBITDA</t>
  </si>
  <si>
    <t>Post-synergy deal multiple</t>
  </si>
  <si>
    <t>Purchase price / EBITDA incl. synergies</t>
  </si>
  <si>
    <t>expected synergies via press release</t>
  </si>
  <si>
    <t>assumption</t>
  </si>
  <si>
    <t>Assumption - waste companies tend to lean high</t>
  </si>
  <si>
    <t>All cash</t>
  </si>
  <si>
    <t>Disclosed</t>
  </si>
  <si>
    <t>Approximate EBITDA disclosed</t>
  </si>
  <si>
    <t>FY2025 net income</t>
  </si>
  <si>
    <t>FY2025 diluted EPS</t>
  </si>
  <si>
    <t>Source / Comment</t>
  </si>
  <si>
    <t>Lost cash interest/debt financing or revolver</t>
  </si>
  <si>
    <t>MnA Comps Tab</t>
  </si>
  <si>
    <t>Downloaded on:</t>
  </si>
  <si>
    <t>Created for:</t>
  </si>
  <si>
    <t>Evan Hassan, University of Utah Marriott Library- Students</t>
  </si>
  <si>
    <t>Search Criteria:</t>
  </si>
  <si>
    <t xml:space="preserve">Valuation / Revenue: Min: 0.00; Valuation / EBITDA: Min: 0.00; Max: 40.00; Deal Date: From: 01-Jan-2021; To: 21-Aug-2026; Deal Size: Min: 100M; Max: 400M; Deal Option: Search on a full transaction; Deal Status: Completed; Deal Type: M&amp;A/Control Transactions &gt; M&amp;A; Location: Americas; </t>
  </si>
  <si>
    <t>Transaction</t>
  </si>
  <si>
    <t>Role</t>
  </si>
  <si>
    <t>Deal Size</t>
  </si>
  <si>
    <t>Post Valuation</t>
  </si>
  <si>
    <t>Post Valuation Status</t>
  </si>
  <si>
    <t>Investors</t>
  </si>
  <si>
    <t>Sellers</t>
  </si>
  <si>
    <t>Implied EV</t>
  </si>
  <si>
    <t>Revenue</t>
  </si>
  <si>
    <t>EBITDA</t>
  </si>
  <si>
    <t>EBIT</t>
  </si>
  <si>
    <t>Fiscal Year</t>
  </si>
  <si>
    <t>Deal Size/EBITDA</t>
  </si>
  <si>
    <t>Deal Size/Revenue</t>
  </si>
  <si>
    <t>Implied EV/EBITDA</t>
  </si>
  <si>
    <t>Implied EV/Revenue</t>
  </si>
  <si>
    <t>EBITDA Margin %</t>
  </si>
  <si>
    <t>Current Employees</t>
  </si>
  <si>
    <t>Deal Date</t>
  </si>
  <si>
    <t>Clean Harbors / Terra Nova Solutions</t>
  </si>
  <si>
    <t>subject transaction</t>
  </si>
  <si>
    <t>Estimated</t>
  </si>
  <si>
    <t>Clean Harbors (NYS: CLH)(Michael Battles)</t>
  </si>
  <si>
    <t>Crescentia Capital</t>
  </si>
  <si>
    <t/>
  </si>
  <si>
    <t>Ambipar / Disal Chile</t>
  </si>
  <si>
    <t>selected precedent comp</t>
  </si>
  <si>
    <t>Ambipar Participacoes e Empreendimentos (BVMF: AMBP3)(Fábio Castro)</t>
  </si>
  <si>
    <t>Australis Partners</t>
  </si>
  <si>
    <t>Disal Chile</t>
  </si>
  <si>
    <t>Clean Harbors / HEPACO</t>
  </si>
  <si>
    <t>Clean Harbors (NYS: CLH)(Eric Gerstenberg)</t>
  </si>
  <si>
    <t>Gryphon Investors</t>
  </si>
  <si>
    <t>Kemira/ Water Engineering</t>
  </si>
  <si>
    <t>Kemira (HEL: KEMIRA)(Antti Salminen)</t>
  </si>
  <si>
    <t>Nolan Capital</t>
  </si>
  <si>
    <t>Water Engineering (Mead)</t>
  </si>
  <si>
    <t>Secure Energy Services / Tervia</t>
  </si>
  <si>
    <t>excluded</t>
  </si>
  <si>
    <t>Secure Energy Services (TSE: SES)(Rene Amirault)</t>
  </si>
  <si>
    <t>AllianceBernstein, British Columbia Investment Management, Goldman Sachs Asset Management, International Technologies (Canada), Newalta, OSS Capital Management, Solus Alternative Asset Management, Vestar Capital Partners</t>
  </si>
  <si>
    <t>Tervita</t>
  </si>
  <si>
    <t>D.R Horton / Vidler Water Company</t>
  </si>
  <si>
    <t>D.R. Horton (NYS: DHI)(Jessica Hansen)</t>
  </si>
  <si>
    <t>BlackRock Fund Advisors, Dimensional Fund Advisors, Physicians Insurance Company of Ohio</t>
  </si>
  <si>
    <t>Vidler Water Company</t>
  </si>
  <si>
    <t>Korea Zinc / Igloo</t>
  </si>
  <si>
    <t>Korea Zinc (KRX: 010130)</t>
  </si>
  <si>
    <t>Tarsadia Capital</t>
  </si>
  <si>
    <t>Igneo</t>
  </si>
  <si>
    <t>© PitchBook Data, Inc.  2026</t>
  </si>
  <si>
    <t>Model 1: Precedent Transaction and Implied Valuation</t>
  </si>
  <si>
    <t>Environmental Services</t>
  </si>
  <si>
    <t>Comment</t>
  </si>
  <si>
    <t>selected precedent cmp</t>
  </si>
  <si>
    <t>https://s28.q4cdn.com/276182264/files/doc_downloads/res_library/SECURE-IR-Presentation-July-27-2021-Final.pdf</t>
  </si>
  <si>
    <t>synergies: cost savings of "at least $75M"</t>
  </si>
  <si>
    <t>https://ambipar.com/latam/noticias/ambipar-anuncia-la-adquisicion-del-100-de-la-empresa-de-gestion-ambiental-disal/</t>
  </si>
  <si>
    <t>EBITDA x D&amp;A %</t>
  </si>
  <si>
    <t>Target standalone EBITDA</t>
  </si>
  <si>
    <t>Target D&amp;A</t>
  </si>
  <si>
    <t>Cost of debt</t>
  </si>
  <si>
    <t>Standalone EPS</t>
  </si>
  <si>
    <t xml:space="preserve">Standalone EPS </t>
  </si>
  <si>
    <t>Accretion / standalone EPS</t>
  </si>
  <si>
    <t>EPS Accretion / Dilution Sensitivity</t>
  </si>
  <si>
    <t>Target EBIT - Incremental interest expense</t>
  </si>
  <si>
    <t>assumption - from past 10-k</t>
  </si>
  <si>
    <t>synergy states in press release</t>
  </si>
  <si>
    <t>Vivakor (NAS: VIVK)(James Ballengee)</t>
  </si>
  <si>
    <t>Gas Field Services</t>
  </si>
  <si>
    <t>Equipment Transport</t>
  </si>
  <si>
    <t>Hawkins (NAS: HWKN)(Patrick Hawkins)</t>
  </si>
  <si>
    <t>The Water Council</t>
  </si>
  <si>
    <t>WaterSurplus</t>
  </si>
  <si>
    <t>Vivakor / Equipment Transport</t>
  </si>
  <si>
    <t>Hawkins / Water Surplus</t>
  </si>
  <si>
    <t>Acquired Company</t>
  </si>
  <si>
    <t>https://www.sec.gov/Archives/edgar/data/1450704/000182912624001850/vivakorinc_ex99-1.htm</t>
  </si>
  <si>
    <t>estimated synergy 10% ebitda</t>
  </si>
  <si>
    <t>Cash Opportunity Cost</t>
  </si>
  <si>
    <t>Foregone interest income</t>
  </si>
  <si>
    <t>Synergies(mm)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</si>
</sst>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$&quot;#,##0.00_);[Red]\(&quot;$&quot;#,##0.00\)"/>
    <numFmt numFmtId="164" formatCode="#,##0.0;[Red]\(#,##0.0\);\-"/>
    <numFmt numFmtId="165" formatCode="0.0\x;[Red]\(0.0\x\);\-"/>
    <numFmt numFmtId="166" formatCode="0.0%;[Red]\(0.0%\);\-"/>
    <numFmt numFmtId="167" formatCode="\$#,##0.0;[Red]\(\$#,##0.0\);\-"/>
    <numFmt numFmtId="169" formatCode="0.0\x"/>
    <numFmt numFmtId="170" formatCode="&quot;$&quot;#,##0.0_);[Red]\(&quot;$&quot;#,##0.0\)"/>
    <numFmt numFmtId="172" formatCode="dd\-mmm\-yyyy"/>
    <numFmt numFmtId="173" formatCode="#,##0.00;[Red]\(#,##0.00\)"/>
    <numFmt numFmtId="174" formatCode="#,###"/>
    <numFmt numFmtId="175" formatCode="#,##0.00;[Red]\-#,##0.00"/>
    <numFmt numFmtId="176" formatCode="0000"/>
    <numFmt numFmtId="177" formatCode="#,##0.00&quot;%&quot;;[Red]\-#,##0.00&quot;%&quot;"/>
    <numFmt numFmtId="178" formatCode="#,##0;[Red]\(#,##0\)"/>
    <numFmt numFmtId="181" formatCode="&quot;$&quot;0.0&quot;E&quot;"/>
    <numFmt numFmtId="182" formatCode="0.0&quot;xE&quot;"/>
    <numFmt numFmtId="183" formatCode="0.0"/>
    <numFmt numFmtId="185" formatCode="&quot;$&quot;0.0"/>
    <numFmt numFmtId="186" formatCode="&quot;$&quot;#,##0.0"/>
    <numFmt numFmtId="187" formatCode="#,##0.00;[Red]\(#,##0.00\);\-"/>
    <numFmt numFmtId="188" formatCode="0.00%;[Red]\(0.00%\);\-"/>
    <numFmt numFmtId="189" formatCode="&quot;$&quot;0.00"/>
    <numFmt numFmtId="191" formatCode="0.0%"/>
    <numFmt numFmtId="196" formatCode="0.0&quot;M&quot;"/>
  </numFmts>
  <fonts count="26">
    <font>
      <sz val="11"/>
      <name val="Carlito"/>
    </font>
    <font>
      <sz val="10"/>
      <name val="Aptos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b/>
      <sz val="16"/>
      <color rgb="FF000000"/>
      <name val="Open Sans"/>
      <family val="2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b/>
      <sz val="8"/>
      <color rgb="FFFFFFFF"/>
      <name val="Open Sans"/>
      <family val="2"/>
    </font>
    <font>
      <sz val="11"/>
      <color theme="1"/>
      <name val="Calibri"/>
      <family val="2"/>
      <scheme val="minor"/>
    </font>
    <font>
      <sz val="11"/>
      <color theme="9" tint="-0.24994659260841701"/>
      <name val="Arial"/>
      <family val="2"/>
    </font>
    <font>
      <sz val="11"/>
      <color theme="1"/>
      <name val="Arial"/>
      <family val="2"/>
    </font>
    <font>
      <u/>
      <sz val="11"/>
      <color theme="10"/>
      <name val="Carlito"/>
    </font>
    <font>
      <sz val="11"/>
      <color rgb="FF0000FF"/>
      <name val="Carlito"/>
    </font>
    <font>
      <sz val="11"/>
      <color rgb="FF00800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Open Sans"/>
      <family val="2"/>
    </font>
    <font>
      <sz val="8"/>
      <color rgb="FF26649E"/>
      <name val="Open Sans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E7E6E6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rgb="FF051C38"/>
        <bgColor rgb="FF051C38"/>
      </patternFill>
    </fill>
    <fill>
      <patternFill patternType="solid">
        <fgColor rgb="FFF8F5EF"/>
      </patternFill>
    </fill>
    <fill>
      <patternFill patternType="solid">
        <fgColor rgb="FFFFFFDC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rgb="FFD3D3D3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indexed="64"/>
      </right>
      <top style="thin">
        <color theme="2"/>
      </top>
      <bottom style="medium">
        <color indexed="64"/>
      </bottom>
      <diagonal/>
    </border>
    <border>
      <left/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medium">
        <color indexed="64"/>
      </bottom>
      <diagonal/>
    </border>
    <border>
      <left/>
      <right/>
      <top style="thin">
        <color theme="2"/>
      </top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2"/>
      </bottom>
      <diagonal/>
    </border>
    <border>
      <left/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/>
      <diagonal/>
    </border>
    <border>
      <left/>
      <right style="medium">
        <color indexed="64"/>
      </right>
      <top style="thin">
        <color theme="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2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2"/>
      </bottom>
      <diagonal/>
    </border>
    <border>
      <left/>
      <right/>
      <top style="medium">
        <color theme="1"/>
      </top>
      <bottom style="thin">
        <color theme="2"/>
      </bottom>
      <diagonal/>
    </border>
    <border>
      <left/>
      <right style="medium">
        <color theme="1"/>
      </right>
      <top/>
      <bottom style="thin">
        <color theme="2"/>
      </bottom>
      <diagonal/>
    </border>
    <border>
      <left style="thin">
        <color theme="1"/>
      </left>
      <right/>
      <top style="thin">
        <color theme="2"/>
      </top>
      <bottom style="thin">
        <color theme="2"/>
      </bottom>
      <diagonal/>
    </border>
    <border>
      <left/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/>
      <top style="thin">
        <color theme="2"/>
      </top>
      <bottom style="medium">
        <color theme="1"/>
      </bottom>
      <diagonal/>
    </border>
    <border>
      <left/>
      <right style="medium">
        <color theme="1"/>
      </right>
      <top style="thin">
        <color theme="2"/>
      </top>
      <bottom style="medium">
        <color theme="1"/>
      </bottom>
      <diagonal/>
    </border>
  </borders>
  <cellStyleXfs count="22">
    <xf numFmtId="0" fontId="0" fillId="0" borderId="1"/>
    <xf numFmtId="0" fontId="4" fillId="3" borderId="2"/>
    <xf numFmtId="167" fontId="2" fillId="0" borderId="3"/>
    <xf numFmtId="0" fontId="3" fillId="4" borderId="4" applyBorder="0"/>
    <xf numFmtId="169" fontId="7" fillId="5" borderId="5" applyNumberFormat="0">
      <alignment horizontal="center" wrapText="1"/>
    </xf>
    <xf numFmtId="0" fontId="3" fillId="6" borderId="1">
      <alignment horizontal="left"/>
    </xf>
    <xf numFmtId="167" fontId="2" fillId="0" borderId="3" applyNumberFormat="0"/>
    <xf numFmtId="0" fontId="8" fillId="0" borderId="1">
      <alignment horizontal="left" vertical="center"/>
    </xf>
    <xf numFmtId="0" fontId="9" fillId="0" borderId="1">
      <alignment horizontal="right" vertical="center"/>
    </xf>
    <xf numFmtId="0" fontId="10" fillId="0" borderId="1">
      <alignment horizontal="left" vertical="center"/>
    </xf>
    <xf numFmtId="0" fontId="9" fillId="0" borderId="1">
      <alignment horizontal="right" vertical="top"/>
    </xf>
    <xf numFmtId="0" fontId="10" fillId="0" borderId="1">
      <alignment horizontal="left" vertical="top" wrapText="1"/>
    </xf>
    <xf numFmtId="0" fontId="11" fillId="0" borderId="1">
      <alignment horizontal="center" vertical="center" wrapText="1"/>
    </xf>
    <xf numFmtId="0" fontId="9" fillId="8" borderId="12">
      <alignment horizontal="left" vertical="center" indent="1"/>
    </xf>
    <xf numFmtId="0" fontId="9" fillId="8" borderId="12">
      <alignment horizontal="right" vertical="center" indent="1"/>
    </xf>
    <xf numFmtId="0" fontId="9" fillId="0" borderId="12">
      <alignment horizontal="left" vertical="center" indent="1"/>
    </xf>
    <xf numFmtId="0" fontId="9" fillId="0" borderId="12">
      <alignment horizontal="right" vertical="center" indent="1"/>
    </xf>
    <xf numFmtId="0" fontId="9" fillId="0" borderId="1">
      <alignment horizontal="left" vertical="center"/>
    </xf>
    <xf numFmtId="0" fontId="12" fillId="0" borderId="1"/>
    <xf numFmtId="0" fontId="15" fillId="0" borderId="1" applyNumberFormat="0" applyFill="0" applyBorder="0" applyAlignment="0" applyProtection="0"/>
    <xf numFmtId="0" fontId="21" fillId="8" borderId="12">
      <alignment horizontal="left" vertical="center" indent="1"/>
    </xf>
    <xf numFmtId="0" fontId="21" fillId="0" borderId="12">
      <alignment horizontal="left" vertical="center" indent="1"/>
    </xf>
  </cellStyleXfs>
  <cellXfs count="188">
    <xf numFmtId="0" fontId="0" fillId="0" borderId="1" xfId="0"/>
    <xf numFmtId="0" fontId="1" fillId="0" borderId="1" xfId="0" applyFont="1" applyAlignment="1">
      <alignment wrapText="1"/>
    </xf>
    <xf numFmtId="0" fontId="2" fillId="0" borderId="1" xfId="0" applyFont="1"/>
    <xf numFmtId="0" fontId="2" fillId="0" borderId="1" xfId="0" applyFont="1" applyAlignment="1">
      <alignment wrapText="1"/>
    </xf>
    <xf numFmtId="165" fontId="5" fillId="0" borderId="1" xfId="0" applyNumberFormat="1" applyFont="1" applyAlignment="1">
      <alignment wrapText="1"/>
    </xf>
    <xf numFmtId="0" fontId="7" fillId="0" borderId="1" xfId="0" applyFont="1" applyAlignment="1">
      <alignment wrapText="1"/>
    </xf>
    <xf numFmtId="167" fontId="7" fillId="0" borderId="1" xfId="0" applyNumberFormat="1" applyFont="1" applyAlignment="1">
      <alignment wrapText="1"/>
    </xf>
    <xf numFmtId="167" fontId="5" fillId="0" borderId="1" xfId="0" applyNumberFormat="1" applyFont="1" applyAlignment="1">
      <alignment wrapText="1"/>
    </xf>
    <xf numFmtId="0" fontId="3" fillId="4" borderId="6" xfId="3" applyBorder="1"/>
    <xf numFmtId="0" fontId="3" fillId="4" borderId="7" xfId="3" applyBorder="1"/>
    <xf numFmtId="0" fontId="3" fillId="4" borderId="8" xfId="3" applyBorder="1"/>
    <xf numFmtId="0" fontId="4" fillId="3" borderId="10" xfId="1" applyBorder="1"/>
    <xf numFmtId="0" fontId="4" fillId="3" borderId="9" xfId="1" applyBorder="1"/>
    <xf numFmtId="0" fontId="4" fillId="3" borderId="11" xfId="1" applyBorder="1"/>
    <xf numFmtId="0" fontId="3" fillId="7" borderId="1" xfId="12" applyFont="1" applyFill="1">
      <alignment horizontal="center" vertical="center" wrapText="1"/>
    </xf>
    <xf numFmtId="0" fontId="5" fillId="8" borderId="12" xfId="13" applyFont="1">
      <alignment horizontal="left" vertical="center" indent="1"/>
    </xf>
    <xf numFmtId="0" fontId="5" fillId="8" borderId="12" xfId="13" applyFont="1" applyAlignment="1">
      <alignment horizontal="left" vertical="center"/>
    </xf>
    <xf numFmtId="173" fontId="5" fillId="8" borderId="12" xfId="14" applyNumberFormat="1" applyFont="1">
      <alignment horizontal="right" vertical="center" indent="1"/>
    </xf>
    <xf numFmtId="174" fontId="5" fillId="8" borderId="12" xfId="13" applyNumberFormat="1" applyFont="1">
      <alignment horizontal="left" vertical="center" indent="1"/>
    </xf>
    <xf numFmtId="175" fontId="5" fillId="8" borderId="12" xfId="14" applyNumberFormat="1" applyFont="1">
      <alignment horizontal="right" vertical="center" indent="1"/>
    </xf>
    <xf numFmtId="176" fontId="5" fillId="8" borderId="12" xfId="14" applyNumberFormat="1" applyFont="1">
      <alignment horizontal="right" vertical="center" indent="1"/>
    </xf>
    <xf numFmtId="177" fontId="5" fillId="8" borderId="12" xfId="14" applyNumberFormat="1" applyFont="1">
      <alignment horizontal="right" vertical="center" indent="1"/>
    </xf>
    <xf numFmtId="178" fontId="5" fillId="8" borderId="12" xfId="14" applyNumberFormat="1" applyFont="1">
      <alignment horizontal="right" vertical="center" indent="1"/>
    </xf>
    <xf numFmtId="172" fontId="5" fillId="8" borderId="12" xfId="14" applyNumberFormat="1" applyFont="1">
      <alignment horizontal="right" vertical="center" indent="1"/>
    </xf>
    <xf numFmtId="0" fontId="5" fillId="0" borderId="12" xfId="15" applyFont="1">
      <alignment horizontal="left" vertical="center" indent="1"/>
    </xf>
    <xf numFmtId="173" fontId="5" fillId="0" borderId="12" xfId="16" applyNumberFormat="1" applyFont="1">
      <alignment horizontal="right" vertical="center" indent="1"/>
    </xf>
    <xf numFmtId="174" fontId="5" fillId="0" borderId="12" xfId="15" applyNumberFormat="1" applyFont="1">
      <alignment horizontal="left" vertical="center" indent="1"/>
    </xf>
    <xf numFmtId="175" fontId="5" fillId="0" borderId="12" xfId="16" applyNumberFormat="1" applyFont="1">
      <alignment horizontal="right" vertical="center" indent="1"/>
    </xf>
    <xf numFmtId="176" fontId="5" fillId="0" borderId="12" xfId="16" applyNumberFormat="1" applyFont="1">
      <alignment horizontal="right" vertical="center" indent="1"/>
    </xf>
    <xf numFmtId="177" fontId="5" fillId="0" borderId="12" xfId="16" applyNumberFormat="1" applyFont="1">
      <alignment horizontal="right" vertical="center" indent="1"/>
    </xf>
    <xf numFmtId="178" fontId="5" fillId="0" borderId="12" xfId="16" applyNumberFormat="1" applyFont="1">
      <alignment horizontal="right" vertical="center" indent="1"/>
    </xf>
    <xf numFmtId="172" fontId="5" fillId="0" borderId="12" xfId="16" applyNumberFormat="1" applyFont="1">
      <alignment horizontal="right" vertical="center" indent="1"/>
    </xf>
    <xf numFmtId="0" fontId="5" fillId="0" borderId="1" xfId="18" applyFont="1"/>
    <xf numFmtId="0" fontId="6" fillId="0" borderId="1" xfId="18" applyFont="1"/>
    <xf numFmtId="0" fontId="6" fillId="8" borderId="12" xfId="13" applyFont="1" applyAlignment="1">
      <alignment horizontal="left" vertical="center"/>
    </xf>
    <xf numFmtId="0" fontId="3" fillId="6" borderId="1" xfId="5">
      <alignment horizontal="left"/>
    </xf>
    <xf numFmtId="0" fontId="13" fillId="0" borderId="5" xfId="0" applyFont="1" applyBorder="1"/>
    <xf numFmtId="0" fontId="13" fillId="0" borderId="5" xfId="0" applyFont="1" applyBorder="1" applyAlignment="1">
      <alignment wrapText="1"/>
    </xf>
    <xf numFmtId="167" fontId="13" fillId="0" borderId="5" xfId="0" applyNumberFormat="1" applyFont="1" applyBorder="1" applyAlignment="1">
      <alignment wrapText="1"/>
    </xf>
    <xf numFmtId="167" fontId="5" fillId="0" borderId="5" xfId="0" applyNumberFormat="1" applyFont="1" applyBorder="1" applyAlignment="1">
      <alignment wrapText="1"/>
    </xf>
    <xf numFmtId="165" fontId="5" fillId="0" borderId="5" xfId="0" applyNumberFormat="1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3" fillId="0" borderId="3" xfId="0" applyFont="1" applyBorder="1"/>
    <xf numFmtId="0" fontId="13" fillId="0" borderId="3" xfId="0" applyFont="1" applyBorder="1" applyAlignment="1">
      <alignment wrapText="1"/>
    </xf>
    <xf numFmtId="167" fontId="5" fillId="0" borderId="3" xfId="0" applyNumberFormat="1" applyFont="1" applyBorder="1" applyAlignment="1">
      <alignment wrapText="1"/>
    </xf>
    <xf numFmtId="165" fontId="5" fillId="0" borderId="3" xfId="0" applyNumberFormat="1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3" fillId="0" borderId="21" xfId="0" applyFont="1" applyBorder="1"/>
    <xf numFmtId="0" fontId="13" fillId="0" borderId="21" xfId="0" applyFont="1" applyBorder="1" applyAlignment="1">
      <alignment wrapText="1"/>
    </xf>
    <xf numFmtId="16" fontId="13" fillId="0" borderId="23" xfId="0" applyNumberFormat="1" applyFont="1" applyBorder="1" applyAlignment="1">
      <alignment wrapText="1"/>
    </xf>
    <xf numFmtId="0" fontId="2" fillId="0" borderId="24" xfId="0" applyFont="1" applyBorder="1"/>
    <xf numFmtId="16" fontId="13" fillId="0" borderId="18" xfId="0" applyNumberFormat="1" applyFont="1" applyBorder="1" applyAlignment="1">
      <alignment wrapText="1"/>
    </xf>
    <xf numFmtId="0" fontId="2" fillId="0" borderId="15" xfId="0" applyFont="1" applyBorder="1"/>
    <xf numFmtId="16" fontId="13" fillId="0" borderId="19" xfId="0" applyNumberFormat="1" applyFont="1" applyBorder="1" applyAlignment="1">
      <alignment wrapText="1"/>
    </xf>
    <xf numFmtId="0" fontId="13" fillId="0" borderId="20" xfId="0" applyFont="1" applyBorder="1"/>
    <xf numFmtId="0" fontId="13" fillId="0" borderId="20" xfId="0" applyFont="1" applyBorder="1" applyAlignment="1">
      <alignment wrapText="1"/>
    </xf>
    <xf numFmtId="165" fontId="5" fillId="0" borderId="20" xfId="0" applyNumberFormat="1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2" fillId="0" borderId="17" xfId="0" applyFont="1" applyBorder="1" applyAlignment="1">
      <alignment wrapText="1"/>
    </xf>
    <xf numFmtId="16" fontId="13" fillId="0" borderId="25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7" xfId="0" applyFont="1" applyBorder="1"/>
    <xf numFmtId="182" fontId="5" fillId="0" borderId="3" xfId="0" applyNumberFormat="1" applyFont="1" applyBorder="1" applyAlignment="1">
      <alignment wrapText="1"/>
    </xf>
    <xf numFmtId="0" fontId="16" fillId="0" borderId="3" xfId="19" applyFont="1" applyBorder="1" applyAlignment="1">
      <alignment wrapText="1"/>
    </xf>
    <xf numFmtId="0" fontId="3" fillId="6" borderId="1" xfId="5" applyFont="1" applyAlignment="1"/>
    <xf numFmtId="0" fontId="3" fillId="0" borderId="1" xfId="5" applyFont="1" applyFill="1" applyAlignment="1"/>
    <xf numFmtId="0" fontId="3" fillId="4" borderId="13" xfId="3" applyFont="1" applyBorder="1"/>
    <xf numFmtId="0" fontId="3" fillId="4" borderId="14" xfId="3" applyFont="1" applyBorder="1"/>
    <xf numFmtId="0" fontId="4" fillId="3" borderId="2" xfId="1" applyFont="1" applyBorder="1"/>
    <xf numFmtId="167" fontId="2" fillId="0" borderId="15" xfId="6" applyNumberFormat="1" applyFont="1" applyBorder="1"/>
    <xf numFmtId="165" fontId="2" fillId="0" borderId="15" xfId="6" applyNumberFormat="1" applyFont="1" applyBorder="1"/>
    <xf numFmtId="0" fontId="4" fillId="3" borderId="16" xfId="1" applyFont="1" applyBorder="1"/>
    <xf numFmtId="165" fontId="2" fillId="0" borderId="17" xfId="6" applyNumberFormat="1" applyFont="1" applyBorder="1"/>
    <xf numFmtId="0" fontId="3" fillId="4" borderId="22" xfId="3" applyFont="1" applyBorder="1"/>
    <xf numFmtId="181" fontId="7" fillId="5" borderId="5" xfId="4" applyNumberFormat="1" applyFont="1" applyBorder="1" applyAlignment="1">
      <alignment horizontal="right" wrapText="1"/>
    </xf>
    <xf numFmtId="167" fontId="2" fillId="0" borderId="18" xfId="6" applyFont="1" applyBorder="1"/>
    <xf numFmtId="167" fontId="2" fillId="0" borderId="19" xfId="6" applyFont="1" applyBorder="1"/>
    <xf numFmtId="0" fontId="2" fillId="0" borderId="27" xfId="0" applyFont="1" applyBorder="1" applyAlignment="1">
      <alignment wrapText="1"/>
    </xf>
    <xf numFmtId="166" fontId="17" fillId="0" borderId="3" xfId="0" applyNumberFormat="1" applyFont="1" applyBorder="1" applyAlignment="1">
      <alignment wrapText="1"/>
    </xf>
    <xf numFmtId="167" fontId="14" fillId="0" borderId="3" xfId="0" applyNumberFormat="1" applyFont="1" applyBorder="1" applyAlignment="1">
      <alignment wrapText="1"/>
    </xf>
    <xf numFmtId="185" fontId="14" fillId="0" borderId="3" xfId="0" applyNumberFormat="1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4" fillId="0" borderId="18" xfId="0" applyFont="1" applyBorder="1" applyAlignment="1">
      <alignment wrapText="1"/>
    </xf>
    <xf numFmtId="185" fontId="14" fillId="0" borderId="20" xfId="0" applyNumberFormat="1" applyFont="1" applyBorder="1" applyAlignment="1">
      <alignment wrapText="1"/>
    </xf>
    <xf numFmtId="166" fontId="5" fillId="0" borderId="3" xfId="0" applyNumberFormat="1" applyFont="1" applyBorder="1" applyAlignment="1">
      <alignment wrapText="1"/>
    </xf>
    <xf numFmtId="0" fontId="2" fillId="0" borderId="19" xfId="0" applyFont="1" applyBorder="1" applyAlignment="1">
      <alignment wrapText="1"/>
    </xf>
    <xf numFmtId="4" fontId="4" fillId="0" borderId="19" xfId="0" applyNumberFormat="1" applyFont="1" applyBorder="1" applyAlignment="1">
      <alignment wrapText="1"/>
    </xf>
    <xf numFmtId="4" fontId="14" fillId="0" borderId="20" xfId="0" applyNumberFormat="1" applyFont="1" applyBorder="1" applyAlignment="1">
      <alignment wrapText="1"/>
    </xf>
    <xf numFmtId="4" fontId="2" fillId="0" borderId="17" xfId="0" applyNumberFormat="1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4" fillId="0" borderId="25" xfId="0" applyFont="1" applyBorder="1" applyAlignment="1">
      <alignment wrapText="1"/>
    </xf>
    <xf numFmtId="187" fontId="14" fillId="0" borderId="21" xfId="0" applyNumberFormat="1" applyFont="1" applyBorder="1" applyAlignment="1">
      <alignment wrapText="1"/>
    </xf>
    <xf numFmtId="188" fontId="5" fillId="0" borderId="3" xfId="0" applyNumberFormat="1" applyFont="1" applyBorder="1" applyAlignment="1">
      <alignment wrapText="1"/>
    </xf>
    <xf numFmtId="185" fontId="17" fillId="0" borderId="5" xfId="0" applyNumberFormat="1" applyFont="1" applyBorder="1" applyAlignment="1">
      <alignment wrapText="1"/>
    </xf>
    <xf numFmtId="185" fontId="17" fillId="0" borderId="3" xfId="0" applyNumberFormat="1" applyFont="1" applyBorder="1" applyAlignment="1">
      <alignment wrapText="1"/>
    </xf>
    <xf numFmtId="183" fontId="14" fillId="0" borderId="3" xfId="0" applyNumberFormat="1" applyFont="1" applyBorder="1" applyAlignment="1">
      <alignment wrapText="1"/>
    </xf>
    <xf numFmtId="169" fontId="5" fillId="0" borderId="3" xfId="0" applyNumberFormat="1" applyFont="1" applyBorder="1" applyAlignment="1">
      <alignment wrapText="1"/>
    </xf>
    <xf numFmtId="169" fontId="5" fillId="0" borderId="20" xfId="0" applyNumberFormat="1" applyFont="1" applyBorder="1" applyAlignment="1">
      <alignment wrapText="1"/>
    </xf>
    <xf numFmtId="189" fontId="5" fillId="0" borderId="5" xfId="0" applyNumberFormat="1" applyFont="1" applyBorder="1" applyAlignment="1">
      <alignment wrapText="1"/>
    </xf>
    <xf numFmtId="185" fontId="13" fillId="0" borderId="5" xfId="0" applyNumberFormat="1" applyFont="1" applyBorder="1" applyAlignment="1">
      <alignment wrapText="1"/>
    </xf>
    <xf numFmtId="185" fontId="13" fillId="0" borderId="3" xfId="0" applyNumberFormat="1" applyFont="1" applyBorder="1" applyAlignment="1">
      <alignment wrapText="1"/>
    </xf>
    <xf numFmtId="185" fontId="13" fillId="0" borderId="20" xfId="0" applyNumberFormat="1" applyFont="1" applyBorder="1" applyAlignment="1">
      <alignment wrapText="1"/>
    </xf>
    <xf numFmtId="185" fontId="7" fillId="5" borderId="20" xfId="4" applyNumberFormat="1" applyFont="1" applyBorder="1" applyAlignment="1">
      <alignment horizontal="right" wrapText="1"/>
    </xf>
    <xf numFmtId="185" fontId="5" fillId="0" borderId="20" xfId="0" applyNumberFormat="1" applyFont="1" applyBorder="1" applyAlignment="1">
      <alignment wrapText="1"/>
    </xf>
    <xf numFmtId="185" fontId="7" fillId="5" borderId="3" xfId="4" applyNumberFormat="1" applyFont="1" applyBorder="1" applyAlignment="1">
      <alignment horizontal="right" wrapText="1"/>
    </xf>
    <xf numFmtId="185" fontId="5" fillId="0" borderId="3" xfId="0" applyNumberFormat="1" applyFont="1" applyBorder="1" applyAlignment="1">
      <alignment wrapText="1"/>
    </xf>
    <xf numFmtId="166" fontId="5" fillId="0" borderId="5" xfId="0" applyNumberFormat="1" applyFont="1" applyBorder="1" applyAlignment="1">
      <alignment wrapText="1"/>
    </xf>
    <xf numFmtId="166" fontId="6" fillId="9" borderId="3" xfId="0" applyNumberFormat="1" applyFont="1" applyFill="1" applyBorder="1" applyAlignment="1">
      <alignment wrapText="1"/>
    </xf>
    <xf numFmtId="188" fontId="6" fillId="2" borderId="1" xfId="0" applyNumberFormat="1" applyFont="1" applyFill="1" applyBorder="1" applyAlignment="1">
      <alignment horizontal="center" wrapText="1"/>
    </xf>
    <xf numFmtId="166" fontId="6" fillId="2" borderId="1" xfId="0" applyNumberFormat="1" applyFont="1" applyFill="1" applyBorder="1" applyAlignment="1">
      <alignment horizontal="center" wrapText="1"/>
    </xf>
    <xf numFmtId="166" fontId="6" fillId="2" borderId="28" xfId="0" applyNumberFormat="1" applyFont="1" applyFill="1" applyBorder="1" applyAlignment="1">
      <alignment horizontal="center" wrapText="1"/>
    </xf>
    <xf numFmtId="166" fontId="5" fillId="0" borderId="24" xfId="0" applyNumberFormat="1" applyFont="1" applyBorder="1" applyAlignment="1">
      <alignment wrapText="1"/>
    </xf>
    <xf numFmtId="166" fontId="5" fillId="0" borderId="15" xfId="0" applyNumberFormat="1" applyFont="1" applyBorder="1" applyAlignment="1">
      <alignment wrapText="1"/>
    </xf>
    <xf numFmtId="166" fontId="5" fillId="0" borderId="20" xfId="0" applyNumberFormat="1" applyFont="1" applyBorder="1" applyAlignment="1">
      <alignment wrapText="1"/>
    </xf>
    <xf numFmtId="166" fontId="5" fillId="0" borderId="17" xfId="0" applyNumberFormat="1" applyFont="1" applyBorder="1" applyAlignment="1">
      <alignment wrapText="1"/>
    </xf>
    <xf numFmtId="0" fontId="19" fillId="0" borderId="1" xfId="0" applyFont="1" applyFill="1" applyBorder="1" applyAlignment="1">
      <alignment horizontal="center" wrapText="1"/>
    </xf>
    <xf numFmtId="0" fontId="19" fillId="0" borderId="28" xfId="0" applyFont="1" applyFill="1" applyBorder="1" applyAlignment="1">
      <alignment horizontal="center" wrapText="1"/>
    </xf>
    <xf numFmtId="0" fontId="18" fillId="0" borderId="1" xfId="0" applyFont="1" applyFill="1" applyBorder="1" applyAlignment="1">
      <alignment wrapText="1"/>
    </xf>
    <xf numFmtId="0" fontId="19" fillId="10" borderId="27" xfId="0" applyFont="1" applyFill="1" applyBorder="1" applyAlignment="1">
      <alignment horizontal="center" vertical="center"/>
    </xf>
    <xf numFmtId="0" fontId="3" fillId="6" borderId="13" xfId="5" applyFont="1" applyBorder="1" applyAlignment="1"/>
    <xf numFmtId="0" fontId="3" fillId="6" borderId="22" xfId="5" applyFont="1" applyBorder="1" applyAlignment="1"/>
    <xf numFmtId="0" fontId="3" fillId="4" borderId="27" xfId="3" applyFont="1" applyBorder="1"/>
    <xf numFmtId="0" fontId="3" fillId="4" borderId="1" xfId="3" applyFont="1" applyBorder="1"/>
    <xf numFmtId="0" fontId="3" fillId="4" borderId="28" xfId="3" applyFont="1" applyBorder="1"/>
    <xf numFmtId="0" fontId="20" fillId="0" borderId="1" xfId="12" applyFont="1">
      <alignment horizontal="center" vertical="center" wrapText="1"/>
    </xf>
    <xf numFmtId="0" fontId="3" fillId="4" borderId="13" xfId="3" applyFont="1" applyBorder="1" applyAlignment="1">
      <alignment horizontal="left"/>
    </xf>
    <xf numFmtId="0" fontId="3" fillId="4" borderId="22" xfId="3" applyFont="1" applyBorder="1" applyAlignment="1">
      <alignment horizontal="left"/>
    </xf>
    <xf numFmtId="0" fontId="3" fillId="4" borderId="14" xfId="3" applyFont="1" applyBorder="1" applyAlignment="1">
      <alignment horizontal="left"/>
    </xf>
    <xf numFmtId="186" fontId="18" fillId="0" borderId="5" xfId="0" applyNumberFormat="1" applyFont="1" applyBorder="1" applyAlignment="1">
      <alignment wrapText="1"/>
    </xf>
    <xf numFmtId="186" fontId="18" fillId="0" borderId="29" xfId="0" applyNumberFormat="1" applyFont="1" applyBorder="1" applyAlignment="1">
      <alignment wrapText="1"/>
    </xf>
    <xf numFmtId="170" fontId="14" fillId="10" borderId="23" xfId="0" applyNumberFormat="1" applyFont="1" applyFill="1" applyBorder="1" applyAlignment="1">
      <alignment horizontal="center" vertical="center"/>
    </xf>
    <xf numFmtId="170" fontId="14" fillId="10" borderId="18" xfId="0" applyNumberFormat="1" applyFont="1" applyFill="1" applyBorder="1" applyAlignment="1">
      <alignment horizontal="center" vertical="center"/>
    </xf>
    <xf numFmtId="170" fontId="14" fillId="10" borderId="19" xfId="0" applyNumberFormat="1" applyFont="1" applyFill="1" applyBorder="1" applyAlignment="1">
      <alignment horizontal="center" vertical="center"/>
    </xf>
    <xf numFmtId="185" fontId="7" fillId="5" borderId="30" xfId="4" applyNumberFormat="1" applyBorder="1" applyAlignment="1">
      <alignment horizontal="right" wrapText="1"/>
    </xf>
    <xf numFmtId="170" fontId="7" fillId="0" borderId="31" xfId="4" applyNumberFormat="1" applyFill="1" applyBorder="1" applyAlignment="1">
      <alignment horizontal="right" wrapText="1"/>
    </xf>
    <xf numFmtId="167" fontId="2" fillId="0" borderId="31" xfId="2" applyBorder="1"/>
    <xf numFmtId="167" fontId="2" fillId="0" borderId="32" xfId="2" applyBorder="1" applyAlignment="1">
      <alignment wrapText="1"/>
    </xf>
    <xf numFmtId="185" fontId="7" fillId="5" borderId="33" xfId="4" applyNumberFormat="1" applyBorder="1" applyAlignment="1">
      <alignment horizontal="right" wrapText="1"/>
    </xf>
    <xf numFmtId="170" fontId="7" fillId="0" borderId="3" xfId="4" applyNumberFormat="1" applyFill="1" applyBorder="1" applyAlignment="1">
      <alignment horizontal="right" wrapText="1"/>
    </xf>
    <xf numFmtId="167" fontId="2" fillId="0" borderId="3" xfId="2" applyBorder="1"/>
    <xf numFmtId="167" fontId="2" fillId="0" borderId="34" xfId="2" applyBorder="1" applyAlignment="1">
      <alignment wrapText="1"/>
    </xf>
    <xf numFmtId="169" fontId="7" fillId="5" borderId="33" xfId="4" applyNumberFormat="1" applyBorder="1" applyAlignment="1">
      <alignment horizontal="right" wrapText="1"/>
    </xf>
    <xf numFmtId="169" fontId="7" fillId="0" borderId="3" xfId="4" applyNumberFormat="1" applyFill="1" applyBorder="1" applyAlignment="1">
      <alignment horizontal="right" wrapText="1"/>
    </xf>
    <xf numFmtId="186" fontId="2" fillId="0" borderId="33" xfId="6" applyNumberFormat="1" applyBorder="1" applyAlignment="1">
      <alignment horizontal="right"/>
    </xf>
    <xf numFmtId="164" fontId="2" fillId="0" borderId="3" xfId="6" applyNumberFormat="1" applyBorder="1" applyAlignment="1">
      <alignment horizontal="right"/>
    </xf>
    <xf numFmtId="165" fontId="2" fillId="0" borderId="33" xfId="6" applyNumberFormat="1" applyBorder="1" applyAlignment="1">
      <alignment horizontal="right"/>
    </xf>
    <xf numFmtId="165" fontId="2" fillId="0" borderId="3" xfId="6" applyNumberFormat="1" applyBorder="1" applyAlignment="1">
      <alignment horizontal="right"/>
    </xf>
    <xf numFmtId="191" fontId="7" fillId="5" borderId="33" xfId="4" applyNumberFormat="1" applyBorder="1" applyAlignment="1">
      <alignment horizontal="right" wrapText="1"/>
    </xf>
    <xf numFmtId="166" fontId="7" fillId="0" borderId="3" xfId="4" applyNumberFormat="1" applyFill="1" applyBorder="1" applyAlignment="1">
      <alignment horizontal="right" wrapText="1"/>
    </xf>
    <xf numFmtId="170" fontId="7" fillId="5" borderId="33" xfId="4" applyNumberFormat="1" applyBorder="1" applyAlignment="1">
      <alignment horizontal="right" wrapText="1"/>
    </xf>
    <xf numFmtId="8" fontId="7" fillId="5" borderId="33" xfId="4" applyNumberFormat="1" applyBorder="1" applyAlignment="1">
      <alignment horizontal="right" wrapText="1"/>
    </xf>
    <xf numFmtId="8" fontId="7" fillId="0" borderId="3" xfId="4" applyNumberFormat="1" applyFill="1" applyBorder="1" applyAlignment="1">
      <alignment horizontal="right" wrapText="1"/>
    </xf>
    <xf numFmtId="196" fontId="7" fillId="5" borderId="35" xfId="4" applyNumberFormat="1" applyBorder="1" applyAlignment="1">
      <alignment horizontal="right" wrapText="1"/>
    </xf>
    <xf numFmtId="164" fontId="7" fillId="0" borderId="29" xfId="4" applyNumberFormat="1" applyFill="1" applyBorder="1" applyAlignment="1">
      <alignment horizontal="right" wrapText="1"/>
    </xf>
    <xf numFmtId="167" fontId="2" fillId="0" borderId="29" xfId="2" applyBorder="1"/>
    <xf numFmtId="167" fontId="2" fillId="0" borderId="36" xfId="2" applyBorder="1" applyAlignment="1">
      <alignment wrapText="1"/>
    </xf>
    <xf numFmtId="169" fontId="2" fillId="0" borderId="3" xfId="6" applyNumberFormat="1" applyFont="1" applyBorder="1"/>
    <xf numFmtId="169" fontId="2" fillId="0" borderId="15" xfId="6" applyNumberFormat="1" applyFont="1" applyBorder="1"/>
    <xf numFmtId="169" fontId="2" fillId="0" borderId="20" xfId="6" applyNumberFormat="1" applyFont="1" applyBorder="1"/>
    <xf numFmtId="169" fontId="2" fillId="0" borderId="17" xfId="6" applyNumberFormat="1" applyFont="1" applyBorder="1"/>
    <xf numFmtId="0" fontId="14" fillId="0" borderId="1" xfId="18" applyFont="1"/>
    <xf numFmtId="0" fontId="22" fillId="0" borderId="1" xfId="7" applyFont="1">
      <alignment horizontal="left" vertical="center"/>
    </xf>
    <xf numFmtId="0" fontId="23" fillId="0" borderId="1" xfId="8" applyFont="1">
      <alignment horizontal="right" vertical="center"/>
    </xf>
    <xf numFmtId="172" fontId="24" fillId="0" borderId="1" xfId="9" applyNumberFormat="1" applyFont="1">
      <alignment horizontal="left" vertical="center"/>
    </xf>
    <xf numFmtId="0" fontId="24" fillId="0" borderId="1" xfId="9" applyFont="1">
      <alignment horizontal="left" vertical="center"/>
    </xf>
    <xf numFmtId="0" fontId="23" fillId="0" borderId="1" xfId="10" applyFont="1">
      <alignment horizontal="right" vertical="top"/>
    </xf>
    <xf numFmtId="0" fontId="24" fillId="0" borderId="1" xfId="11" applyFont="1">
      <alignment horizontal="left" vertical="top" wrapText="1"/>
    </xf>
    <xf numFmtId="0" fontId="14" fillId="0" borderId="1" xfId="18" applyFont="1"/>
    <xf numFmtId="0" fontId="25" fillId="7" borderId="1" xfId="12" applyFont="1" applyFill="1">
      <alignment horizontal="center" vertical="center" wrapText="1"/>
    </xf>
    <xf numFmtId="0" fontId="23" fillId="8" borderId="12" xfId="13" applyFont="1">
      <alignment horizontal="left" vertical="center" indent="1"/>
    </xf>
    <xf numFmtId="0" fontId="23" fillId="8" borderId="12" xfId="14" applyFont="1">
      <alignment horizontal="right" vertical="center" indent="1"/>
    </xf>
    <xf numFmtId="172" fontId="23" fillId="8" borderId="12" xfId="14" applyNumberFormat="1" applyFont="1">
      <alignment horizontal="right" vertical="center" indent="1"/>
    </xf>
    <xf numFmtId="0" fontId="23" fillId="0" borderId="12" xfId="15" applyFont="1">
      <alignment horizontal="left" vertical="center" indent="1"/>
    </xf>
    <xf numFmtId="0" fontId="23" fillId="0" borderId="12" xfId="16" applyFont="1">
      <alignment horizontal="right" vertical="center" indent="1"/>
    </xf>
    <xf numFmtId="172" fontId="23" fillId="0" borderId="12" xfId="16" applyNumberFormat="1" applyFont="1">
      <alignment horizontal="right" vertical="center" indent="1"/>
    </xf>
    <xf numFmtId="0" fontId="14" fillId="0" borderId="1" xfId="18" applyFont="1" applyBorder="1"/>
    <xf numFmtId="0" fontId="23" fillId="0" borderId="1" xfId="17" applyFont="1">
      <alignment horizontal="left" vertical="center"/>
    </xf>
    <xf numFmtId="0" fontId="5" fillId="8" borderId="12" xfId="14" applyFont="1">
      <alignment horizontal="right" vertical="center" indent="1"/>
    </xf>
    <xf numFmtId="0" fontId="5" fillId="0" borderId="12" xfId="16" applyFont="1">
      <alignment horizontal="right" vertical="center" indent="1"/>
    </xf>
    <xf numFmtId="185" fontId="13" fillId="0" borderId="21" xfId="0" applyNumberFormat="1" applyFont="1" applyBorder="1" applyAlignment="1">
      <alignment wrapText="1"/>
    </xf>
    <xf numFmtId="167" fontId="14" fillId="0" borderId="21" xfId="0" applyNumberFormat="1" applyFont="1" applyBorder="1" applyAlignment="1">
      <alignment horizontal="right" wrapText="1"/>
    </xf>
    <xf numFmtId="165" fontId="5" fillId="0" borderId="21" xfId="0" applyNumberFormat="1" applyFont="1" applyBorder="1" applyAlignment="1">
      <alignment horizontal="right" wrapText="1"/>
    </xf>
    <xf numFmtId="0" fontId="16" fillId="0" borderId="21" xfId="19" applyFont="1" applyBorder="1" applyAlignment="1">
      <alignment wrapText="1"/>
    </xf>
    <xf numFmtId="0" fontId="13" fillId="0" borderId="29" xfId="0" applyFont="1" applyBorder="1" applyAlignment="1">
      <alignment wrapText="1"/>
    </xf>
    <xf numFmtId="169" fontId="14" fillId="0" borderId="21" xfId="0" applyNumberFormat="1" applyFont="1" applyBorder="1" applyAlignment="1">
      <alignment horizontal="right" wrapText="1"/>
    </xf>
  </cellXfs>
  <cellStyles count="22">
    <cellStyle name="assumptions" xfId="1" xr:uid="{CA28B85E-6B86-FE4E-840A-2E8FC46DD2E4}"/>
    <cellStyle name="basic inside" xfId="2" xr:uid="{D6107A59-3032-7641-84E9-D002E7959D03}"/>
    <cellStyle name="bold" xfId="9" xr:uid="{2C4C975E-4B92-654B-BA39-224E73C39E09}"/>
    <cellStyle name="defaultStyle" xfId="17" xr:uid="{B8E303EA-6D46-9C4F-83E1-8A932E65A477}"/>
    <cellStyle name="fontSize16Bold" xfId="7" xr:uid="{E90D9D00-B486-B94C-8975-94FC55FEFB85}"/>
    <cellStyle name="header" xfId="3" xr:uid="{B6FCEADD-625A-414C-8F47-1103DF5B675B}"/>
    <cellStyle name="horizontalCenterWrapWhiteBold" xfId="12" xr:uid="{D77FEF90-562E-2F46-BE2D-3209E184FD20}"/>
    <cellStyle name="horizontalRight" xfId="8" xr:uid="{CDFBFC3C-E509-8749-9A1B-0281BA2D2730}"/>
    <cellStyle name="Hyperlink" xfId="19" builtinId="8"/>
    <cellStyle name="input1" xfId="4" xr:uid="{233CF6C5-10C1-874A-BBFE-EBD89306AC02}"/>
    <cellStyle name="inside general" xfId="6" xr:uid="{1F7CCD70-37BD-C546-818A-615508A21AFC}"/>
    <cellStyle name="Normal" xfId="0" builtinId="0" customBuiltin="1"/>
    <cellStyle name="Normal 2" xfId="18" xr:uid="{734B706D-DB6D-4041-A42E-93C34C17CC4C}"/>
    <cellStyle name="tableCellStyleLeft" xfId="15" xr:uid="{59ECE7A0-599E-9C40-BCD9-DE72F6278836}"/>
    <cellStyle name="tableCellStyleLeftColored" xfId="13" xr:uid="{ACD6002D-B218-124E-9C98-F486906E2CA8}"/>
    <cellStyle name="tableCellStyleLeftHyperlink" xfId="21" xr:uid="{5419C604-99A4-8C49-A125-4026CE6CEA46}"/>
    <cellStyle name="tableCellStyleLeftHyperlinkColored" xfId="20" xr:uid="{AB076C91-C878-2C42-8AE6-3F730EB79F14}"/>
    <cellStyle name="tableCellStyleRight" xfId="16" xr:uid="{1F6DB078-7D15-6D4A-9988-0593728DB267}"/>
    <cellStyle name="tableCellStyleRightColored" xfId="14" xr:uid="{7C6CD34A-459C-2849-8CA0-168062F9B791}"/>
    <cellStyle name="title1" xfId="5" xr:uid="{78A794FF-02CC-4340-AD53-ED6494D98969}"/>
    <cellStyle name="verticalTopBoldWrapBold" xfId="11" xr:uid="{4A66C996-8325-9643-8D15-C932CBADC6B0}"/>
    <cellStyle name="verticalTopHorizontalRight" xfId="10" xr:uid="{4CB4E666-C2A1-094F-8DDC-C9F798EB5E8B}"/>
  </cellStyles>
  <dxfs count="2">
    <dxf>
      <font>
        <color rgb="FF166534"/>
      </font>
    </dxf>
    <dxf>
      <font>
        <color rgb="FFDC2626"/>
      </font>
    </dxf>
  </dxfs>
  <tableStyles count="0" defaultTableStyle="TableStyleMedium2" defaultPivotStyle="PivotStyleLight16"/>
  <colors>
    <mruColors>
      <color rgb="FF00FF00"/>
      <color rgb="FF0000FF"/>
      <color rgb="FFFFFFDC"/>
      <color rgb="FFFFFF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5725" y="85725"/>
    <xdr:ext cx="1314450" cy="219075"/>
    <xdr:pic>
      <xdr:nvPicPr>
        <xdr:cNvPr id="2" name="Graphic 1">
          <a:extLst>
            <a:ext uri="{FF2B5EF4-FFF2-40B4-BE49-F238E27FC236}">
              <a16:creationId xmlns:a16="http://schemas.microsoft.com/office/drawing/2014/main" id="{02DA9F2B-007E-FD4B-8B23-610AC366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85725" y="85725"/>
          <a:ext cx="1314450" cy="219075"/>
        </a:xfrm>
        <a:prstGeom prst="rect">
          <a:avLst/>
        </a:prstGeom>
        <a:effectLst/>
      </xdr:spPr>
    </xdr:pic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olia.com/en/our-media/press-releases/hazardous-waste-us-acquisition-clean-ea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showGridLines="0" zoomScale="125" zoomScaleNormal="200" workbookViewId="0">
      <selection activeCell="B17" sqref="B17"/>
    </sheetView>
  </sheetViews>
  <sheetFormatPr baseColWidth="10" defaultColWidth="8.83203125" defaultRowHeight="14"/>
  <cols>
    <col min="1" max="1" width="38.1640625" customWidth="1"/>
    <col min="2" max="2" width="16" customWidth="1"/>
    <col min="3" max="3" width="4.83203125" customWidth="1"/>
    <col min="4" max="4" width="48" customWidth="1"/>
    <col min="5" max="5" width="62" customWidth="1"/>
  </cols>
  <sheetData>
    <row r="1" spans="1:12" ht="15">
      <c r="A1" s="35" t="s">
        <v>0</v>
      </c>
      <c r="B1" s="35"/>
      <c r="C1" s="35"/>
      <c r="D1" s="35"/>
      <c r="E1" s="35"/>
      <c r="F1" s="1"/>
      <c r="G1" s="1"/>
      <c r="H1" s="1"/>
      <c r="I1" s="1"/>
      <c r="J1" s="1"/>
      <c r="K1" s="1"/>
      <c r="L1" s="1"/>
    </row>
    <row r="2" spans="1:12" ht="16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" thickBot="1">
      <c r="A3" s="8" t="s">
        <v>1</v>
      </c>
      <c r="B3" s="9" t="s">
        <v>2</v>
      </c>
      <c r="C3" s="9"/>
      <c r="D3" s="9" t="s">
        <v>3</v>
      </c>
      <c r="E3" s="10" t="s">
        <v>86</v>
      </c>
      <c r="F3" s="1"/>
      <c r="G3" s="1"/>
      <c r="H3" s="1"/>
      <c r="I3" s="1"/>
      <c r="J3" s="1"/>
      <c r="K3" s="1"/>
      <c r="L3" s="1"/>
    </row>
    <row r="4" spans="1:12" ht="31">
      <c r="A4" s="13" t="s">
        <v>5</v>
      </c>
      <c r="B4" s="136">
        <v>225</v>
      </c>
      <c r="C4" s="137"/>
      <c r="D4" s="138" t="s">
        <v>81</v>
      </c>
      <c r="E4" s="139" t="s">
        <v>6</v>
      </c>
      <c r="F4" s="1"/>
      <c r="G4" s="1"/>
      <c r="H4" s="1"/>
      <c r="I4" s="1"/>
      <c r="J4" s="1"/>
      <c r="K4" s="1"/>
      <c r="L4" s="1"/>
    </row>
    <row r="5" spans="1:12" ht="31">
      <c r="A5" s="11" t="s">
        <v>7</v>
      </c>
      <c r="B5" s="140">
        <v>45</v>
      </c>
      <c r="C5" s="141"/>
      <c r="D5" s="142" t="s">
        <v>82</v>
      </c>
      <c r="E5" s="143" t="s">
        <v>6</v>
      </c>
      <c r="F5" s="1"/>
      <c r="G5" s="1"/>
      <c r="H5" s="1"/>
      <c r="I5" s="1"/>
      <c r="J5" s="1"/>
      <c r="K5" s="1"/>
      <c r="L5" s="1"/>
    </row>
    <row r="6" spans="1:12" ht="31">
      <c r="A6" s="11" t="s">
        <v>8</v>
      </c>
      <c r="B6" s="140">
        <v>50</v>
      </c>
      <c r="C6" s="141"/>
      <c r="D6" s="142" t="s">
        <v>82</v>
      </c>
      <c r="E6" s="143" t="s">
        <v>6</v>
      </c>
      <c r="F6" s="1"/>
      <c r="G6" s="1"/>
      <c r="H6" s="1"/>
      <c r="I6" s="1"/>
      <c r="J6" s="1"/>
      <c r="K6" s="1"/>
      <c r="L6" s="1"/>
    </row>
    <row r="7" spans="1:12" ht="31">
      <c r="A7" s="11" t="s">
        <v>9</v>
      </c>
      <c r="B7" s="140">
        <v>15</v>
      </c>
      <c r="C7" s="141"/>
      <c r="D7" s="142" t="s">
        <v>83</v>
      </c>
      <c r="E7" s="143" t="s">
        <v>6</v>
      </c>
      <c r="F7" s="1"/>
      <c r="G7" s="1"/>
      <c r="H7" s="1"/>
      <c r="I7" s="1"/>
      <c r="J7" s="1"/>
      <c r="K7" s="1"/>
      <c r="L7" s="1"/>
    </row>
    <row r="8" spans="1:12" ht="31">
      <c r="A8" s="11" t="s">
        <v>10</v>
      </c>
      <c r="B8" s="140">
        <v>4</v>
      </c>
      <c r="C8" s="141"/>
      <c r="D8" s="142" t="s">
        <v>78</v>
      </c>
      <c r="E8" s="143" t="s">
        <v>6</v>
      </c>
      <c r="F8" s="1"/>
      <c r="G8" s="1"/>
      <c r="H8" s="1"/>
      <c r="I8" s="1"/>
      <c r="J8" s="1"/>
      <c r="K8" s="1"/>
      <c r="L8" s="1"/>
    </row>
    <row r="9" spans="1:12" ht="31">
      <c r="A9" s="11" t="s">
        <v>11</v>
      </c>
      <c r="B9" s="144">
        <v>11.8</v>
      </c>
      <c r="C9" s="145"/>
      <c r="D9" s="142" t="s">
        <v>12</v>
      </c>
      <c r="E9" s="143" t="s">
        <v>6</v>
      </c>
      <c r="F9" s="1"/>
      <c r="G9" s="1"/>
      <c r="H9" s="1"/>
      <c r="I9" s="1"/>
      <c r="J9" s="1"/>
      <c r="K9" s="1"/>
      <c r="L9" s="1"/>
    </row>
    <row r="10" spans="1:12" ht="15">
      <c r="A10" s="11" t="s">
        <v>13</v>
      </c>
      <c r="B10" s="146">
        <f>AVERAGE(B5:B6)</f>
        <v>47.5</v>
      </c>
      <c r="C10" s="147"/>
      <c r="D10" s="142" t="s">
        <v>14</v>
      </c>
      <c r="E10" s="143"/>
      <c r="F10" s="1"/>
      <c r="G10" s="1"/>
      <c r="H10" s="1"/>
      <c r="I10" s="1"/>
      <c r="J10" s="1"/>
      <c r="K10" s="1"/>
      <c r="L10" s="1"/>
    </row>
    <row r="11" spans="1:12" ht="15">
      <c r="A11" s="11" t="s">
        <v>15</v>
      </c>
      <c r="B11" s="146">
        <f>B7+B8</f>
        <v>19</v>
      </c>
      <c r="C11" s="147"/>
      <c r="D11" s="142" t="s">
        <v>16</v>
      </c>
      <c r="E11" s="143"/>
      <c r="F11" s="1"/>
      <c r="G11" s="1"/>
      <c r="H11" s="1"/>
      <c r="I11" s="1"/>
      <c r="J11" s="1"/>
      <c r="K11" s="1"/>
      <c r="L11" s="1"/>
    </row>
    <row r="12" spans="1:12" ht="15">
      <c r="A12" s="11" t="s">
        <v>17</v>
      </c>
      <c r="B12" s="148">
        <f>B4/B7</f>
        <v>15</v>
      </c>
      <c r="C12" s="149"/>
      <c r="D12" s="142" t="s">
        <v>18</v>
      </c>
      <c r="E12" s="143"/>
      <c r="F12" s="1"/>
      <c r="G12" s="1"/>
      <c r="H12" s="1"/>
      <c r="I12" s="1"/>
      <c r="J12" s="1"/>
      <c r="K12" s="1"/>
      <c r="L12" s="1"/>
    </row>
    <row r="13" spans="1:12" ht="15">
      <c r="A13" s="11" t="s">
        <v>19</v>
      </c>
      <c r="B13" s="148">
        <f>B4/B11</f>
        <v>11.842105263157896</v>
      </c>
      <c r="C13" s="149"/>
      <c r="D13" s="142" t="s">
        <v>20</v>
      </c>
      <c r="E13" s="143"/>
      <c r="F13" s="1"/>
      <c r="G13" s="1"/>
      <c r="H13" s="1"/>
      <c r="I13" s="1"/>
      <c r="J13" s="1"/>
      <c r="K13" s="1"/>
      <c r="L13" s="1"/>
    </row>
    <row r="14" spans="1:12" ht="16">
      <c r="A14" s="11" t="s">
        <v>21</v>
      </c>
      <c r="B14" s="150">
        <v>0.15</v>
      </c>
      <c r="C14" s="151"/>
      <c r="D14" s="142" t="s">
        <v>79</v>
      </c>
      <c r="E14" s="143" t="s">
        <v>80</v>
      </c>
      <c r="F14" s="1"/>
      <c r="G14" s="1"/>
      <c r="H14" s="1"/>
      <c r="I14" s="1"/>
      <c r="J14" s="1"/>
      <c r="K14" s="1"/>
      <c r="L14" s="1"/>
    </row>
    <row r="15" spans="1:12" ht="16">
      <c r="A15" s="11" t="s">
        <v>23</v>
      </c>
      <c r="B15" s="150">
        <v>0.25</v>
      </c>
      <c r="C15" s="151"/>
      <c r="D15" s="142" t="s">
        <v>22</v>
      </c>
      <c r="E15" s="143" t="s">
        <v>161</v>
      </c>
      <c r="F15" s="1"/>
      <c r="G15" s="1"/>
      <c r="H15" s="1"/>
      <c r="I15" s="1"/>
      <c r="J15" s="1"/>
      <c r="K15" s="1"/>
      <c r="L15" s="1"/>
    </row>
    <row r="16" spans="1:12" ht="16">
      <c r="A16" s="11" t="s">
        <v>174</v>
      </c>
      <c r="B16" s="150">
        <v>0.04</v>
      </c>
      <c r="C16" s="151"/>
      <c r="D16" s="142" t="s">
        <v>87</v>
      </c>
      <c r="E16" s="143" t="s">
        <v>79</v>
      </c>
      <c r="F16" s="1"/>
      <c r="G16" s="1"/>
      <c r="H16" s="1"/>
      <c r="I16" s="1"/>
      <c r="J16" s="1"/>
      <c r="K16" s="1"/>
      <c r="L16" s="1"/>
    </row>
    <row r="17" spans="1:12" ht="31">
      <c r="A17" s="11" t="s">
        <v>24</v>
      </c>
      <c r="B17" s="152">
        <v>391</v>
      </c>
      <c r="C17" s="141"/>
      <c r="D17" s="142" t="s">
        <v>84</v>
      </c>
      <c r="E17" s="143" t="s">
        <v>25</v>
      </c>
      <c r="F17" s="1"/>
      <c r="G17" s="1"/>
      <c r="H17" s="1"/>
      <c r="I17" s="1"/>
      <c r="J17" s="1"/>
      <c r="K17" s="1"/>
      <c r="L17" s="1"/>
    </row>
    <row r="18" spans="1:12" ht="46">
      <c r="A18" s="11" t="s">
        <v>26</v>
      </c>
      <c r="B18" s="153">
        <v>7.28</v>
      </c>
      <c r="C18" s="154"/>
      <c r="D18" s="142" t="s">
        <v>85</v>
      </c>
      <c r="E18" s="143" t="s">
        <v>27</v>
      </c>
      <c r="F18" s="1"/>
      <c r="G18" s="1"/>
      <c r="H18" s="1"/>
      <c r="I18" s="1"/>
      <c r="J18" s="1"/>
      <c r="K18" s="1"/>
      <c r="L18" s="1"/>
    </row>
    <row r="19" spans="1:12" ht="32" thickBot="1">
      <c r="A19" s="12" t="s">
        <v>28</v>
      </c>
      <c r="B19" s="155">
        <v>53.716000000000001</v>
      </c>
      <c r="C19" s="156"/>
      <c r="D19" s="157" t="s">
        <v>29</v>
      </c>
      <c r="E19" s="158" t="s">
        <v>30</v>
      </c>
      <c r="F19" s="1"/>
      <c r="G19" s="1"/>
      <c r="H19" s="1"/>
      <c r="I19" s="1"/>
      <c r="J19" s="1"/>
      <c r="K19" s="1"/>
      <c r="L19" s="1"/>
    </row>
    <row r="20" spans="1:12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mergeCells count="1">
    <mergeCell ref="A1:E1"/>
  </mergeCells>
  <pageMargins left="0.7" right="0.7" top="0.75" bottom="0.75" header="0.3" footer="0.3"/>
  <ignoredErrors>
    <ignoredError sqref="B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E997-F4C9-9045-B1CA-A8BBA0B77707}">
  <dimension ref="A1:FY26"/>
  <sheetViews>
    <sheetView showGridLines="0" topLeftCell="F1" zoomScale="94" workbookViewId="0">
      <selection activeCell="A15" sqref="A15"/>
    </sheetView>
  </sheetViews>
  <sheetFormatPr baseColWidth="10" defaultColWidth="8.83203125" defaultRowHeight="14"/>
  <cols>
    <col min="1" max="1" width="36.33203125" style="163" customWidth="1"/>
    <col min="2" max="2" width="23.33203125" style="163" customWidth="1"/>
    <col min="3" max="3" width="21.6640625" style="163" customWidth="1"/>
    <col min="4" max="4" width="25.33203125" style="163" customWidth="1"/>
    <col min="5" max="5" width="39.6640625" style="163" customWidth="1"/>
    <col min="6" max="6" width="38.33203125" style="163" customWidth="1"/>
    <col min="7" max="7" width="31.33203125" style="163" customWidth="1"/>
    <col min="8" max="8" width="29.5" style="163" customWidth="1"/>
    <col min="9" max="9" width="31.33203125" style="163" customWidth="1"/>
    <col min="10" max="10" width="29.83203125" style="163" customWidth="1"/>
    <col min="11" max="11" width="34" style="163" customWidth="1"/>
    <col min="12" max="15" width="31.33203125" style="163" customWidth="1"/>
    <col min="16" max="18" width="37.5" style="163" customWidth="1"/>
    <col min="19" max="19" width="29.1640625" style="163" customWidth="1"/>
    <col min="20" max="21" width="28.33203125" style="163" customWidth="1"/>
    <col min="22" max="22" width="26.6640625" style="163" customWidth="1"/>
    <col min="23" max="23" width="24.5" style="163" customWidth="1"/>
    <col min="24" max="24" width="15.1640625" style="163" customWidth="1"/>
    <col min="25" max="25" width="16.5" style="163" customWidth="1"/>
    <col min="26" max="26" width="27.5" style="163" customWidth="1"/>
    <col min="27" max="27" width="39.6640625" style="163" customWidth="1"/>
    <col min="28" max="28" width="38.33203125" style="163" customWidth="1"/>
    <col min="29" max="29" width="15.1640625" style="163" customWidth="1"/>
    <col min="30" max="30" width="23.83203125" style="163" customWidth="1"/>
    <col min="31" max="31" width="15.1640625" style="163" customWidth="1"/>
    <col min="32" max="32" width="21.6640625" style="163" customWidth="1"/>
    <col min="33" max="33" width="24.83203125" style="163" customWidth="1"/>
    <col min="34" max="34" width="22.5" style="163" customWidth="1"/>
    <col min="35" max="35" width="27.5" style="163" customWidth="1"/>
    <col min="36" max="36" width="23.1640625" style="163" customWidth="1"/>
    <col min="37" max="37" width="19" style="163" customWidth="1"/>
    <col min="38" max="38" width="11.5" style="163" customWidth="1"/>
    <col min="39" max="40" width="22.5" style="163" customWidth="1"/>
    <col min="41" max="41" width="19.5" style="163" customWidth="1"/>
    <col min="42" max="42" width="26" style="163" customWidth="1"/>
    <col min="43" max="43" width="55.1640625" style="163" customWidth="1"/>
    <col min="44" max="44" width="23.83203125" style="163" customWidth="1"/>
    <col min="45" max="45" width="21" style="163" customWidth="1"/>
    <col min="46" max="46" width="22.5" style="163" customWidth="1"/>
    <col min="47" max="47" width="32.5" style="163" customWidth="1"/>
    <col min="48" max="48" width="22.5" style="163" customWidth="1"/>
    <col min="49" max="49" width="29.5" style="163" customWidth="1"/>
    <col min="50" max="50" width="25.33203125" style="163" customWidth="1"/>
    <col min="51" max="51" width="26.6640625" style="163" customWidth="1"/>
    <col min="52" max="52" width="33.33203125" style="163" customWidth="1"/>
    <col min="53" max="53" width="26.6640625" style="163" customWidth="1"/>
    <col min="54" max="54" width="27" style="163" customWidth="1"/>
    <col min="55" max="56" width="26.6640625" style="163" customWidth="1"/>
    <col min="57" max="57" width="32.83203125" style="163" customWidth="1"/>
    <col min="58" max="58" width="37.5" style="163" customWidth="1"/>
    <col min="59" max="59" width="26.6640625" style="163" customWidth="1"/>
    <col min="60" max="60" width="30.5" style="163" customWidth="1"/>
    <col min="61" max="61" width="44.5" style="163" customWidth="1"/>
    <col min="62" max="62" width="30.83203125" style="163" customWidth="1"/>
    <col min="63" max="63" width="34" style="163" customWidth="1"/>
    <col min="64" max="64" width="21" style="163" customWidth="1"/>
    <col min="65" max="65" width="20.33203125" style="163" customWidth="1"/>
    <col min="66" max="66" width="34.1640625" style="163" customWidth="1"/>
    <col min="67" max="67" width="18.6640625" style="163" customWidth="1"/>
    <col min="68" max="68" width="20.33203125" style="163" customWidth="1"/>
    <col min="69" max="69" width="19.5" style="163" customWidth="1"/>
    <col min="70" max="70" width="15.1640625" style="163" customWidth="1"/>
    <col min="71" max="71" width="28.1640625" style="163" customWidth="1"/>
    <col min="72" max="72" width="15.5" style="163" customWidth="1"/>
    <col min="73" max="73" width="21.6640625" style="163" customWidth="1"/>
    <col min="74" max="74" width="25.6640625" style="163" customWidth="1"/>
    <col min="75" max="75" width="21.6640625" style="163" customWidth="1"/>
    <col min="76" max="76" width="25.1640625" style="163" customWidth="1"/>
    <col min="77" max="77" width="20.33203125" style="163" customWidth="1"/>
    <col min="78" max="78" width="18.6640625" style="163" customWidth="1"/>
    <col min="79" max="79" width="22.6640625" style="163" customWidth="1"/>
    <col min="80" max="80" width="20.33203125" style="163" customWidth="1"/>
    <col min="81" max="81" width="26.5" style="163" customWidth="1"/>
    <col min="82" max="82" width="24" style="163" customWidth="1"/>
    <col min="83" max="83" width="25.33203125" style="163" customWidth="1"/>
    <col min="84" max="85" width="37.5" style="163" customWidth="1"/>
    <col min="86" max="86" width="55.1640625" style="163" customWidth="1"/>
    <col min="87" max="87" width="17.5" style="163" customWidth="1"/>
    <col min="88" max="88" width="23.1640625" style="163" customWidth="1"/>
    <col min="89" max="89" width="21.83203125" style="163" customWidth="1"/>
    <col min="90" max="90" width="18.6640625" style="163" customWidth="1"/>
    <col min="91" max="16384" width="8.83203125" style="163"/>
  </cols>
  <sheetData>
    <row r="1" spans="1:30" ht="25" customHeight="1">
      <c r="E1" s="164" t="s">
        <v>88</v>
      </c>
    </row>
    <row r="3" spans="1:30">
      <c r="A3" s="165" t="s">
        <v>89</v>
      </c>
      <c r="B3" s="165"/>
      <c r="C3" s="166">
        <v>46203</v>
      </c>
    </row>
    <row r="4" spans="1:30">
      <c r="A4" s="165" t="s">
        <v>90</v>
      </c>
      <c r="B4" s="165"/>
      <c r="C4" s="167" t="s">
        <v>91</v>
      </c>
    </row>
    <row r="5" spans="1:30" ht="41" customHeight="1">
      <c r="A5" s="168" t="s">
        <v>92</v>
      </c>
      <c r="B5" s="168"/>
      <c r="C5" s="169" t="s">
        <v>93</v>
      </c>
      <c r="D5" s="170"/>
      <c r="E5" s="170"/>
    </row>
    <row r="10" spans="1:30" ht="15">
      <c r="A10" s="14" t="s">
        <v>94</v>
      </c>
      <c r="B10" s="14" t="s">
        <v>95</v>
      </c>
      <c r="C10" s="14" t="s">
        <v>96</v>
      </c>
      <c r="D10" s="14" t="s">
        <v>97</v>
      </c>
      <c r="E10" s="14" t="s">
        <v>98</v>
      </c>
      <c r="F10" s="14" t="s">
        <v>99</v>
      </c>
      <c r="G10" s="14" t="s">
        <v>100</v>
      </c>
      <c r="H10" s="14" t="s">
        <v>171</v>
      </c>
      <c r="I10" s="14" t="s">
        <v>101</v>
      </c>
      <c r="J10" s="14" t="s">
        <v>102</v>
      </c>
      <c r="K10" s="14" t="s">
        <v>103</v>
      </c>
      <c r="L10" s="14" t="s">
        <v>104</v>
      </c>
      <c r="M10" s="14" t="s">
        <v>105</v>
      </c>
      <c r="N10" s="14" t="s">
        <v>106</v>
      </c>
      <c r="O10" s="14" t="s">
        <v>107</v>
      </c>
      <c r="P10" s="14" t="s">
        <v>108</v>
      </c>
      <c r="Q10" s="14" t="s">
        <v>109</v>
      </c>
      <c r="R10" s="14" t="s">
        <v>110</v>
      </c>
      <c r="S10" s="14" t="s">
        <v>111</v>
      </c>
      <c r="T10" s="14" t="s">
        <v>112</v>
      </c>
      <c r="U10" s="171"/>
      <c r="V10" s="171"/>
      <c r="W10" s="171"/>
      <c r="X10" s="171"/>
      <c r="Y10" s="171"/>
      <c r="Z10" s="171"/>
      <c r="AA10" s="171"/>
      <c r="AB10" s="171"/>
      <c r="AD10" s="171"/>
    </row>
    <row r="11" spans="1:30">
      <c r="A11" s="15" t="s">
        <v>113</v>
      </c>
      <c r="B11" s="16" t="s">
        <v>114</v>
      </c>
      <c r="C11" s="17">
        <v>225</v>
      </c>
      <c r="D11" s="17">
        <v>225</v>
      </c>
      <c r="E11" s="15" t="s">
        <v>115</v>
      </c>
      <c r="F11" s="18" t="s">
        <v>116</v>
      </c>
      <c r="G11" s="15" t="s">
        <v>117</v>
      </c>
      <c r="H11" s="15" t="s">
        <v>43</v>
      </c>
      <c r="I11" s="17">
        <v>225</v>
      </c>
      <c r="J11" s="19" t="s">
        <v>118</v>
      </c>
      <c r="K11" s="19" t="s">
        <v>118</v>
      </c>
      <c r="L11" s="19" t="s">
        <v>118</v>
      </c>
      <c r="M11" s="20" t="s">
        <v>118</v>
      </c>
      <c r="N11" s="19" t="s">
        <v>118</v>
      </c>
      <c r="O11" s="19" t="s">
        <v>118</v>
      </c>
      <c r="P11" s="19" t="s">
        <v>118</v>
      </c>
      <c r="Q11" s="19" t="s">
        <v>118</v>
      </c>
      <c r="R11" s="21" t="s">
        <v>118</v>
      </c>
      <c r="S11" s="22">
        <v>120</v>
      </c>
      <c r="T11" s="23">
        <v>46147</v>
      </c>
      <c r="U11" s="172"/>
      <c r="V11" s="172"/>
      <c r="W11" s="173"/>
      <c r="X11" s="172"/>
      <c r="Y11" s="172"/>
      <c r="Z11" s="172"/>
      <c r="AA11" s="173"/>
      <c r="AB11" s="174"/>
      <c r="AD11" s="172"/>
    </row>
    <row r="12" spans="1:30">
      <c r="A12" s="24" t="s">
        <v>119</v>
      </c>
      <c r="B12" s="33" t="s">
        <v>120</v>
      </c>
      <c r="C12" s="25">
        <v>157.97999999999999</v>
      </c>
      <c r="D12" s="25">
        <v>157.97999999999999</v>
      </c>
      <c r="E12" s="24" t="s">
        <v>115</v>
      </c>
      <c r="F12" s="26" t="s">
        <v>121</v>
      </c>
      <c r="G12" s="24" t="s">
        <v>122</v>
      </c>
      <c r="H12" s="24" t="s">
        <v>123</v>
      </c>
      <c r="I12" s="25">
        <v>157.97999999999999</v>
      </c>
      <c r="J12" s="27">
        <v>97.63</v>
      </c>
      <c r="K12" s="27">
        <v>17.57</v>
      </c>
      <c r="L12" s="27" t="s">
        <v>118</v>
      </c>
      <c r="M12" s="28">
        <v>2020</v>
      </c>
      <c r="N12" s="27">
        <v>8.99</v>
      </c>
      <c r="O12" s="27">
        <v>1.62</v>
      </c>
      <c r="P12" s="27">
        <v>8.99</v>
      </c>
      <c r="Q12" s="27">
        <v>1.62</v>
      </c>
      <c r="R12" s="29">
        <v>18</v>
      </c>
      <c r="S12" s="30">
        <v>454</v>
      </c>
      <c r="T12" s="31">
        <v>44374</v>
      </c>
      <c r="U12" s="175"/>
      <c r="V12" s="175"/>
      <c r="W12" s="176"/>
      <c r="X12" s="175"/>
      <c r="Y12" s="175"/>
      <c r="Z12" s="175"/>
      <c r="AA12" s="176"/>
      <c r="AB12" s="177"/>
      <c r="AD12" s="175"/>
    </row>
    <row r="13" spans="1:30">
      <c r="A13" s="15" t="s">
        <v>124</v>
      </c>
      <c r="B13" s="34" t="s">
        <v>120</v>
      </c>
      <c r="C13" s="17">
        <v>392.12</v>
      </c>
      <c r="D13" s="17">
        <v>392.12</v>
      </c>
      <c r="E13" s="15" t="s">
        <v>115</v>
      </c>
      <c r="F13" s="18" t="s">
        <v>125</v>
      </c>
      <c r="G13" s="15" t="s">
        <v>126</v>
      </c>
      <c r="H13" s="15" t="s">
        <v>44</v>
      </c>
      <c r="I13" s="17">
        <v>392.12</v>
      </c>
      <c r="J13" s="19">
        <v>270</v>
      </c>
      <c r="K13" s="19">
        <v>36</v>
      </c>
      <c r="L13" s="19" t="s">
        <v>118</v>
      </c>
      <c r="M13" s="20">
        <v>2023</v>
      </c>
      <c r="N13" s="19">
        <v>10.89</v>
      </c>
      <c r="O13" s="19">
        <v>1.45</v>
      </c>
      <c r="P13" s="19">
        <v>10.89</v>
      </c>
      <c r="Q13" s="19">
        <v>1.45</v>
      </c>
      <c r="R13" s="21">
        <v>13.33</v>
      </c>
      <c r="S13" s="22">
        <v>518</v>
      </c>
      <c r="T13" s="23">
        <v>45373</v>
      </c>
      <c r="U13" s="172"/>
      <c r="V13" s="172"/>
      <c r="W13" s="173"/>
      <c r="X13" s="172"/>
      <c r="Y13" s="172"/>
      <c r="Z13" s="172"/>
      <c r="AA13" s="173"/>
      <c r="AB13" s="174"/>
      <c r="AD13" s="172"/>
    </row>
    <row r="14" spans="1:30">
      <c r="A14" s="24" t="s">
        <v>127</v>
      </c>
      <c r="B14" s="33" t="s">
        <v>120</v>
      </c>
      <c r="C14" s="25">
        <v>147.52000000000001</v>
      </c>
      <c r="D14" s="25">
        <v>152.08000000000001</v>
      </c>
      <c r="E14" s="24" t="s">
        <v>115</v>
      </c>
      <c r="F14" s="26" t="s">
        <v>128</v>
      </c>
      <c r="G14" s="24" t="s">
        <v>129</v>
      </c>
      <c r="H14" s="24" t="s">
        <v>130</v>
      </c>
      <c r="I14" s="25">
        <v>152.09</v>
      </c>
      <c r="J14" s="27">
        <v>2753.5</v>
      </c>
      <c r="K14" s="27" t="s">
        <v>118</v>
      </c>
      <c r="L14" s="27">
        <v>271.60000000000002</v>
      </c>
      <c r="M14" s="28">
        <v>2025</v>
      </c>
      <c r="N14" s="27" t="s">
        <v>118</v>
      </c>
      <c r="O14" s="27">
        <v>0.05</v>
      </c>
      <c r="P14" s="27" t="s">
        <v>118</v>
      </c>
      <c r="Q14" s="27">
        <v>0.06</v>
      </c>
      <c r="R14" s="29" t="s">
        <v>118</v>
      </c>
      <c r="S14" s="30">
        <v>54</v>
      </c>
      <c r="T14" s="31">
        <v>45947</v>
      </c>
      <c r="U14" s="24"/>
      <c r="V14" s="24"/>
      <c r="W14" s="181"/>
      <c r="X14" s="24"/>
      <c r="Y14" s="24"/>
      <c r="Z14" s="24"/>
      <c r="AA14" s="181"/>
      <c r="AB14" s="31"/>
      <c r="AD14" s="24"/>
    </row>
    <row r="15" spans="1:30">
      <c r="A15" s="15" t="s">
        <v>131</v>
      </c>
      <c r="B15" s="34" t="s">
        <v>148</v>
      </c>
      <c r="C15" s="17">
        <v>390.25</v>
      </c>
      <c r="D15" s="17">
        <v>390.25</v>
      </c>
      <c r="E15" s="15" t="s">
        <v>115</v>
      </c>
      <c r="F15" s="18" t="s">
        <v>133</v>
      </c>
      <c r="G15" s="15" t="s">
        <v>134</v>
      </c>
      <c r="H15" s="15" t="s">
        <v>135</v>
      </c>
      <c r="I15" s="17">
        <v>373.11</v>
      </c>
      <c r="J15" s="19">
        <v>1031.43</v>
      </c>
      <c r="K15" s="19">
        <v>132.24</v>
      </c>
      <c r="L15" s="19">
        <v>55.16</v>
      </c>
      <c r="M15" s="20">
        <v>2021</v>
      </c>
      <c r="N15" s="19">
        <v>2.95</v>
      </c>
      <c r="O15" s="19">
        <v>0.38</v>
      </c>
      <c r="P15" s="19">
        <v>2.82</v>
      </c>
      <c r="Q15" s="19">
        <v>0.36</v>
      </c>
      <c r="R15" s="21">
        <v>12.82</v>
      </c>
      <c r="S15" s="22">
        <v>1213</v>
      </c>
      <c r="T15" s="23">
        <v>44379</v>
      </c>
      <c r="U15" s="15"/>
      <c r="V15" s="15"/>
      <c r="W15" s="180"/>
      <c r="X15" s="15"/>
      <c r="Y15" s="15"/>
      <c r="Z15" s="15"/>
      <c r="AA15" s="180"/>
      <c r="AB15" s="23"/>
      <c r="AD15" s="15"/>
    </row>
    <row r="16" spans="1:30">
      <c r="A16" s="24" t="s">
        <v>136</v>
      </c>
      <c r="B16" s="32" t="s">
        <v>132</v>
      </c>
      <c r="C16" s="25">
        <v>271.5</v>
      </c>
      <c r="D16" s="25">
        <v>271.5</v>
      </c>
      <c r="E16" s="24" t="s">
        <v>115</v>
      </c>
      <c r="F16" s="26" t="s">
        <v>137</v>
      </c>
      <c r="G16" s="24" t="s">
        <v>138</v>
      </c>
      <c r="H16" s="24" t="s">
        <v>139</v>
      </c>
      <c r="I16" s="25">
        <v>245.97</v>
      </c>
      <c r="J16" s="27">
        <v>26.28</v>
      </c>
      <c r="K16" s="27">
        <v>12.75</v>
      </c>
      <c r="L16" s="27">
        <v>12.56</v>
      </c>
      <c r="M16" s="28">
        <v>2022</v>
      </c>
      <c r="N16" s="27">
        <v>21.29</v>
      </c>
      <c r="O16" s="27">
        <v>10.33</v>
      </c>
      <c r="P16" s="27">
        <v>19.29</v>
      </c>
      <c r="Q16" s="27">
        <v>9.36</v>
      </c>
      <c r="R16" s="29">
        <v>48.51</v>
      </c>
      <c r="S16" s="30">
        <v>14</v>
      </c>
      <c r="T16" s="31">
        <v>44705</v>
      </c>
      <c r="U16" s="24"/>
      <c r="V16" s="24"/>
      <c r="W16" s="181"/>
      <c r="X16" s="24"/>
      <c r="Y16" s="24"/>
      <c r="Z16" s="24"/>
      <c r="AA16" s="181"/>
      <c r="AB16" s="31"/>
      <c r="AD16" s="24"/>
    </row>
    <row r="17" spans="1:181">
      <c r="A17" s="15" t="s">
        <v>140</v>
      </c>
      <c r="B17" s="16" t="s">
        <v>132</v>
      </c>
      <c r="C17" s="17">
        <v>332</v>
      </c>
      <c r="D17" s="17">
        <v>453.49</v>
      </c>
      <c r="E17" s="15" t="s">
        <v>115</v>
      </c>
      <c r="F17" s="18" t="s">
        <v>141</v>
      </c>
      <c r="G17" s="15" t="s">
        <v>142</v>
      </c>
      <c r="H17" s="15" t="s">
        <v>143</v>
      </c>
      <c r="I17" s="17">
        <v>453.49</v>
      </c>
      <c r="J17" s="19">
        <v>49.3</v>
      </c>
      <c r="K17" s="19" t="s">
        <v>118</v>
      </c>
      <c r="L17" s="19" t="s">
        <v>118</v>
      </c>
      <c r="M17" s="20">
        <v>2022</v>
      </c>
      <c r="N17" s="19" t="s">
        <v>118</v>
      </c>
      <c r="O17" s="19">
        <v>6.73</v>
      </c>
      <c r="P17" s="19" t="s">
        <v>118</v>
      </c>
      <c r="Q17" s="19">
        <v>9.1999999999999993</v>
      </c>
      <c r="R17" s="21" t="s">
        <v>118</v>
      </c>
      <c r="S17" s="22">
        <v>170</v>
      </c>
      <c r="T17" s="23">
        <v>44753</v>
      </c>
      <c r="U17" s="15"/>
      <c r="V17" s="15"/>
      <c r="W17" s="180"/>
      <c r="X17" s="15"/>
      <c r="Y17" s="15"/>
      <c r="Z17" s="15"/>
      <c r="AA17" s="180"/>
      <c r="AB17" s="23"/>
      <c r="AD17" s="15"/>
    </row>
    <row r="18" spans="1:181">
      <c r="A18" s="24" t="s">
        <v>170</v>
      </c>
      <c r="B18" s="33" t="s">
        <v>120</v>
      </c>
      <c r="C18" s="25">
        <v>203.7</v>
      </c>
      <c r="D18" s="25">
        <v>203.7</v>
      </c>
      <c r="E18" s="24" t="s">
        <v>115</v>
      </c>
      <c r="F18" s="26" t="s">
        <v>166</v>
      </c>
      <c r="G18" s="24" t="s">
        <v>167</v>
      </c>
      <c r="H18" s="24" t="s">
        <v>168</v>
      </c>
      <c r="I18" s="25">
        <v>203.7</v>
      </c>
      <c r="J18" s="27" t="s">
        <v>118</v>
      </c>
      <c r="K18" s="27">
        <v>10</v>
      </c>
      <c r="L18" s="27" t="s">
        <v>118</v>
      </c>
      <c r="M18" s="28">
        <v>2024</v>
      </c>
      <c r="N18" s="27">
        <v>20.37</v>
      </c>
      <c r="O18" s="27" t="s">
        <v>118</v>
      </c>
      <c r="P18" s="27">
        <v>20.37</v>
      </c>
      <c r="Q18" s="27" t="s">
        <v>118</v>
      </c>
      <c r="R18" s="29" t="s">
        <v>118</v>
      </c>
      <c r="S18" s="30">
        <v>60</v>
      </c>
      <c r="T18" s="31">
        <v>45772</v>
      </c>
    </row>
    <row r="19" spans="1:181">
      <c r="A19" s="15" t="s">
        <v>169</v>
      </c>
      <c r="B19" s="34" t="s">
        <v>148</v>
      </c>
      <c r="C19" s="17">
        <v>116.3</v>
      </c>
      <c r="D19" s="17">
        <v>116.3</v>
      </c>
      <c r="E19" s="15" t="s">
        <v>115</v>
      </c>
      <c r="F19" s="18" t="s">
        <v>163</v>
      </c>
      <c r="G19" s="15" t="s">
        <v>164</v>
      </c>
      <c r="H19" s="15" t="s">
        <v>165</v>
      </c>
      <c r="I19" s="17">
        <v>116.3</v>
      </c>
      <c r="J19" s="19">
        <v>94.6</v>
      </c>
      <c r="K19" s="19">
        <v>18.670000000000002</v>
      </c>
      <c r="L19" s="19" t="s">
        <v>118</v>
      </c>
      <c r="M19" s="20">
        <v>2024</v>
      </c>
      <c r="N19" s="19">
        <v>6.23</v>
      </c>
      <c r="O19" s="19">
        <v>1.23</v>
      </c>
      <c r="P19" s="19">
        <v>6.23</v>
      </c>
      <c r="Q19" s="19">
        <v>1.23</v>
      </c>
      <c r="R19" s="21">
        <v>19.73</v>
      </c>
      <c r="S19" s="22">
        <v>500</v>
      </c>
      <c r="T19" s="23">
        <v>45566</v>
      </c>
    </row>
    <row r="22" spans="1:18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8"/>
      <c r="DB22" s="178"/>
      <c r="DC22" s="178"/>
      <c r="DD22" s="178"/>
      <c r="DE22" s="178"/>
      <c r="DF22" s="178"/>
      <c r="DG22" s="178"/>
      <c r="DH22" s="178"/>
      <c r="DI22" s="178"/>
      <c r="DJ22" s="178"/>
      <c r="DK22" s="178"/>
      <c r="DL22" s="178"/>
      <c r="DM22" s="178"/>
      <c r="DN22" s="178"/>
      <c r="DO22" s="178"/>
      <c r="DP22" s="178"/>
      <c r="DQ22" s="178"/>
      <c r="DR22" s="178"/>
      <c r="DS22" s="178"/>
      <c r="DT22" s="178"/>
      <c r="DU22" s="178"/>
      <c r="DV22" s="178"/>
      <c r="DW22" s="178"/>
      <c r="DX22" s="178"/>
      <c r="DY22" s="178"/>
      <c r="DZ22" s="178"/>
      <c r="EA22" s="178"/>
      <c r="EB22" s="178"/>
      <c r="EC22" s="178"/>
      <c r="ED22" s="178"/>
      <c r="EE22" s="178"/>
      <c r="EF22" s="178"/>
      <c r="EG22" s="178"/>
      <c r="EH22" s="178"/>
      <c r="EI22" s="178"/>
      <c r="EJ22" s="178"/>
      <c r="EK22" s="178"/>
      <c r="EL22" s="178"/>
      <c r="EM22" s="178"/>
      <c r="EN22" s="178"/>
      <c r="EO22" s="178"/>
      <c r="EP22" s="178"/>
      <c r="EQ22" s="178"/>
      <c r="ER22" s="178"/>
      <c r="ES22" s="178"/>
      <c r="ET22" s="178"/>
      <c r="EU22" s="178"/>
      <c r="EV22" s="178"/>
      <c r="EW22" s="178"/>
      <c r="EX22" s="178"/>
      <c r="EY22" s="178"/>
      <c r="EZ22" s="178"/>
      <c r="FA22" s="178"/>
      <c r="FB22" s="178"/>
      <c r="FC22" s="178"/>
      <c r="FD22" s="178"/>
      <c r="FE22" s="178"/>
      <c r="FF22" s="178"/>
      <c r="FG22" s="178"/>
      <c r="FH22" s="178"/>
      <c r="FI22" s="178"/>
      <c r="FJ22" s="178"/>
      <c r="FK22" s="178"/>
      <c r="FL22" s="178"/>
      <c r="FM22" s="178"/>
      <c r="FN22" s="178"/>
      <c r="FO22" s="178"/>
      <c r="FP22" s="178"/>
      <c r="FQ22" s="178"/>
      <c r="FR22" s="178"/>
      <c r="FS22" s="178"/>
      <c r="FT22" s="178"/>
      <c r="FU22" s="178"/>
      <c r="FV22" s="178"/>
      <c r="FW22" s="178"/>
      <c r="FX22" s="178"/>
      <c r="FY22" s="178"/>
    </row>
    <row r="25" spans="1:181" ht="35" customHeight="1"/>
    <row r="26" spans="1:181">
      <c r="A26" s="179" t="s">
        <v>144</v>
      </c>
      <c r="B26" s="179"/>
    </row>
  </sheetData>
  <mergeCells count="1">
    <mergeCell ref="C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showGridLines="0" zoomScale="84" workbookViewId="0">
      <selection activeCell="C37" sqref="C37"/>
    </sheetView>
  </sheetViews>
  <sheetFormatPr baseColWidth="10" defaultColWidth="8.83203125" defaultRowHeight="14"/>
  <cols>
    <col min="1" max="1" width="32.33203125" style="2" customWidth="1"/>
    <col min="2" max="2" width="23.6640625" style="2" customWidth="1"/>
    <col min="3" max="3" width="24" style="2" customWidth="1"/>
    <col min="4" max="4" width="34" style="2" customWidth="1"/>
    <col min="5" max="5" width="16" style="2" customWidth="1"/>
    <col min="6" max="6" width="23.5" style="2" customWidth="1"/>
    <col min="7" max="7" width="20.6640625" style="2" customWidth="1"/>
    <col min="8" max="8" width="26.6640625" style="2" customWidth="1"/>
    <col min="9" max="9" width="20.6640625" style="2" customWidth="1"/>
    <col min="10" max="10" width="22.6640625" style="2" customWidth="1"/>
    <col min="11" max="11" width="60" style="2" customWidth="1"/>
    <col min="12" max="12" width="35.1640625" style="2" customWidth="1"/>
    <col min="13" max="16384" width="8.83203125" style="2"/>
  </cols>
  <sheetData>
    <row r="1" spans="1:12">
      <c r="A1" s="65" t="s">
        <v>145</v>
      </c>
      <c r="B1" s="65"/>
      <c r="C1" s="65"/>
      <c r="D1" s="66"/>
      <c r="E1" s="66"/>
      <c r="F1" s="66"/>
      <c r="G1" s="66"/>
      <c r="H1" s="66"/>
      <c r="I1" s="66"/>
      <c r="J1" s="66"/>
      <c r="K1" s="66"/>
    </row>
    <row r="2" spans="1:12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ht="15" customHeight="1">
      <c r="A3" s="67" t="s">
        <v>31</v>
      </c>
      <c r="B3" s="68"/>
      <c r="C3" s="3"/>
      <c r="D3" s="3"/>
      <c r="E3" s="3"/>
      <c r="F3" s="3"/>
      <c r="G3" s="3"/>
      <c r="H3" s="3"/>
      <c r="I3" s="3"/>
      <c r="J3" s="3"/>
      <c r="K3" s="3"/>
    </row>
    <row r="4" spans="1:12" ht="23" customHeight="1">
      <c r="A4" s="69" t="s">
        <v>5</v>
      </c>
      <c r="B4" s="70">
        <f>Inputs!B4</f>
        <v>225</v>
      </c>
      <c r="C4" s="3"/>
      <c r="D4" s="3"/>
      <c r="E4" s="3"/>
      <c r="F4" s="3"/>
      <c r="G4" s="3"/>
      <c r="H4" s="3"/>
      <c r="I4" s="3"/>
      <c r="J4" s="3"/>
      <c r="K4" s="3"/>
    </row>
    <row r="5" spans="1:12" ht="23" customHeight="1">
      <c r="A5" s="69" t="s">
        <v>32</v>
      </c>
      <c r="B5" s="70">
        <f>Inputs!B7</f>
        <v>15</v>
      </c>
      <c r="C5" s="3"/>
      <c r="D5" s="3"/>
      <c r="E5" s="3"/>
      <c r="F5" s="3"/>
      <c r="G5" s="3"/>
      <c r="H5" s="3"/>
      <c r="I5" s="3"/>
      <c r="J5" s="3"/>
      <c r="K5" s="3"/>
    </row>
    <row r="6" spans="1:12" ht="23" customHeight="1">
      <c r="A6" s="69" t="s">
        <v>10</v>
      </c>
      <c r="B6" s="70">
        <f>Inputs!B8</f>
        <v>4</v>
      </c>
      <c r="C6" s="3"/>
      <c r="D6" s="3"/>
      <c r="E6" s="3"/>
      <c r="F6" s="3"/>
      <c r="G6" s="3"/>
      <c r="H6" s="3"/>
      <c r="I6" s="3"/>
      <c r="J6" s="3"/>
      <c r="K6" s="3"/>
    </row>
    <row r="7" spans="1:12" ht="23" customHeight="1">
      <c r="A7" s="69" t="s">
        <v>15</v>
      </c>
      <c r="B7" s="70">
        <f>B5+B6</f>
        <v>19</v>
      </c>
      <c r="C7" s="3"/>
      <c r="D7" s="3"/>
      <c r="E7" s="3"/>
      <c r="F7" s="3"/>
      <c r="G7" s="3"/>
      <c r="H7" s="3"/>
      <c r="I7" s="3"/>
      <c r="J7" s="3"/>
      <c r="K7" s="3"/>
    </row>
    <row r="8" spans="1:12" ht="23" customHeight="1">
      <c r="A8" s="69" t="s">
        <v>17</v>
      </c>
      <c r="B8" s="71">
        <f>B4/B5</f>
        <v>15</v>
      </c>
      <c r="C8" s="3"/>
      <c r="D8" s="3"/>
      <c r="E8" s="3"/>
      <c r="F8" s="3"/>
      <c r="G8" s="3"/>
      <c r="H8" s="3"/>
      <c r="I8" s="3"/>
      <c r="J8" s="3"/>
      <c r="K8" s="3"/>
    </row>
    <row r="9" spans="1:12" ht="23" customHeight="1" thickBot="1">
      <c r="A9" s="72" t="s">
        <v>19</v>
      </c>
      <c r="B9" s="73">
        <f>B4/B7</f>
        <v>11.842105263157896</v>
      </c>
      <c r="C9" s="3"/>
      <c r="D9" s="3"/>
      <c r="E9" s="3"/>
      <c r="F9" s="3"/>
      <c r="G9" s="3"/>
      <c r="H9" s="3"/>
      <c r="I9" s="3"/>
      <c r="J9" s="3"/>
      <c r="K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ht="15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>
      <c r="A12" s="67" t="s">
        <v>33</v>
      </c>
      <c r="B12" s="74" t="s">
        <v>34</v>
      </c>
      <c r="C12" s="74" t="s">
        <v>35</v>
      </c>
      <c r="D12" s="74" t="s">
        <v>36</v>
      </c>
      <c r="E12" s="74" t="s">
        <v>37</v>
      </c>
      <c r="F12" s="74" t="s">
        <v>38</v>
      </c>
      <c r="G12" s="74" t="s">
        <v>39</v>
      </c>
      <c r="H12" s="74" t="s">
        <v>40</v>
      </c>
      <c r="I12" s="74" t="s">
        <v>41</v>
      </c>
      <c r="J12" s="74" t="s">
        <v>42</v>
      </c>
      <c r="K12" s="74" t="s">
        <v>4</v>
      </c>
      <c r="L12" s="68" t="s">
        <v>147</v>
      </c>
    </row>
    <row r="13" spans="1:12" ht="32" customHeight="1">
      <c r="A13" s="49">
        <v>46168</v>
      </c>
      <c r="B13" s="36" t="str">
        <f>'MnA Comps'!F11</f>
        <v>Clean Harbors (NYS: CLH)(Michael Battles)</v>
      </c>
      <c r="C13" s="37" t="str">
        <f>'MnA Comps'!H11</f>
        <v>Terra Nova Solutions</v>
      </c>
      <c r="D13" s="37" t="s">
        <v>146</v>
      </c>
      <c r="E13" s="102">
        <f>'MnA Comps'!C11</f>
        <v>225</v>
      </c>
      <c r="F13" s="102">
        <f>Inputs!B7</f>
        <v>15</v>
      </c>
      <c r="G13" s="38">
        <f>Inputs!B8</f>
        <v>4</v>
      </c>
      <c r="H13" s="39">
        <f>F13+G13</f>
        <v>19</v>
      </c>
      <c r="I13" s="40">
        <f>E13/F13</f>
        <v>15</v>
      </c>
      <c r="J13" s="40">
        <f>E13/H13</f>
        <v>11.842105263157896</v>
      </c>
      <c r="K13" s="41" t="s">
        <v>6</v>
      </c>
      <c r="L13" s="50"/>
    </row>
    <row r="14" spans="1:12" ht="32" customHeight="1">
      <c r="A14" s="51">
        <f>'MnA Comps'!T12</f>
        <v>44374</v>
      </c>
      <c r="B14" s="42" t="str">
        <f>'MnA Comps'!F12</f>
        <v>Ambipar Participacoes e Empreendimentos (BVMF: AMBP3)(Fábio Castro)</v>
      </c>
      <c r="C14" s="43" t="str">
        <f>'MnA Comps'!H12</f>
        <v>Disal Chile</v>
      </c>
      <c r="D14" s="43" t="s">
        <v>146</v>
      </c>
      <c r="E14" s="103">
        <f>'MnA Comps'!C12</f>
        <v>157.97999999999999</v>
      </c>
      <c r="F14" s="103">
        <f>'MnA Comps'!K12</f>
        <v>17.57</v>
      </c>
      <c r="G14" s="75">
        <f>F14*0.1</f>
        <v>1.7570000000000001</v>
      </c>
      <c r="H14" s="44">
        <f>F14+G14</f>
        <v>19.327000000000002</v>
      </c>
      <c r="I14" s="63">
        <f>E14/F14</f>
        <v>8.9914627205463855</v>
      </c>
      <c r="J14" s="63">
        <f>E14/H14</f>
        <v>8.174057018678532</v>
      </c>
      <c r="K14" s="46" t="s">
        <v>151</v>
      </c>
      <c r="L14" s="61" t="s">
        <v>173</v>
      </c>
    </row>
    <row r="15" spans="1:12" ht="32" customHeight="1">
      <c r="A15" s="51">
        <f>'MnA Comps'!T13</f>
        <v>45373</v>
      </c>
      <c r="B15" s="42" t="str">
        <f>'MnA Comps'!F13</f>
        <v>Clean Harbors (NYS: CLH)(Eric Gerstenberg)</v>
      </c>
      <c r="C15" s="43" t="str">
        <f>'MnA Comps'!H13</f>
        <v>HEPACO</v>
      </c>
      <c r="D15" s="43" t="s">
        <v>146</v>
      </c>
      <c r="E15" s="103">
        <f>'MnA Comps'!C13</f>
        <v>392.12</v>
      </c>
      <c r="F15" s="103">
        <f>'MnA Comps'!K13</f>
        <v>36</v>
      </c>
      <c r="G15" s="107">
        <v>20</v>
      </c>
      <c r="H15" s="108">
        <f>F15+G15</f>
        <v>56</v>
      </c>
      <c r="I15" s="45">
        <f>E15/F15</f>
        <v>10.892222222222223</v>
      </c>
      <c r="J15" s="45">
        <f>E15/H15</f>
        <v>7.0021428571428572</v>
      </c>
      <c r="K15" s="64" t="s">
        <v>45</v>
      </c>
      <c r="L15" s="52" t="s">
        <v>162</v>
      </c>
    </row>
    <row r="16" spans="1:12" ht="32" customHeight="1">
      <c r="A16" s="59">
        <f>'MnA Comps'!T19</f>
        <v>45566</v>
      </c>
      <c r="B16" s="47" t="str">
        <f>'MnA Comps'!F19</f>
        <v>Vivakor (NAS: VIVK)(James Ballengee)</v>
      </c>
      <c r="C16" s="48" t="str">
        <f>'MnA Comps'!H19</f>
        <v>Equipment Transport</v>
      </c>
      <c r="D16" s="43" t="s">
        <v>146</v>
      </c>
      <c r="E16" s="182">
        <f>'MnA Comps'!C19</f>
        <v>116.3</v>
      </c>
      <c r="F16" s="182">
        <f>'MnA Comps'!K19</f>
        <v>18.670000000000002</v>
      </c>
      <c r="G16" s="75">
        <f>F16*0.1</f>
        <v>1.8670000000000002</v>
      </c>
      <c r="H16" s="183">
        <f>G16+F16</f>
        <v>20.537000000000003</v>
      </c>
      <c r="I16" s="187">
        <f>E16/F16</f>
        <v>6.2292447777182636</v>
      </c>
      <c r="J16" s="184">
        <f>E16/H16</f>
        <v>5.6629497979256946</v>
      </c>
      <c r="K16" s="185" t="s">
        <v>172</v>
      </c>
      <c r="L16" s="92" t="s">
        <v>173</v>
      </c>
    </row>
    <row r="17" spans="1:12" ht="32" customHeight="1" thickBot="1">
      <c r="A17" s="53">
        <f>'MnA Comps'!T15</f>
        <v>44379</v>
      </c>
      <c r="B17" s="54" t="str">
        <f>'MnA Comps'!F15</f>
        <v>Secure Energy Services (TSE: SES)(Rene Amirault)</v>
      </c>
      <c r="C17" s="55" t="str">
        <f>'MnA Comps'!H15</f>
        <v>Tervita</v>
      </c>
      <c r="D17" s="186" t="s">
        <v>146</v>
      </c>
      <c r="E17" s="104">
        <f>'MnA Comps'!C15</f>
        <v>390.25</v>
      </c>
      <c r="F17" s="86">
        <f>E17*0.12</f>
        <v>46.83</v>
      </c>
      <c r="G17" s="105">
        <v>75</v>
      </c>
      <c r="H17" s="106">
        <f>SUM(F17:G17)</f>
        <v>121.83</v>
      </c>
      <c r="I17" s="56">
        <f>E17/F17</f>
        <v>8.3333333333333339</v>
      </c>
      <c r="J17" s="56">
        <f>E17/H17</f>
        <v>3.2032340146105227</v>
      </c>
      <c r="K17" s="57" t="s">
        <v>149</v>
      </c>
      <c r="L17" s="62" t="s">
        <v>150</v>
      </c>
    </row>
    <row r="18" spans="1:12">
      <c r="A18" s="5"/>
      <c r="B18" s="5"/>
      <c r="C18" s="5"/>
      <c r="D18" s="5"/>
      <c r="E18" s="6"/>
      <c r="F18" s="6"/>
      <c r="G18" s="6"/>
      <c r="H18" s="7"/>
      <c r="I18" s="4"/>
      <c r="J18" s="4"/>
      <c r="K18" s="5"/>
    </row>
    <row r="19" spans="1:12">
      <c r="A19" s="5"/>
      <c r="B19" s="5"/>
      <c r="C19" s="5"/>
      <c r="D19" s="5"/>
      <c r="E19" s="6"/>
      <c r="F19" s="6"/>
      <c r="G19" s="6"/>
      <c r="H19" s="7"/>
      <c r="I19" s="4"/>
      <c r="J19" s="4"/>
      <c r="K19" s="5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2" ht="1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2">
      <c r="A22" s="67" t="s">
        <v>46</v>
      </c>
      <c r="B22" s="74" t="s">
        <v>41</v>
      </c>
      <c r="C22" s="68" t="s">
        <v>42</v>
      </c>
      <c r="D22" s="3"/>
      <c r="E22" s="3"/>
      <c r="F22" s="3"/>
      <c r="G22" s="3"/>
      <c r="H22" s="3"/>
      <c r="I22" s="3"/>
      <c r="J22" s="3"/>
      <c r="K22" s="3"/>
    </row>
    <row r="23" spans="1:12">
      <c r="A23" s="76" t="s">
        <v>47</v>
      </c>
      <c r="B23" s="159">
        <f>MIN(I14:I17)</f>
        <v>6.2292447777182636</v>
      </c>
      <c r="C23" s="160">
        <f>MIN(J14:J17)</f>
        <v>3.2032340146105227</v>
      </c>
      <c r="D23" s="3"/>
      <c r="E23" s="3"/>
      <c r="F23" s="3"/>
      <c r="G23" s="3"/>
      <c r="H23" s="3"/>
      <c r="I23" s="3"/>
      <c r="J23" s="3"/>
      <c r="K23" s="3"/>
    </row>
    <row r="24" spans="1:12">
      <c r="A24" s="76" t="s">
        <v>48</v>
      </c>
      <c r="B24" s="159">
        <f>MEDIAN(I14:I17)</f>
        <v>8.6623980269398597</v>
      </c>
      <c r="C24" s="160">
        <f>MEDIAN(J14:J17)</f>
        <v>6.3325463275342759</v>
      </c>
      <c r="D24" s="3"/>
      <c r="E24" s="3"/>
      <c r="F24" s="3"/>
      <c r="G24" s="3"/>
      <c r="H24" s="3"/>
      <c r="I24" s="3"/>
      <c r="J24" s="3"/>
      <c r="K24" s="3"/>
    </row>
    <row r="25" spans="1:12">
      <c r="A25" s="76" t="s">
        <v>49</v>
      </c>
      <c r="B25" s="159">
        <f>MAX(I14:I17)</f>
        <v>10.892222222222223</v>
      </c>
      <c r="C25" s="160">
        <f>MAX(J14:J17)</f>
        <v>8.174057018678532</v>
      </c>
      <c r="D25" s="3"/>
      <c r="E25" s="3"/>
      <c r="F25" s="3"/>
      <c r="G25" s="3"/>
      <c r="H25" s="3"/>
      <c r="I25" s="3"/>
      <c r="J25" s="3"/>
      <c r="K25" s="3"/>
    </row>
    <row r="26" spans="1:12" ht="15" thickBot="1">
      <c r="A26" s="77" t="s">
        <v>50</v>
      </c>
      <c r="B26" s="161">
        <f>I13</f>
        <v>15</v>
      </c>
      <c r="C26" s="162">
        <f>J13</f>
        <v>11.842105263157896</v>
      </c>
      <c r="D26" s="3"/>
      <c r="E26" s="3"/>
      <c r="F26" s="3"/>
      <c r="G26" s="3"/>
      <c r="H26" s="3"/>
      <c r="I26" s="3"/>
      <c r="J26" s="3"/>
      <c r="K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>
      <c r="I28" s="3"/>
      <c r="J28" s="3"/>
      <c r="K28" s="3"/>
    </row>
    <row r="29" spans="1:12" ht="14" customHeight="1">
      <c r="I29" s="3"/>
      <c r="J29" s="3"/>
      <c r="K29" s="3"/>
    </row>
    <row r="30" spans="1:12">
      <c r="I30" s="3"/>
      <c r="J30" s="3"/>
      <c r="K30" s="3"/>
    </row>
    <row r="31" spans="1:12">
      <c r="I31" s="3"/>
      <c r="J31" s="3"/>
      <c r="K31" s="3"/>
    </row>
    <row r="32" spans="1:12">
      <c r="I32" s="3"/>
      <c r="J32" s="3"/>
      <c r="K32" s="3"/>
    </row>
    <row r="33" spans="1:11">
      <c r="I33" s="3"/>
      <c r="J33" s="3"/>
      <c r="K33" s="3"/>
    </row>
    <row r="34" spans="1:11">
      <c r="I34" s="3"/>
      <c r="J34" s="3"/>
      <c r="K34" s="3"/>
    </row>
    <row r="35" spans="1:11">
      <c r="I35" s="3"/>
      <c r="J35" s="3"/>
      <c r="K35" s="3"/>
    </row>
    <row r="36" spans="1:11">
      <c r="I36" s="3"/>
      <c r="J36" s="3"/>
      <c r="K36" s="3"/>
    </row>
    <row r="37" spans="1:11">
      <c r="I37" s="3"/>
      <c r="J37" s="3"/>
      <c r="K37" s="3"/>
    </row>
    <row r="38" spans="1:11">
      <c r="I38" s="3"/>
      <c r="J38" s="3"/>
      <c r="K38" s="3"/>
    </row>
    <row r="39" spans="1:11">
      <c r="I39" s="3"/>
      <c r="J39" s="3"/>
      <c r="K39" s="3"/>
    </row>
    <row r="40" spans="1:11">
      <c r="I40" s="3"/>
      <c r="J40" s="3"/>
      <c r="K40" s="3"/>
    </row>
    <row r="41" spans="1:11"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</sheetData>
  <mergeCells count="1">
    <mergeCell ref="A1:C1"/>
  </mergeCells>
  <hyperlinks>
    <hyperlink ref="K15" r:id="rId1" xr:uid="{F771522E-919B-B445-8F87-2D0120CAB6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showGridLines="0" tabSelected="1" zoomScale="97" workbookViewId="0">
      <selection activeCell="C33" sqref="C33"/>
    </sheetView>
  </sheetViews>
  <sheetFormatPr baseColWidth="10" defaultColWidth="8.83203125" defaultRowHeight="14"/>
  <cols>
    <col min="1" max="1" width="36" style="2" customWidth="1"/>
    <col min="2" max="2" width="16" style="2" customWidth="1"/>
    <col min="3" max="3" width="48" style="2" customWidth="1"/>
    <col min="4" max="4" width="39" style="2" customWidth="1"/>
    <col min="5" max="5" width="15.5" style="2" customWidth="1"/>
    <col min="6" max="6" width="14" style="2" customWidth="1"/>
    <col min="7" max="16384" width="8.83203125" style="2"/>
  </cols>
  <sheetData>
    <row r="1" spans="1:11">
      <c r="A1" s="122" t="s">
        <v>51</v>
      </c>
      <c r="B1" s="123"/>
      <c r="C1" s="123"/>
      <c r="D1" s="66"/>
      <c r="E1" s="128" t="s">
        <v>159</v>
      </c>
      <c r="F1" s="129"/>
      <c r="G1" s="129"/>
      <c r="H1" s="129"/>
      <c r="I1" s="129"/>
      <c r="J1" s="129"/>
      <c r="K1" s="130"/>
    </row>
    <row r="2" spans="1:11">
      <c r="A2" s="78"/>
      <c r="B2" s="60"/>
      <c r="C2" s="60"/>
      <c r="D2" s="3"/>
      <c r="E2" s="78"/>
      <c r="F2" s="120"/>
      <c r="G2" s="118" t="s">
        <v>174</v>
      </c>
      <c r="H2" s="118"/>
      <c r="I2" s="118"/>
      <c r="J2" s="118"/>
      <c r="K2" s="119"/>
    </row>
    <row r="3" spans="1:11" ht="16">
      <c r="A3" s="124" t="s">
        <v>52</v>
      </c>
      <c r="B3" s="125" t="s">
        <v>2</v>
      </c>
      <c r="C3" s="126" t="s">
        <v>53</v>
      </c>
      <c r="D3" s="127"/>
      <c r="E3" s="121" t="s">
        <v>176</v>
      </c>
      <c r="F3" s="111">
        <f>B25</f>
        <v>1.4729531954381049E-2</v>
      </c>
      <c r="G3" s="112">
        <v>0.03</v>
      </c>
      <c r="H3" s="112">
        <v>3.5000000000000003E-2</v>
      </c>
      <c r="I3" s="112">
        <v>0.04</v>
      </c>
      <c r="J3" s="112">
        <v>4.4999999999999998E-2</v>
      </c>
      <c r="K3" s="113">
        <v>0.05</v>
      </c>
    </row>
    <row r="4" spans="1:11" ht="15">
      <c r="A4" s="82" t="s">
        <v>5</v>
      </c>
      <c r="B4" s="96">
        <f>Inputs!B4</f>
        <v>225</v>
      </c>
      <c r="C4" s="83" t="s">
        <v>54</v>
      </c>
      <c r="D4" s="3"/>
      <c r="E4" s="133">
        <v>0</v>
      </c>
      <c r="F4" s="131">
        <f>E4</f>
        <v>0</v>
      </c>
      <c r="G4" s="109">
        <f t="dataTable" ref="G4:K8" dt2D="1" dtr="1" r1="B11" r2="B6"/>
        <v>1.1373204946814212E-2</v>
      </c>
      <c r="H4" s="109">
        <v>9.2155661562355919E-3</v>
      </c>
      <c r="I4" s="109">
        <v>7.0579273656568506E-3</v>
      </c>
      <c r="J4" s="109">
        <v>4.9002885750781084E-3</v>
      </c>
      <c r="K4" s="114">
        <v>2.742649784499489E-3</v>
      </c>
    </row>
    <row r="5" spans="1:11" ht="15">
      <c r="A5" s="84" t="s">
        <v>153</v>
      </c>
      <c r="B5" s="97">
        <f>Inputs!B7</f>
        <v>15</v>
      </c>
      <c r="C5" s="61" t="s">
        <v>54</v>
      </c>
      <c r="D5" s="3"/>
      <c r="E5" s="134">
        <v>2</v>
      </c>
      <c r="F5" s="131">
        <f t="shared" ref="F5:F8" si="0">E5</f>
        <v>2</v>
      </c>
      <c r="G5" s="87">
        <v>1.5209007241176312E-2</v>
      </c>
      <c r="H5" s="87">
        <v>1.3051368450597692E-2</v>
      </c>
      <c r="I5" s="87">
        <v>1.0893729660018951E-2</v>
      </c>
      <c r="J5" s="87">
        <v>8.7360908694403307E-3</v>
      </c>
      <c r="K5" s="115">
        <v>6.5784520788615885E-3</v>
      </c>
    </row>
    <row r="6" spans="1:11" ht="15">
      <c r="A6" s="84" t="s">
        <v>10</v>
      </c>
      <c r="B6" s="97">
        <f>Inputs!B8</f>
        <v>4</v>
      </c>
      <c r="C6" s="61" t="s">
        <v>54</v>
      </c>
      <c r="D6" s="3"/>
      <c r="E6" s="134">
        <v>4</v>
      </c>
      <c r="F6" s="131">
        <f t="shared" si="0"/>
        <v>4</v>
      </c>
      <c r="G6" s="87">
        <v>1.9044809535538533E-2</v>
      </c>
      <c r="H6" s="87">
        <v>1.6887170744959792E-2</v>
      </c>
      <c r="I6" s="110">
        <v>1.4729531954381049E-2</v>
      </c>
      <c r="J6" s="87">
        <v>1.2571893163802429E-2</v>
      </c>
      <c r="K6" s="115">
        <v>1.0414254373223688E-2</v>
      </c>
    </row>
    <row r="7" spans="1:11" ht="15" customHeight="1">
      <c r="A7" s="84" t="s">
        <v>21</v>
      </c>
      <c r="B7" s="79">
        <f>Inputs!B14</f>
        <v>0.15</v>
      </c>
      <c r="C7" s="61" t="s">
        <v>54</v>
      </c>
      <c r="D7" s="3"/>
      <c r="E7" s="134">
        <v>6</v>
      </c>
      <c r="F7" s="131">
        <f t="shared" si="0"/>
        <v>6</v>
      </c>
      <c r="G7" s="87">
        <v>2.2880611829900633E-2</v>
      </c>
      <c r="H7" s="87">
        <v>2.0722973039321888E-2</v>
      </c>
      <c r="I7" s="87">
        <v>1.8565334248743268E-2</v>
      </c>
      <c r="J7" s="87">
        <v>1.6407695458164527E-2</v>
      </c>
      <c r="K7" s="115">
        <v>1.4250056667585786E-2</v>
      </c>
    </row>
    <row r="8" spans="1:11" ht="16" thickBot="1">
      <c r="A8" s="84" t="s">
        <v>154</v>
      </c>
      <c r="B8" s="80">
        <f>B5*B7</f>
        <v>2.25</v>
      </c>
      <c r="C8" s="61" t="s">
        <v>152</v>
      </c>
      <c r="D8" s="3"/>
      <c r="E8" s="135">
        <v>8</v>
      </c>
      <c r="F8" s="132">
        <f t="shared" si="0"/>
        <v>8</v>
      </c>
      <c r="G8" s="116">
        <v>2.6716414124262729E-2</v>
      </c>
      <c r="H8" s="116">
        <v>2.455877533368411E-2</v>
      </c>
      <c r="I8" s="116">
        <v>2.2401136543105368E-2</v>
      </c>
      <c r="J8" s="116">
        <v>2.0243497752526627E-2</v>
      </c>
      <c r="K8" s="117">
        <v>1.8085858961948007E-2</v>
      </c>
    </row>
    <row r="9" spans="1:11" ht="15">
      <c r="A9" s="84" t="s">
        <v>58</v>
      </c>
      <c r="B9" s="81">
        <f>B5+B6</f>
        <v>19</v>
      </c>
      <c r="C9" s="61" t="s">
        <v>59</v>
      </c>
      <c r="D9" s="3"/>
      <c r="E9" s="3"/>
      <c r="F9" s="3"/>
      <c r="G9" s="3"/>
      <c r="H9" s="3"/>
      <c r="I9" s="3"/>
      <c r="J9" s="3"/>
      <c r="K9" s="3"/>
    </row>
    <row r="10" spans="1:11" ht="16" customHeight="1">
      <c r="A10" s="84" t="s">
        <v>60</v>
      </c>
      <c r="B10" s="81">
        <f>B9-B8</f>
        <v>16.75</v>
      </c>
      <c r="C10" s="61" t="s">
        <v>61</v>
      </c>
      <c r="D10" s="3"/>
      <c r="E10" s="3"/>
      <c r="F10" s="3"/>
      <c r="G10" s="3"/>
      <c r="H10" s="3"/>
      <c r="I10" s="3"/>
      <c r="J10" s="3"/>
      <c r="K10" s="3"/>
    </row>
    <row r="11" spans="1:11" ht="15">
      <c r="A11" s="84" t="s">
        <v>155</v>
      </c>
      <c r="B11" s="79">
        <f>Inputs!B16</f>
        <v>0.04</v>
      </c>
      <c r="C11" s="61" t="s">
        <v>54</v>
      </c>
      <c r="D11" s="3"/>
      <c r="E11" s="3"/>
      <c r="F11" s="3"/>
      <c r="G11" s="3"/>
      <c r="H11" s="3"/>
      <c r="I11" s="3"/>
      <c r="J11" s="3"/>
      <c r="K11" s="3"/>
    </row>
    <row r="12" spans="1:11" ht="15">
      <c r="A12" s="84" t="s">
        <v>175</v>
      </c>
      <c r="B12" s="81">
        <f>B4*B11</f>
        <v>9</v>
      </c>
      <c r="C12" s="61" t="s">
        <v>55</v>
      </c>
      <c r="D12" s="3"/>
      <c r="E12" s="3"/>
      <c r="F12" s="3"/>
      <c r="G12" s="3"/>
      <c r="H12" s="3"/>
      <c r="I12" s="3"/>
      <c r="J12" s="3"/>
      <c r="K12" s="3"/>
    </row>
    <row r="13" spans="1:11" ht="15">
      <c r="A13" s="85" t="s">
        <v>62</v>
      </c>
      <c r="B13" s="81">
        <f>B10-B12</f>
        <v>7.75</v>
      </c>
      <c r="C13" s="61" t="s">
        <v>160</v>
      </c>
      <c r="D13" s="3"/>
      <c r="E13" s="3"/>
      <c r="F13" s="3"/>
      <c r="G13" s="3"/>
      <c r="H13" s="3"/>
      <c r="I13" s="3"/>
      <c r="J13" s="3"/>
      <c r="K13" s="3"/>
    </row>
    <row r="14" spans="1:11" ht="15">
      <c r="A14" s="84" t="s">
        <v>23</v>
      </c>
      <c r="B14" s="79">
        <f>Inputs!B15</f>
        <v>0.25</v>
      </c>
      <c r="C14" s="61" t="s">
        <v>54</v>
      </c>
      <c r="D14" s="3"/>
      <c r="E14" s="3"/>
      <c r="F14" s="3"/>
      <c r="G14" s="3"/>
      <c r="H14" s="3"/>
      <c r="I14" s="3"/>
      <c r="J14" s="3"/>
      <c r="K14" s="3"/>
    </row>
    <row r="15" spans="1:11" ht="15">
      <c r="A15" s="85" t="s">
        <v>63</v>
      </c>
      <c r="B15" s="81">
        <f>B13*(1-B14)</f>
        <v>5.8125</v>
      </c>
      <c r="C15" s="61" t="s">
        <v>64</v>
      </c>
      <c r="D15" s="3"/>
      <c r="E15" s="3"/>
      <c r="F15" s="3"/>
      <c r="G15" s="3"/>
      <c r="H15" s="3"/>
      <c r="I15" s="3"/>
      <c r="J15" s="3"/>
      <c r="K15" s="3"/>
    </row>
    <row r="16" spans="1:11" ht="15">
      <c r="A16" s="84" t="s">
        <v>56</v>
      </c>
      <c r="B16" s="81">
        <f>Inputs!B17</f>
        <v>391</v>
      </c>
      <c r="C16" s="61" t="s">
        <v>54</v>
      </c>
      <c r="D16" s="3"/>
      <c r="E16" s="3"/>
      <c r="F16" s="3"/>
      <c r="G16" s="3"/>
      <c r="H16" s="3"/>
      <c r="I16" s="3"/>
      <c r="J16" s="3"/>
      <c r="K16" s="3"/>
    </row>
    <row r="17" spans="1:11" ht="15">
      <c r="A17" s="84" t="s">
        <v>65</v>
      </c>
      <c r="B17" s="81">
        <f>B16+B15</f>
        <v>396.8125</v>
      </c>
      <c r="C17" s="61" t="s">
        <v>66</v>
      </c>
      <c r="D17" s="3"/>
      <c r="E17" s="3"/>
      <c r="F17" s="3"/>
      <c r="G17" s="3"/>
      <c r="H17" s="3"/>
      <c r="I17" s="3"/>
      <c r="J17" s="3"/>
      <c r="K17" s="3"/>
    </row>
    <row r="18" spans="1:11" ht="15">
      <c r="A18" s="84" t="s">
        <v>57</v>
      </c>
      <c r="B18" s="98">
        <f>Inputs!B19</f>
        <v>53.716000000000001</v>
      </c>
      <c r="C18" s="61" t="s">
        <v>54</v>
      </c>
      <c r="D18" s="3"/>
      <c r="E18" s="3"/>
      <c r="F18" s="3"/>
      <c r="G18" s="3"/>
      <c r="H18" s="3"/>
      <c r="I18" s="3"/>
      <c r="J18" s="3"/>
      <c r="K18" s="3"/>
    </row>
    <row r="19" spans="1:11" ht="14" customHeight="1">
      <c r="A19" s="93" t="s">
        <v>67</v>
      </c>
      <c r="B19" s="94">
        <f>B17/B18</f>
        <v>7.3872309926278943</v>
      </c>
      <c r="C19" s="92" t="s">
        <v>68</v>
      </c>
      <c r="D19" s="3"/>
      <c r="E19" s="3"/>
      <c r="F19" s="3"/>
      <c r="G19" s="3"/>
      <c r="H19" s="3"/>
      <c r="I19" s="3"/>
      <c r="J19" s="3"/>
      <c r="K19" s="3"/>
    </row>
    <row r="20" spans="1:11" ht="16" thickBot="1">
      <c r="A20" s="89" t="s">
        <v>157</v>
      </c>
      <c r="B20" s="90">
        <f>Inputs!B18</f>
        <v>7.28</v>
      </c>
      <c r="C20" s="91" t="s">
        <v>156</v>
      </c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67" t="s">
        <v>69</v>
      </c>
      <c r="B23" s="74" t="s">
        <v>2</v>
      </c>
      <c r="C23" s="68" t="s">
        <v>70</v>
      </c>
      <c r="D23" s="3"/>
      <c r="E23" s="3"/>
      <c r="F23" s="3"/>
      <c r="G23" s="3"/>
      <c r="H23" s="3"/>
      <c r="I23" s="3"/>
      <c r="J23" s="3"/>
      <c r="K23" s="3"/>
    </row>
    <row r="24" spans="1:11" ht="15">
      <c r="A24" s="82" t="s">
        <v>71</v>
      </c>
      <c r="B24" s="101">
        <f>B19-B20</f>
        <v>0.10723099262789404</v>
      </c>
      <c r="C24" s="83" t="s">
        <v>72</v>
      </c>
      <c r="D24" s="3"/>
      <c r="E24" s="3"/>
      <c r="F24" s="3"/>
      <c r="G24" s="3"/>
      <c r="H24" s="3"/>
      <c r="I24" s="3"/>
      <c r="J24" s="3"/>
      <c r="K24" s="3"/>
    </row>
    <row r="25" spans="1:11" ht="15">
      <c r="A25" s="84" t="s">
        <v>73</v>
      </c>
      <c r="B25" s="95">
        <f>B24/B20</f>
        <v>1.4729531954381049E-2</v>
      </c>
      <c r="C25" s="61" t="s">
        <v>158</v>
      </c>
      <c r="D25" s="3"/>
      <c r="E25" s="3"/>
      <c r="F25" s="3"/>
      <c r="G25" s="3"/>
      <c r="H25" s="3"/>
      <c r="I25" s="3"/>
      <c r="J25" s="3"/>
      <c r="K25" s="3"/>
    </row>
    <row r="26" spans="1:11" ht="15">
      <c r="A26" s="84" t="s">
        <v>74</v>
      </c>
      <c r="B26" s="99">
        <f>B4/B5</f>
        <v>15</v>
      </c>
      <c r="C26" s="61" t="s">
        <v>75</v>
      </c>
      <c r="D26" s="3"/>
      <c r="E26" s="3"/>
      <c r="F26" s="3"/>
      <c r="G26" s="3"/>
      <c r="H26" s="3"/>
      <c r="I26" s="3"/>
      <c r="J26" s="3"/>
      <c r="K26" s="3"/>
    </row>
    <row r="27" spans="1:11" ht="16" thickBot="1">
      <c r="A27" s="88" t="s">
        <v>76</v>
      </c>
      <c r="B27" s="100">
        <f>B4/B9</f>
        <v>11.842105263157896</v>
      </c>
      <c r="C27" s="58" t="s">
        <v>77</v>
      </c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4" customHeight="1">
      <c r="A29" s="3"/>
      <c r="B29" s="3"/>
      <c r="C29" s="3"/>
      <c r="G29" s="3"/>
      <c r="H29" s="3"/>
      <c r="I29" s="3"/>
      <c r="J29" s="3"/>
      <c r="K29" s="3"/>
    </row>
    <row r="30" spans="1:11" ht="15" customHeight="1">
      <c r="H30" s="3"/>
      <c r="I30" s="3"/>
      <c r="J30" s="3"/>
      <c r="K30" s="3"/>
    </row>
    <row r="31" spans="1:11" ht="14" customHeight="1">
      <c r="H31" s="3"/>
      <c r="I31" s="3"/>
      <c r="J31" s="3"/>
      <c r="K31" s="3"/>
    </row>
    <row r="32" spans="1:11">
      <c r="H32" s="3"/>
      <c r="I32" s="3"/>
      <c r="J32" s="3"/>
      <c r="K32" s="3"/>
    </row>
    <row r="33" spans="1:11">
      <c r="H33" s="3"/>
      <c r="I33" s="3"/>
      <c r="J33" s="3"/>
      <c r="K33" s="3"/>
    </row>
    <row r="34" spans="1:11">
      <c r="H34" s="3"/>
      <c r="I34" s="3"/>
      <c r="J34" s="3"/>
      <c r="K34" s="3"/>
    </row>
    <row r="35" spans="1:11">
      <c r="H35" s="3"/>
      <c r="I35" s="3"/>
      <c r="J35" s="3"/>
      <c r="K35" s="3"/>
    </row>
    <row r="36" spans="1:11">
      <c r="H36" s="3"/>
      <c r="I36" s="3"/>
      <c r="J36" s="3"/>
      <c r="K36" s="3"/>
    </row>
    <row r="37" spans="1:11"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</row>
  </sheetData>
  <mergeCells count="3">
    <mergeCell ref="A1:C1"/>
    <mergeCell ref="E1:K1"/>
    <mergeCell ref="G2:K2"/>
  </mergeCells>
  <conditionalFormatting sqref="G4:K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MnA Comps</vt:lpstr>
      <vt:lpstr>Valuation</vt:lpstr>
      <vt:lpstr>Accretion-Dilution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Hassan</cp:lastModifiedBy>
  <dcterms:created xsi:type="dcterms:W3CDTF">2026-07-01T16:03:46Z</dcterms:created>
  <dcterms:modified xsi:type="dcterms:W3CDTF">2026-07-04T03:33:27Z</dcterms:modified>
</cp:coreProperties>
</file>