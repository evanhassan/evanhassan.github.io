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vanhassan/Downloads/Investment_Banking_Projects/proj 8/"/>
    </mc:Choice>
  </mc:AlternateContent>
  <xr:revisionPtr revIDLastSave="0" documentId="8_{68522663-C72E-9945-A8F1-0016C8A0BA12}" xr6:coauthVersionLast="47" xr6:coauthVersionMax="47" xr10:uidLastSave="{00000000-0000-0000-0000-000000000000}"/>
  <bookViews>
    <workbookView xWindow="0" yWindow="760" windowWidth="30240" windowHeight="18880" activeTab="3" xr2:uid="{982E80FF-D0AB-2B49-A827-74634290F649}"/>
  </bookViews>
  <sheets>
    <sheet name="Bojangles Financials" sheetId="5" r:id="rId1"/>
    <sheet name="Fogo De Chao Financials" sheetId="8" r:id="rId2"/>
    <sheet name="LBO" sheetId="9" r:id="rId3"/>
    <sheet name="Bojales Raw" sheetId="4" r:id="rId4"/>
    <sheet name="Fogo De Chao" sheetId="3" r:id="rId5"/>
  </sheets>
  <definedNames>
    <definedName name="BOJA___AllReports" localSheetId="3">'Bojales Raw'!$A$1:$F$166</definedName>
    <definedName name="FOGO___AllReports" localSheetId="4">'Fogo De Chao'!$A$1:$E$166</definedName>
  </definedNam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9" l="1"/>
  <c r="D12" i="9" s="1"/>
  <c r="D15" i="9" s="1"/>
  <c r="O35" i="9"/>
  <c r="P35" i="9"/>
  <c r="Q35" i="9"/>
  <c r="R35" i="9"/>
  <c r="N35" i="9"/>
  <c r="O30" i="9"/>
  <c r="P30" i="9"/>
  <c r="Q30" i="9"/>
  <c r="R30" i="9"/>
  <c r="N30" i="9"/>
  <c r="N29" i="9"/>
  <c r="R28" i="9"/>
  <c r="Q28" i="9"/>
  <c r="P28" i="9"/>
  <c r="O28" i="9"/>
  <c r="N34" i="9"/>
  <c r="O21" i="9"/>
  <c r="P21" i="9" s="1"/>
  <c r="Q21" i="9" s="1"/>
  <c r="R21" i="9" s="1"/>
  <c r="E35" i="9"/>
  <c r="F35" i="9"/>
  <c r="G35" i="9"/>
  <c r="H35" i="9"/>
  <c r="D35" i="9"/>
  <c r="D34" i="9"/>
  <c r="E30" i="9"/>
  <c r="F30" i="9"/>
  <c r="G30" i="9"/>
  <c r="H30" i="9"/>
  <c r="D30" i="9"/>
  <c r="D29" i="9"/>
  <c r="E21" i="9"/>
  <c r="F21" i="9" s="1"/>
  <c r="G21" i="9" s="1"/>
  <c r="H21" i="9" s="1"/>
  <c r="C33" i="8"/>
  <c r="D33" i="8"/>
  <c r="E33" i="8"/>
  <c r="F33" i="8"/>
  <c r="D32" i="8"/>
  <c r="E32" i="8"/>
  <c r="F32" i="8"/>
  <c r="C32" i="8"/>
  <c r="D33" i="5"/>
  <c r="E33" i="5"/>
  <c r="F33" i="5"/>
  <c r="G33" i="5"/>
  <c r="C33" i="5"/>
  <c r="D32" i="5"/>
  <c r="E32" i="5"/>
  <c r="F32" i="5"/>
  <c r="G32" i="5"/>
  <c r="C32" i="5"/>
  <c r="H16" i="9"/>
  <c r="H9" i="9" s="1"/>
  <c r="I9" i="9" s="1"/>
  <c r="R16" i="9"/>
  <c r="R9" i="9" s="1"/>
  <c r="S9" i="9" s="1"/>
  <c r="N12" i="9"/>
  <c r="N15" i="9" s="1"/>
  <c r="C15" i="8"/>
  <c r="C18" i="8"/>
  <c r="C19" i="8"/>
  <c r="C20" i="8"/>
  <c r="C21" i="8"/>
  <c r="C22" i="8"/>
  <c r="C23" i="8"/>
  <c r="C24" i="8"/>
  <c r="C26" i="8"/>
  <c r="C27" i="8"/>
  <c r="D49" i="8"/>
  <c r="E49" i="8" s="1"/>
  <c r="F49" i="8" s="1"/>
  <c r="G49" i="8" s="1"/>
  <c r="H49" i="8" s="1"/>
  <c r="I49" i="8" s="1"/>
  <c r="J49" i="8" s="1"/>
  <c r="K49" i="8" s="1"/>
  <c r="F27" i="8"/>
  <c r="E27" i="8"/>
  <c r="D27" i="8"/>
  <c r="F26" i="8"/>
  <c r="E26" i="8"/>
  <c r="D26" i="8"/>
  <c r="F24" i="8"/>
  <c r="E24" i="8"/>
  <c r="D24" i="8"/>
  <c r="F23" i="8"/>
  <c r="E23" i="8"/>
  <c r="D23" i="8"/>
  <c r="F22" i="8"/>
  <c r="E22" i="8"/>
  <c r="D22" i="8"/>
  <c r="F21" i="8"/>
  <c r="E21" i="8"/>
  <c r="D21" i="8"/>
  <c r="F20" i="8"/>
  <c r="E20" i="8"/>
  <c r="D20" i="8"/>
  <c r="F19" i="8"/>
  <c r="E19" i="8"/>
  <c r="D19" i="8"/>
  <c r="F18" i="8"/>
  <c r="E18" i="8"/>
  <c r="D18" i="8"/>
  <c r="F15" i="8"/>
  <c r="G15" i="8" s="1"/>
  <c r="G33" i="8" s="1"/>
  <c r="N28" i="9" s="1"/>
  <c r="E15" i="8"/>
  <c r="D15" i="8"/>
  <c r="K16" i="8"/>
  <c r="J16" i="8"/>
  <c r="I16" i="8"/>
  <c r="H16" i="8"/>
  <c r="G16" i="8"/>
  <c r="G12" i="8"/>
  <c r="H12" i="8" s="1"/>
  <c r="I12" i="8" s="1"/>
  <c r="J12" i="8" s="1"/>
  <c r="K12" i="8" s="1"/>
  <c r="I16" i="5"/>
  <c r="I33" i="5" s="1"/>
  <c r="E28" i="9" s="1"/>
  <c r="J16" i="5"/>
  <c r="J33" i="5" s="1"/>
  <c r="F28" i="9" s="1"/>
  <c r="K16" i="5"/>
  <c r="K33" i="5" s="1"/>
  <c r="G28" i="9" s="1"/>
  <c r="L16" i="5"/>
  <c r="L33" i="5" s="1"/>
  <c r="H28" i="9" s="1"/>
  <c r="H16" i="5"/>
  <c r="H33" i="5" s="1"/>
  <c r="D28" i="9" s="1"/>
  <c r="D23" i="5"/>
  <c r="E23" i="5"/>
  <c r="F23" i="5"/>
  <c r="G23" i="5"/>
  <c r="C23" i="5"/>
  <c r="D49" i="5"/>
  <c r="E49" i="5" s="1"/>
  <c r="F49" i="5" s="1"/>
  <c r="G49" i="5" s="1"/>
  <c r="H49" i="5" s="1"/>
  <c r="I49" i="5" s="1"/>
  <c r="J49" i="5" s="1"/>
  <c r="K49" i="5" s="1"/>
  <c r="L49" i="5" s="1"/>
  <c r="H12" i="5"/>
  <c r="I12" i="5" s="1"/>
  <c r="J12" i="5" s="1"/>
  <c r="K12" i="5" s="1"/>
  <c r="L12" i="5" s="1"/>
  <c r="C24" i="5"/>
  <c r="D24" i="5"/>
  <c r="E24" i="5"/>
  <c r="F24" i="5"/>
  <c r="G24" i="5"/>
  <c r="D15" i="5"/>
  <c r="E15" i="5"/>
  <c r="F15" i="5"/>
  <c r="G15" i="5"/>
  <c r="H15" i="5" s="1"/>
  <c r="I15" i="5" s="1"/>
  <c r="J15" i="5" s="1"/>
  <c r="K15" i="5" s="1"/>
  <c r="L15" i="5" s="1"/>
  <c r="L24" i="5" s="1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6" i="5"/>
  <c r="E26" i="5"/>
  <c r="F26" i="5"/>
  <c r="G26" i="5"/>
  <c r="D27" i="5"/>
  <c r="E27" i="5"/>
  <c r="F27" i="5"/>
  <c r="G27" i="5"/>
  <c r="C18" i="5"/>
  <c r="C19" i="5"/>
  <c r="C20" i="5"/>
  <c r="C21" i="5"/>
  <c r="C22" i="5"/>
  <c r="C26" i="5"/>
  <c r="C27" i="5"/>
  <c r="C15" i="5"/>
  <c r="R29" i="9" l="1"/>
  <c r="Q29" i="9"/>
  <c r="P29" i="9"/>
  <c r="O29" i="9"/>
  <c r="N23" i="9"/>
  <c r="N31" i="9"/>
  <c r="H29" i="9"/>
  <c r="G29" i="9"/>
  <c r="F29" i="9"/>
  <c r="E29" i="9"/>
  <c r="H23" i="9"/>
  <c r="F23" i="9"/>
  <c r="G23" i="9"/>
  <c r="E23" i="9"/>
  <c r="D23" i="9"/>
  <c r="I8" i="9"/>
  <c r="S8" i="9"/>
  <c r="E46" i="8"/>
  <c r="D46" i="8"/>
  <c r="F46" i="8"/>
  <c r="C46" i="8"/>
  <c r="G46" i="5"/>
  <c r="F46" i="5"/>
  <c r="E46" i="5"/>
  <c r="D46" i="5"/>
  <c r="C46" i="5"/>
  <c r="C39" i="8"/>
  <c r="C43" i="8"/>
  <c r="C28" i="8"/>
  <c r="C41" i="8"/>
  <c r="C40" i="8"/>
  <c r="C29" i="8"/>
  <c r="C30" i="8" s="1"/>
  <c r="C42" i="8"/>
  <c r="D38" i="8"/>
  <c r="D16" i="8" s="1"/>
  <c r="E42" i="8"/>
  <c r="F43" i="8"/>
  <c r="I43" i="8" s="1"/>
  <c r="F39" i="8"/>
  <c r="K39" i="8" s="1"/>
  <c r="D41" i="8"/>
  <c r="E41" i="8"/>
  <c r="F41" i="8"/>
  <c r="K41" i="8" s="1"/>
  <c r="F38" i="8"/>
  <c r="F16" i="8" s="1"/>
  <c r="F42" i="8"/>
  <c r="K42" i="8" s="1"/>
  <c r="E39" i="8"/>
  <c r="E43" i="8"/>
  <c r="F40" i="8"/>
  <c r="K40" i="8" s="1"/>
  <c r="E40" i="8"/>
  <c r="E29" i="8"/>
  <c r="E30" i="8" s="1"/>
  <c r="F28" i="8"/>
  <c r="E38" i="8"/>
  <c r="E16" i="8" s="1"/>
  <c r="D39" i="8"/>
  <c r="D40" i="8"/>
  <c r="D42" i="8"/>
  <c r="D43" i="8"/>
  <c r="D29" i="8"/>
  <c r="D30" i="8" s="1"/>
  <c r="G24" i="8"/>
  <c r="H15" i="8"/>
  <c r="O23" i="9" s="1"/>
  <c r="D28" i="8"/>
  <c r="E28" i="8"/>
  <c r="F29" i="8"/>
  <c r="G29" i="5"/>
  <c r="E29" i="5"/>
  <c r="E30" i="5" s="1"/>
  <c r="F29" i="5"/>
  <c r="F30" i="5" s="1"/>
  <c r="D29" i="5"/>
  <c r="D30" i="5" s="1"/>
  <c r="C29" i="5"/>
  <c r="G28" i="5"/>
  <c r="F28" i="5"/>
  <c r="E28" i="5"/>
  <c r="D28" i="5"/>
  <c r="C28" i="5"/>
  <c r="D42" i="5"/>
  <c r="K24" i="5"/>
  <c r="J24" i="5"/>
  <c r="I24" i="5"/>
  <c r="H24" i="5"/>
  <c r="G42" i="5"/>
  <c r="H42" i="5" s="1"/>
  <c r="H22" i="5" s="1"/>
  <c r="D26" i="9" s="1"/>
  <c r="G43" i="5"/>
  <c r="F43" i="5"/>
  <c r="F42" i="5"/>
  <c r="E43" i="5"/>
  <c r="D43" i="5"/>
  <c r="C43" i="5"/>
  <c r="E42" i="5"/>
  <c r="C42" i="5"/>
  <c r="E38" i="5"/>
  <c r="E16" i="5" s="1"/>
  <c r="G38" i="5"/>
  <c r="G16" i="5" s="1"/>
  <c r="F38" i="5"/>
  <c r="F16" i="5" s="1"/>
  <c r="D38" i="5"/>
  <c r="D16" i="5" s="1"/>
  <c r="E41" i="5"/>
  <c r="C41" i="5"/>
  <c r="G41" i="5"/>
  <c r="F41" i="5"/>
  <c r="D41" i="5"/>
  <c r="E39" i="5"/>
  <c r="D39" i="5"/>
  <c r="G39" i="5"/>
  <c r="C39" i="5"/>
  <c r="F39" i="5"/>
  <c r="F40" i="5"/>
  <c r="C40" i="5"/>
  <c r="E40" i="5"/>
  <c r="D40" i="5"/>
  <c r="G40" i="5"/>
  <c r="H33" i="8" l="1"/>
  <c r="D31" i="9"/>
  <c r="H46" i="8"/>
  <c r="H32" i="8" s="1"/>
  <c r="O27" i="9" s="1"/>
  <c r="I46" i="8"/>
  <c r="J46" i="8"/>
  <c r="K46" i="8"/>
  <c r="G46" i="8"/>
  <c r="G32" i="8" s="1"/>
  <c r="N27" i="9" s="1"/>
  <c r="I46" i="5"/>
  <c r="I32" i="5" s="1"/>
  <c r="E27" i="9" s="1"/>
  <c r="J46" i="5"/>
  <c r="J32" i="5" s="1"/>
  <c r="F27" i="9" s="1"/>
  <c r="K46" i="5"/>
  <c r="K32" i="5" s="1"/>
  <c r="G27" i="9" s="1"/>
  <c r="L46" i="5"/>
  <c r="L32" i="5" s="1"/>
  <c r="H27" i="9" s="1"/>
  <c r="H46" i="5"/>
  <c r="H32" i="5" s="1"/>
  <c r="D27" i="9" s="1"/>
  <c r="F30" i="8"/>
  <c r="G30" i="5"/>
  <c r="H43" i="8"/>
  <c r="H23" i="8" s="1"/>
  <c r="G43" i="8"/>
  <c r="G23" i="8" s="1"/>
  <c r="E58" i="5"/>
  <c r="D52" i="8"/>
  <c r="J43" i="8"/>
  <c r="C30" i="5"/>
  <c r="K43" i="8"/>
  <c r="H39" i="8"/>
  <c r="H18" i="8" s="1"/>
  <c r="H19" i="8" s="1"/>
  <c r="G39" i="8"/>
  <c r="G18" i="8" s="1"/>
  <c r="G19" i="8" s="1"/>
  <c r="J39" i="8"/>
  <c r="H41" i="8"/>
  <c r="H21" i="8" s="1"/>
  <c r="I39" i="8"/>
  <c r="H40" i="8"/>
  <c r="H20" i="8" s="1"/>
  <c r="J41" i="8"/>
  <c r="J40" i="8"/>
  <c r="G41" i="8"/>
  <c r="G21" i="8" s="1"/>
  <c r="I41" i="8"/>
  <c r="I40" i="8"/>
  <c r="G42" i="8"/>
  <c r="G22" i="8" s="1"/>
  <c r="N26" i="9" s="1"/>
  <c r="I42" i="8"/>
  <c r="G40" i="8"/>
  <c r="G20" i="8" s="1"/>
  <c r="J42" i="8"/>
  <c r="H42" i="8"/>
  <c r="H22" i="8" s="1"/>
  <c r="O26" i="9" s="1"/>
  <c r="H24" i="8"/>
  <c r="I15" i="8"/>
  <c r="P23" i="9" s="1"/>
  <c r="I43" i="5"/>
  <c r="I23" i="5" s="1"/>
  <c r="J43" i="5"/>
  <c r="J23" i="5" s="1"/>
  <c r="K43" i="5"/>
  <c r="K23" i="5" s="1"/>
  <c r="L43" i="5"/>
  <c r="L23" i="5" s="1"/>
  <c r="H43" i="5"/>
  <c r="H23" i="5" s="1"/>
  <c r="I42" i="5"/>
  <c r="I22" i="5" s="1"/>
  <c r="E26" i="9" s="1"/>
  <c r="J42" i="5"/>
  <c r="J22" i="5" s="1"/>
  <c r="F26" i="9" s="1"/>
  <c r="K42" i="5"/>
  <c r="K22" i="5" s="1"/>
  <c r="G26" i="9" s="1"/>
  <c r="L42" i="5"/>
  <c r="L22" i="5" s="1"/>
  <c r="H26" i="9" s="1"/>
  <c r="I40" i="5"/>
  <c r="I20" i="5" s="1"/>
  <c r="J40" i="5"/>
  <c r="J20" i="5" s="1"/>
  <c r="K40" i="5"/>
  <c r="K20" i="5" s="1"/>
  <c r="L40" i="5"/>
  <c r="L20" i="5" s="1"/>
  <c r="H40" i="5"/>
  <c r="H20" i="5" s="1"/>
  <c r="I39" i="5"/>
  <c r="I18" i="5" s="1"/>
  <c r="J39" i="5"/>
  <c r="J18" i="5" s="1"/>
  <c r="K39" i="5"/>
  <c r="K18" i="5" s="1"/>
  <c r="L39" i="5"/>
  <c r="L18" i="5" s="1"/>
  <c r="H39" i="5"/>
  <c r="H18" i="5" s="1"/>
  <c r="I41" i="5"/>
  <c r="I21" i="5" s="1"/>
  <c r="J41" i="5"/>
  <c r="J21" i="5" s="1"/>
  <c r="K41" i="5"/>
  <c r="K21" i="5" s="1"/>
  <c r="L41" i="5"/>
  <c r="L21" i="5" s="1"/>
  <c r="H41" i="5"/>
  <c r="H21" i="5" s="1"/>
  <c r="I33" i="8" l="1"/>
  <c r="I32" i="8"/>
  <c r="P27" i="9" s="1"/>
  <c r="I20" i="8"/>
  <c r="G26" i="8"/>
  <c r="G27" i="8" s="1"/>
  <c r="G29" i="8" s="1"/>
  <c r="I18" i="8"/>
  <c r="I19" i="8" s="1"/>
  <c r="I22" i="8"/>
  <c r="P26" i="9" s="1"/>
  <c r="I21" i="8"/>
  <c r="H26" i="8"/>
  <c r="H27" i="8" s="1"/>
  <c r="H29" i="8" s="1"/>
  <c r="O24" i="9" s="1"/>
  <c r="J15" i="8"/>
  <c r="Q23" i="9" s="1"/>
  <c r="I24" i="8"/>
  <c r="I23" i="8"/>
  <c r="K26" i="5"/>
  <c r="K27" i="5" s="1"/>
  <c r="J26" i="5"/>
  <c r="J27" i="5" s="1"/>
  <c r="L26" i="5"/>
  <c r="L27" i="5" s="1"/>
  <c r="I26" i="5"/>
  <c r="I27" i="5" s="1"/>
  <c r="H26" i="5"/>
  <c r="H27" i="5" s="1"/>
  <c r="L19" i="5"/>
  <c r="K19" i="5"/>
  <c r="J19" i="5"/>
  <c r="I19" i="5"/>
  <c r="H19" i="5"/>
  <c r="G30" i="8" l="1"/>
  <c r="N24" i="9"/>
  <c r="N25" i="9" s="1"/>
  <c r="H30" i="8"/>
  <c r="J33" i="8"/>
  <c r="J32" i="8"/>
  <c r="Q27" i="9" s="1"/>
  <c r="G28" i="8"/>
  <c r="H28" i="8"/>
  <c r="I26" i="8"/>
  <c r="I27" i="8" s="1"/>
  <c r="I29" i="8" s="1"/>
  <c r="P24" i="9" s="1"/>
  <c r="K15" i="8"/>
  <c r="R23" i="9" s="1"/>
  <c r="J24" i="8"/>
  <c r="J23" i="8"/>
  <c r="J22" i="8"/>
  <c r="Q26" i="9" s="1"/>
  <c r="J18" i="8"/>
  <c r="J21" i="8"/>
  <c r="J20" i="8"/>
  <c r="H28" i="5"/>
  <c r="H29" i="5"/>
  <c r="I28" i="5"/>
  <c r="I29" i="5"/>
  <c r="E24" i="9" s="1"/>
  <c r="E25" i="9" s="1"/>
  <c r="L28" i="5"/>
  <c r="L29" i="5"/>
  <c r="H24" i="9" s="1"/>
  <c r="D39" i="9" s="1"/>
  <c r="J28" i="5"/>
  <c r="J29" i="5"/>
  <c r="F24" i="9" s="1"/>
  <c r="F25" i="9" s="1"/>
  <c r="K28" i="5"/>
  <c r="K29" i="5"/>
  <c r="G24" i="9" s="1"/>
  <c r="G25" i="9" s="1"/>
  <c r="N32" i="9" l="1"/>
  <c r="I30" i="8"/>
  <c r="O25" i="9"/>
  <c r="K33" i="8"/>
  <c r="H25" i="9"/>
  <c r="I30" i="5"/>
  <c r="K30" i="5"/>
  <c r="J30" i="5"/>
  <c r="L30" i="5"/>
  <c r="H30" i="5"/>
  <c r="D24" i="9"/>
  <c r="D25" i="9" s="1"/>
  <c r="K32" i="8"/>
  <c r="R27" i="9" s="1"/>
  <c r="I28" i="8"/>
  <c r="J26" i="8"/>
  <c r="J27" i="8" s="1"/>
  <c r="K24" i="8"/>
  <c r="K20" i="8"/>
  <c r="K21" i="8"/>
  <c r="K22" i="8"/>
  <c r="R26" i="9" s="1"/>
  <c r="K18" i="8"/>
  <c r="K23" i="8"/>
  <c r="J19" i="8"/>
  <c r="N36" i="9" l="1"/>
  <c r="N37" i="9" s="1"/>
  <c r="D32" i="9"/>
  <c r="D36" i="9" s="1"/>
  <c r="D37" i="9" s="1"/>
  <c r="E34" i="9" s="1"/>
  <c r="E31" i="9" s="1"/>
  <c r="E32" i="9" s="1"/>
  <c r="K26" i="8"/>
  <c r="K27" i="8" s="1"/>
  <c r="K29" i="8" s="1"/>
  <c r="R24" i="9" s="1"/>
  <c r="K19" i="8"/>
  <c r="J29" i="8"/>
  <c r="Q24" i="9" s="1"/>
  <c r="J28" i="8"/>
  <c r="O34" i="9" l="1"/>
  <c r="E36" i="9"/>
  <c r="E37" i="9" s="1"/>
  <c r="F34" i="9" s="1"/>
  <c r="F31" i="9" s="1"/>
  <c r="F32" i="9" s="1"/>
  <c r="N39" i="9"/>
  <c r="R25" i="9"/>
  <c r="J30" i="8"/>
  <c r="P25" i="9"/>
  <c r="K30" i="8"/>
  <c r="Q25" i="9"/>
  <c r="K28" i="8"/>
  <c r="O31" i="9" l="1"/>
  <c r="O32" i="9" s="1"/>
  <c r="O36" i="9" s="1"/>
  <c r="O37" i="9" s="1"/>
  <c r="F36" i="9"/>
  <c r="F37" i="9" s="1"/>
  <c r="G34" i="9" s="1"/>
  <c r="G31" i="9" s="1"/>
  <c r="G32" i="9" s="1"/>
  <c r="P34" i="9" l="1"/>
  <c r="G36" i="9"/>
  <c r="G37" i="9" s="1"/>
  <c r="H34" i="9" s="1"/>
  <c r="H31" i="9" s="1"/>
  <c r="H32" i="9" s="1"/>
  <c r="P31" i="9" l="1"/>
  <c r="P32" i="9" s="1"/>
  <c r="P36" i="9" s="1"/>
  <c r="P37" i="9" s="1"/>
  <c r="H36" i="9"/>
  <c r="H37" i="9" s="1"/>
  <c r="D40" i="9" s="1"/>
  <c r="Q34" i="9" l="1"/>
  <c r="D43" i="9"/>
  <c r="D42" i="9"/>
  <c r="Q31" i="9" l="1"/>
  <c r="Q32" i="9" s="1"/>
  <c r="Q36" i="9" s="1"/>
  <c r="Q37" i="9" s="1"/>
  <c r="R34" i="9" l="1"/>
  <c r="R31" i="9" l="1"/>
  <c r="R32" i="9" s="1"/>
  <c r="R36" i="9" s="1"/>
  <c r="R37" i="9" l="1"/>
  <c r="N40" i="9" s="1"/>
  <c r="N43" i="9" l="1"/>
  <c r="N4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9228B3-C6E0-D049-ADC2-DFB26C89F98E}" name="BOJA - AllReports" type="6" refreshedVersion="8" background="1" saveData="1">
    <textPr codePage="65001" sourceFile="/Users/evanhassan/Downloads/BOJA - AllReports.csv" tab="0" comma="1">
      <textFields count="6">
        <textField/>
        <textField/>
        <textField/>
        <textField/>
        <textField/>
        <textField/>
      </textFields>
    </textPr>
  </connection>
  <connection id="2" xr16:uid="{19C55489-16D2-BF4C-8EC4-6C289276B348}" name="FOGO - AllReports" type="6" refreshedVersion="8" background="1" saveData="1">
    <textPr codePage="65001" sourceFile="/Users/evanhassan/Downloads/FOGO - AllReports.csv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<sst xmlns="http://schemas.openxmlformats.org/spreadsheetml/2006/main" count="567" uniqueCount="215">
  <si>
    <t>Income Statement - Annual (As Originally Reported)</t>
  </si>
  <si>
    <t>FYE December</t>
  </si>
  <si>
    <t>Currency</t>
  </si>
  <si>
    <t>USD</t>
  </si>
  <si>
    <t>Scale</t>
  </si>
  <si>
    <t>Million</t>
  </si>
  <si>
    <t>Total Revenue</t>
  </si>
  <si>
    <t xml:space="preserve">    Cost of Revenue, Total</t>
  </si>
  <si>
    <t>Gross Profit</t>
  </si>
  <si>
    <t xml:space="preserve">    Selling/General/Admin. Expenses, Total</t>
  </si>
  <si>
    <t xml:space="preserve">    Research &amp; Development</t>
  </si>
  <si>
    <t xml:space="preserve">    Depreciation/Amortization</t>
  </si>
  <si>
    <t xml:space="preserve">    Interest Exp.(Inc.), Net-Operating, Total</t>
  </si>
  <si>
    <t xml:space="preserve">    Unusual Expense (Income)</t>
  </si>
  <si>
    <t xml:space="preserve">    Other Operating Expenses, Total</t>
  </si>
  <si>
    <t>Total Operating Expense</t>
  </si>
  <si>
    <t>Operating Income</t>
  </si>
  <si>
    <t xml:space="preserve">    Interest Inc.(Exp.),Net-Non-Op., Total</t>
  </si>
  <si>
    <t xml:space="preserve">    Gain (Loss) on Sale of Assets</t>
  </si>
  <si>
    <t xml:space="preserve">    Other, Net</t>
  </si>
  <si>
    <t>Net Income Before Taxes</t>
  </si>
  <si>
    <t xml:space="preserve">    Provision for Income Taxes</t>
  </si>
  <si>
    <t>Net Income</t>
  </si>
  <si>
    <t>Preferred Dividends</t>
  </si>
  <si>
    <t>Basic EPS Excluding Extraordinary Items</t>
  </si>
  <si>
    <t>Basic EPS Including Extraordinary Items</t>
  </si>
  <si>
    <t>Normalized Basic EPS</t>
  </si>
  <si>
    <t>Basic Weighted Average Shares</t>
  </si>
  <si>
    <t>Diluted EPS Excluding ExtraOrd Items</t>
  </si>
  <si>
    <t>Diluted EPS Including ExtraOrd Items</t>
  </si>
  <si>
    <t>Normalized Diluted EPS</t>
  </si>
  <si>
    <t>Diluted Weighted Average Shares</t>
  </si>
  <si>
    <t>Dividends Per Share</t>
  </si>
  <si>
    <t>Number of Employees</t>
  </si>
  <si>
    <t>Balance Sheet - Annual (As Originally Reported)</t>
  </si>
  <si>
    <t xml:space="preserve">    Cash &amp; Equivalents</t>
  </si>
  <si>
    <t>Cash, Cash Equiv. &amp; Short Term Inv.</t>
  </si>
  <si>
    <t>Total Receivables, Net</t>
  </si>
  <si>
    <t>Total Inventory</t>
  </si>
  <si>
    <t>Prepaid Expenses</t>
  </si>
  <si>
    <t>Other Current Assets, Total</t>
  </si>
  <si>
    <t>Total Current Assets</t>
  </si>
  <si>
    <t xml:space="preserve">    Property/Plant/Equipment, Total - Gross</t>
  </si>
  <si>
    <t xml:space="preserve">    Accumulated Depreciation, Total</t>
  </si>
  <si>
    <t>Property/Plant/Equipment, Total - Net</t>
  </si>
  <si>
    <t>Goodwill, Net</t>
  </si>
  <si>
    <t>Intangibles, Net</t>
  </si>
  <si>
    <t>Long Term Investments</t>
  </si>
  <si>
    <t>Note Receivable - Long Term</t>
  </si>
  <si>
    <t>Other Long Term Assets, Total</t>
  </si>
  <si>
    <t>Other Assets, Total</t>
  </si>
  <si>
    <t>Total Assets</t>
  </si>
  <si>
    <t>Accounts Payable</t>
  </si>
  <si>
    <t>Payable/Accrued</t>
  </si>
  <si>
    <t>Accrued Expenses</t>
  </si>
  <si>
    <t>Current Port. of  LT Debt/Capital Leases</t>
  </si>
  <si>
    <t>Notes Payable/Short Term Debt</t>
  </si>
  <si>
    <t>Other Current Liabilities, Total</t>
  </si>
  <si>
    <t>Total Current Liabilities</t>
  </si>
  <si>
    <t xml:space="preserve">    Long Term Debt</t>
  </si>
  <si>
    <t xml:space="preserve">    Capital Lease Obligations</t>
  </si>
  <si>
    <t>Total Long Term Debt</t>
  </si>
  <si>
    <t>Deferred Income Tax</t>
  </si>
  <si>
    <t>Other Liabilities, Total</t>
  </si>
  <si>
    <t>Minority Interest</t>
  </si>
  <si>
    <t>Total Liabilities</t>
  </si>
  <si>
    <t>Redeemable Preferred Stock, Total</t>
  </si>
  <si>
    <t>Preferred Stock - Non Redeemable, Net</t>
  </si>
  <si>
    <t>Limited Partner</t>
  </si>
  <si>
    <t>Common Stock</t>
  </si>
  <si>
    <t>Additional Paid-In Capital</t>
  </si>
  <si>
    <t>Retained Earnings (Accumulated Deficit)</t>
  </si>
  <si>
    <t>Treasury Stock - Common</t>
  </si>
  <si>
    <t>ESOP Debt Guarantee</t>
  </si>
  <si>
    <t>Unrealized Gain (Loss)</t>
  </si>
  <si>
    <t>Other Equity, Total</t>
  </si>
  <si>
    <t>Total Equity</t>
  </si>
  <si>
    <t>Total Liabilities &amp; Shareholders' Equity</t>
  </si>
  <si>
    <t>Total Common Shares Outstanding</t>
  </si>
  <si>
    <t>Cash Flow - Annual (As Originally Reported)</t>
  </si>
  <si>
    <t>Changes in Working Capital</t>
  </si>
  <si>
    <t>Cash from Operating Activities</t>
  </si>
  <si>
    <t>Capital Expenditures</t>
  </si>
  <si>
    <t>Investment, Net</t>
  </si>
  <si>
    <t>Software Development Costs</t>
  </si>
  <si>
    <t>Sale of Fixed Assets</t>
  </si>
  <si>
    <t>Acquisition of Business</t>
  </si>
  <si>
    <t>Sale/Maturity of Investment</t>
  </si>
  <si>
    <t>Other Investing Cash Flow Items, Total</t>
  </si>
  <si>
    <t>Cash from Investing Activities</t>
  </si>
  <si>
    <t>Short Term Debt, Net</t>
  </si>
  <si>
    <t>Issuance (Retirement) of Debt, Net</t>
  </si>
  <si>
    <t>Issuance (Retirement) of Stock, Net</t>
  </si>
  <si>
    <t>Total Cash Dividends Paid</t>
  </si>
  <si>
    <t>Cash from Financing Activities</t>
  </si>
  <si>
    <t>Foreign Exchange Effects</t>
  </si>
  <si>
    <t>Net Change in Cash</t>
  </si>
  <si>
    <t>Net Cash - Beginning Balance</t>
  </si>
  <si>
    <t>Net Cash - Ending Balance</t>
  </si>
  <si>
    <t>Ratio Analysis - Annual (As Originally Reported)</t>
  </si>
  <si>
    <t>Profitability</t>
  </si>
  <si>
    <t>Gross Margin</t>
  </si>
  <si>
    <t>Operating Margin</t>
  </si>
  <si>
    <t>Pretax Margin</t>
  </si>
  <si>
    <t>Effective Tax Rate</t>
  </si>
  <si>
    <t>Net Profit Margin</t>
  </si>
  <si>
    <t>Normalized EBIT</t>
  </si>
  <si>
    <t>Normalized EBITDA</t>
  </si>
  <si>
    <t>EBITDA Margin %</t>
  </si>
  <si>
    <t>Management Effectiveness</t>
  </si>
  <si>
    <t>Normalized Return on Equity % TTM</t>
  </si>
  <si>
    <t>Normalized Return on Capital % TTM</t>
  </si>
  <si>
    <t>Normalized Return on Assets % TTM</t>
  </si>
  <si>
    <t>Financial Strength</t>
  </si>
  <si>
    <t>Total Current Assets less Inventory</t>
  </si>
  <si>
    <t>Quick Ratio</t>
  </si>
  <si>
    <t>Current Ratio</t>
  </si>
  <si>
    <t>Net Debt</t>
  </si>
  <si>
    <t>Long Term Debt / Equity %</t>
  </si>
  <si>
    <t>Long Term Debt / Capital %</t>
  </si>
  <si>
    <t>Net Debt / Equity %</t>
  </si>
  <si>
    <t>Total Debt / Total Equity %</t>
  </si>
  <si>
    <t>Total Debt / Total Capital %</t>
  </si>
  <si>
    <t>Total Debt / Assets %</t>
  </si>
  <si>
    <t>Interest Coverage</t>
  </si>
  <si>
    <t>Financial Leverage Ratio</t>
  </si>
  <si>
    <t>Efficiency</t>
  </si>
  <si>
    <t>Days Inventory (DOH)</t>
  </si>
  <si>
    <t>Days Receivable (DSO)</t>
  </si>
  <si>
    <t>Days Payable (DP)</t>
  </si>
  <si>
    <t>Cash Cycle (DOH+DSO-DP)</t>
  </si>
  <si>
    <t>Asset Turnover TTM</t>
  </si>
  <si>
    <t>Receivables Turnover TTM</t>
  </si>
  <si>
    <t>Inventory Turnover TTM</t>
  </si>
  <si>
    <t>Payables Turnover TTM</t>
  </si>
  <si>
    <t>Sales / Inventory TTM</t>
  </si>
  <si>
    <t>Sales / Working Capital TTM</t>
  </si>
  <si>
    <t>Sales / Cash TTM</t>
  </si>
  <si>
    <t>Sales / Fixed Assets TTM</t>
  </si>
  <si>
    <t>Miscellaneous</t>
  </si>
  <si>
    <t>Free Cash Flow TTM</t>
  </si>
  <si>
    <t>Free Cash Flow Per Share TTM</t>
  </si>
  <si>
    <t>Book Value Per Share</t>
  </si>
  <si>
    <t>Tangible Book Value</t>
  </si>
  <si>
    <t>Tangible Book Value per Share</t>
  </si>
  <si>
    <t>Bank Total Revenue</t>
  </si>
  <si>
    <t>Year-over-year growth</t>
  </si>
  <si>
    <t>EBITDA</t>
  </si>
  <si>
    <t>EBITDA Margin</t>
  </si>
  <si>
    <t>Key Model Drivers</t>
  </si>
  <si>
    <t>Cost of revenue (% Revenue)</t>
  </si>
  <si>
    <t>SG&amp;A (% of Revenue)</t>
  </si>
  <si>
    <t>R&amp;D (% of Revenue)</t>
  </si>
  <si>
    <t>D&amp;A (% of Revenue)</t>
  </si>
  <si>
    <t>Unusual Expense (% of Revenue)</t>
  </si>
  <si>
    <t>Cash Flow Drivers</t>
  </si>
  <si>
    <t>CapEx(% of revenue)</t>
  </si>
  <si>
    <t>NWC (% of revenue)</t>
  </si>
  <si>
    <t>Tax Rate</t>
  </si>
  <si>
    <t>YoY Growth</t>
  </si>
  <si>
    <t>see writeup</t>
  </si>
  <si>
    <t>Consolidated Financials</t>
  </si>
  <si>
    <t>Actual</t>
  </si>
  <si>
    <t>Controlled Scenario "Forecast"</t>
  </si>
  <si>
    <t xml:space="preserve">USD </t>
  </si>
  <si>
    <t>note: the numbers used in this company are not reflective of what I believe will actually happen. I used identical projections to see how LBO returns differ for both.</t>
  </si>
  <si>
    <t>income Statement Driver</t>
  </si>
  <si>
    <t>(held constant)</t>
  </si>
  <si>
    <t>Bojangles' Inc (BOJA)</t>
  </si>
  <si>
    <t>Bojangles</t>
  </si>
  <si>
    <t>Fogo De Chao Inc (FOGO)</t>
  </si>
  <si>
    <t>($MM)</t>
  </si>
  <si>
    <t>Assumptions</t>
  </si>
  <si>
    <t>Revenue</t>
  </si>
  <si>
    <t>Change in NWC</t>
  </si>
  <si>
    <t>Cash Tax Rate</t>
  </si>
  <si>
    <t>Interest Rate</t>
  </si>
  <si>
    <t>Mandatory Amortization (% Initial Debt)</t>
  </si>
  <si>
    <t>Cash Sweep</t>
  </si>
  <si>
    <t>Existing Net debt</t>
  </si>
  <si>
    <t>Exit Multiple</t>
  </si>
  <si>
    <t>Entry Ebitda</t>
  </si>
  <si>
    <t>Equity Purchase Price</t>
  </si>
  <si>
    <t>EV / Ebitda</t>
  </si>
  <si>
    <t xml:space="preserve">Entry  </t>
  </si>
  <si>
    <t xml:space="preserve">Exit  </t>
  </si>
  <si>
    <t>Sources</t>
  </si>
  <si>
    <t>Uses</t>
  </si>
  <si>
    <t>Net Debt Refinanced</t>
  </si>
  <si>
    <t>Other Fees</t>
  </si>
  <si>
    <t>Equity Value</t>
  </si>
  <si>
    <t>Debt</t>
  </si>
  <si>
    <t>Total Uses:</t>
  </si>
  <si>
    <t>Sponsor Equity</t>
  </si>
  <si>
    <t>Historical &amp; "Forecast"</t>
  </si>
  <si>
    <t>Bojangles LBO</t>
  </si>
  <si>
    <t>Fogo De Chao LBO</t>
  </si>
  <si>
    <t>Forecast</t>
  </si>
  <si>
    <t xml:space="preserve">EBITDA </t>
  </si>
  <si>
    <t>D&amp;A</t>
  </si>
  <si>
    <t>CapEx</t>
  </si>
  <si>
    <t>Cash Interest</t>
  </si>
  <si>
    <t>Levered Free Cash Flow</t>
  </si>
  <si>
    <t>Beginning Debt</t>
  </si>
  <si>
    <t>Mandatory Amoritization</t>
  </si>
  <si>
    <t>Ending Debt</t>
  </si>
  <si>
    <t>Exit Enterprise value</t>
  </si>
  <si>
    <t>Exit Equity Value</t>
  </si>
  <si>
    <t>IRR</t>
  </si>
  <si>
    <t>MOIC</t>
  </si>
  <si>
    <t>Cash Sweep Paydown</t>
  </si>
  <si>
    <t>Mandatory Amortization</t>
  </si>
  <si>
    <t>(see writeup)</t>
  </si>
  <si>
    <t>Fogo De Chão</t>
  </si>
  <si>
    <t xml:space="preserve">EV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</si>
</sst>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.0;[Red]\(\$#,##0.0\);\-"/>
    <numFmt numFmtId="165" formatCode="0.0\x;[Red]\(0.0\x\);\-"/>
    <numFmt numFmtId="166" formatCode="#,##0;[Red]\(#,##0\);\-"/>
    <numFmt numFmtId="172" formatCode="0.0%"/>
    <numFmt numFmtId="177" formatCode="0.0"/>
    <numFmt numFmtId="178" formatCode="#,##0.0;[Red]\(#,##0.0\);\-"/>
    <numFmt numFmtId="179" formatCode="0.0%;[Red]\(0.0%\);\-"/>
    <numFmt numFmtId="180" formatCode="0.0&quot;x&quot;"/>
    <numFmt numFmtId="181" formatCode="0.0_);[Red]\(0.0\)"/>
    <numFmt numFmtId="183" formatCode="#,##0.0"/>
  </numFmts>
  <fonts count="27" x14ac:knownFonts="1">
    <font>
      <sz val="10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1F2D3D"/>
      <name val="Arial"/>
      <family val="2"/>
    </font>
    <font>
      <sz val="10"/>
      <color rgb="FF202124"/>
      <name val="Arial"/>
      <family val="2"/>
    </font>
    <font>
      <i/>
      <sz val="10"/>
      <color rgb="FF50647A"/>
      <name val="Arial"/>
      <family val="2"/>
    </font>
    <font>
      <b/>
      <sz val="11"/>
      <color rgb="FF1F2D3D"/>
      <name val="Arial"/>
      <family val="2"/>
    </font>
    <font>
      <b/>
      <sz val="16"/>
      <color rgb="FF1F2D3D"/>
      <name val="Arial"/>
      <family val="2"/>
    </font>
    <font>
      <b/>
      <sz val="10"/>
      <color rgb="FF202124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i/>
      <sz val="10"/>
      <color rgb="FF1F2D3D"/>
      <name val="Arial"/>
      <family val="2"/>
    </font>
    <font>
      <i/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6"/>
      <color theme="1"/>
      <name val="Aptos Narrow"/>
      <family val="2"/>
      <scheme val="minor"/>
    </font>
    <font>
      <sz val="10"/>
      <color rgb="FF666666"/>
      <name val="Arial"/>
      <family val="2"/>
    </font>
    <font>
      <b/>
      <sz val="10"/>
      <color theme="1"/>
      <name val="Arial"/>
      <family val="2"/>
    </font>
    <font>
      <sz val="10"/>
      <color rgb="FF202024"/>
      <name val="Arial"/>
      <family val="2"/>
    </font>
    <font>
      <i/>
      <sz val="10"/>
      <color rgb="FF20202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3EFD8"/>
      </patternFill>
    </fill>
    <fill>
      <patternFill patternType="solid">
        <fgColor rgb="FFEAF2F8"/>
      </patternFill>
    </fill>
    <fill>
      <patternFill patternType="solid">
        <fgColor rgb="FFDDE5EB"/>
      </patternFill>
    </fill>
    <fill>
      <patternFill patternType="solid">
        <fgColor rgb="FF1F2D3D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1F2D3D"/>
        <bgColor rgb="FF000000"/>
      </patternFill>
    </fill>
    <fill>
      <patternFill patternType="solid">
        <fgColor rgb="FFDDE5EB"/>
        <bgColor rgb="FF000000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202124"/>
      </bottom>
      <diagonal/>
    </border>
    <border>
      <left/>
      <right/>
      <top style="thin">
        <color rgb="FF202124"/>
      </top>
      <bottom style="double">
        <color indexed="64"/>
      </bottom>
      <diagonal/>
    </border>
    <border>
      <left style="thin">
        <color rgb="FFEAF2F8"/>
      </left>
      <right/>
      <top style="thin">
        <color rgb="FFEAF2F8"/>
      </top>
      <bottom style="thin">
        <color rgb="FFEAF2F8"/>
      </bottom>
      <diagonal/>
    </border>
    <border>
      <left/>
      <right/>
      <top style="thin">
        <color rgb="FF1F2D3D"/>
      </top>
      <bottom style="thin">
        <color rgb="FF1F2D3D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A7A7A3"/>
      </bottom>
      <diagonal/>
    </border>
    <border>
      <left/>
      <right/>
      <top style="thin">
        <color rgb="FF20212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AF2F8"/>
      </left>
      <right/>
      <top style="thin">
        <color indexed="64"/>
      </top>
      <bottom style="thin">
        <color indexed="64"/>
      </bottom>
      <diagonal/>
    </border>
    <border>
      <left style="thin">
        <color rgb="FFEAF2F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EAF2F8"/>
      </bottom>
      <diagonal/>
    </border>
    <border>
      <left style="thin">
        <color rgb="FFEAF2F8"/>
      </left>
      <right/>
      <top style="thin">
        <color indexed="64"/>
      </top>
      <bottom style="thin">
        <color rgb="FFEAF2F8"/>
      </bottom>
      <diagonal/>
    </border>
    <border>
      <left style="thin">
        <color rgb="FFEAF2F8"/>
      </left>
      <right style="thin">
        <color indexed="64"/>
      </right>
      <top style="thin">
        <color indexed="64"/>
      </top>
      <bottom style="thin">
        <color rgb="FFEAF2F8"/>
      </bottom>
      <diagonal/>
    </border>
    <border>
      <left style="thin">
        <color indexed="64"/>
      </left>
      <right/>
      <top style="thin">
        <color rgb="FFEAF2F8"/>
      </top>
      <bottom style="thin">
        <color rgb="FFEAF2F8"/>
      </bottom>
      <diagonal/>
    </border>
    <border>
      <left style="thin">
        <color rgb="FFEAF2F8"/>
      </left>
      <right style="thin">
        <color indexed="64"/>
      </right>
      <top style="thin">
        <color rgb="FFEAF2F8"/>
      </top>
      <bottom style="thin">
        <color rgb="FFEAF2F8"/>
      </bottom>
      <diagonal/>
    </border>
    <border>
      <left style="thin">
        <color indexed="64"/>
      </left>
      <right/>
      <top style="thin">
        <color rgb="FFEAF2F8"/>
      </top>
      <bottom style="thin">
        <color indexed="64"/>
      </bottom>
      <diagonal/>
    </border>
    <border>
      <left style="thin">
        <color rgb="FFEAF2F8"/>
      </left>
      <right/>
      <top style="thin">
        <color rgb="FFEAF2F8"/>
      </top>
      <bottom style="thin">
        <color indexed="64"/>
      </bottom>
      <diagonal/>
    </border>
    <border>
      <left style="thin">
        <color rgb="FFEAF2F8"/>
      </left>
      <right style="thin">
        <color indexed="64"/>
      </right>
      <top style="thin">
        <color rgb="FFEAF2F8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auto="1"/>
      </right>
      <top style="double">
        <color indexed="64"/>
      </top>
      <bottom/>
      <diagonal/>
    </border>
  </borders>
  <cellStyleXfs count="20">
    <xf numFmtId="0" fontId="0" fillId="0" borderId="0"/>
    <xf numFmtId="164" fontId="2" fillId="0" borderId="0">
      <alignment vertical="center"/>
    </xf>
    <xf numFmtId="164" fontId="3" fillId="2" borderId="1" applyNumberFormat="0">
      <alignment vertical="center"/>
    </xf>
    <xf numFmtId="164" fontId="4" fillId="0" borderId="0">
      <alignment vertical="center"/>
    </xf>
    <xf numFmtId="0" fontId="5" fillId="0" borderId="2">
      <alignment horizontal="left" vertical="center"/>
    </xf>
    <xf numFmtId="0" fontId="5" fillId="0" borderId="3" applyAlignment="0">
      <alignment horizontal="left" vertical="center"/>
    </xf>
    <xf numFmtId="164" fontId="6" fillId="0" borderId="0">
      <alignment vertical="center"/>
    </xf>
    <xf numFmtId="164" fontId="3" fillId="2" borderId="0" applyNumberFormat="0">
      <alignment vertical="center"/>
    </xf>
    <xf numFmtId="0" fontId="7" fillId="3" borderId="4" applyNumberFormat="0" applyFont="0" applyAlignment="0"/>
    <xf numFmtId="0" fontId="8" fillId="0" borderId="0">
      <alignment horizontal="left"/>
    </xf>
    <xf numFmtId="0" fontId="9" fillId="0" borderId="0">
      <alignment horizontal="left"/>
    </xf>
    <xf numFmtId="165" fontId="10" fillId="3" borderId="5">
      <alignment vertical="center"/>
    </xf>
    <xf numFmtId="0" fontId="11" fillId="0" borderId="6">
      <alignment vertical="center"/>
    </xf>
    <xf numFmtId="0" fontId="1" fillId="0" borderId="0"/>
    <xf numFmtId="10" fontId="3" fillId="0" borderId="0" applyFill="0" applyBorder="0"/>
    <xf numFmtId="0" fontId="12" fillId="4" borderId="7" applyNumberFormat="0">
      <alignment vertical="center"/>
    </xf>
    <xf numFmtId="0" fontId="13" fillId="5" borderId="0">
      <alignment vertical="center"/>
    </xf>
    <xf numFmtId="0" fontId="5" fillId="0" borderId="8">
      <alignment horizontal="left" vertical="center"/>
    </xf>
    <xf numFmtId="166" fontId="14" fillId="0" borderId="9">
      <alignment vertical="center"/>
    </xf>
    <xf numFmtId="164" fontId="3" fillId="2" borderId="0">
      <alignment vertical="center"/>
    </xf>
  </cellStyleXfs>
  <cellXfs count="145">
    <xf numFmtId="0" fontId="0" fillId="0" borderId="0" xfId="0"/>
    <xf numFmtId="14" fontId="0" fillId="0" borderId="0" xfId="0" applyNumberFormat="1"/>
    <xf numFmtId="0" fontId="1" fillId="0" borderId="0" xfId="0" applyFont="1"/>
    <xf numFmtId="0" fontId="16" fillId="3" borderId="10" xfId="8" applyFont="1" applyBorder="1"/>
    <xf numFmtId="0" fontId="17" fillId="0" borderId="0" xfId="17" applyFont="1" applyBorder="1" applyAlignment="1">
      <alignment horizontal="left" vertical="center" indent="1"/>
    </xf>
    <xf numFmtId="0" fontId="6" fillId="0" borderId="0" xfId="17" applyFont="1" applyBorder="1">
      <alignment horizontal="left" vertical="center"/>
    </xf>
    <xf numFmtId="0" fontId="18" fillId="5" borderId="0" xfId="16" applyFont="1">
      <alignment vertical="center"/>
    </xf>
    <xf numFmtId="0" fontId="13" fillId="5" borderId="0" xfId="16">
      <alignment vertical="center"/>
    </xf>
    <xf numFmtId="0" fontId="12" fillId="4" borderId="7" xfId="15">
      <alignment vertical="center"/>
    </xf>
    <xf numFmtId="0" fontId="12" fillId="4" borderId="0" xfId="15" applyBorder="1">
      <alignment vertical="center"/>
    </xf>
    <xf numFmtId="172" fontId="1" fillId="0" borderId="0" xfId="0" applyNumberFormat="1" applyFont="1"/>
    <xf numFmtId="172" fontId="3" fillId="2" borderId="12" xfId="19" applyNumberFormat="1" applyBorder="1">
      <alignment vertical="center"/>
    </xf>
    <xf numFmtId="172" fontId="3" fillId="2" borderId="11" xfId="19" applyNumberFormat="1" applyBorder="1">
      <alignment vertical="center"/>
    </xf>
    <xf numFmtId="172" fontId="3" fillId="2" borderId="13" xfId="19" applyNumberFormat="1" applyBorder="1">
      <alignment vertical="center"/>
    </xf>
    <xf numFmtId="0" fontId="1" fillId="0" borderId="0" xfId="13"/>
    <xf numFmtId="172" fontId="3" fillId="2" borderId="14" xfId="19" applyNumberFormat="1" applyBorder="1">
      <alignment vertical="center"/>
    </xf>
    <xf numFmtId="172" fontId="3" fillId="2" borderId="15" xfId="19" applyNumberFormat="1" applyBorder="1">
      <alignment vertical="center"/>
    </xf>
    <xf numFmtId="172" fontId="3" fillId="2" borderId="16" xfId="19" applyNumberFormat="1" applyBorder="1">
      <alignment vertical="center"/>
    </xf>
    <xf numFmtId="172" fontId="3" fillId="2" borderId="17" xfId="19" applyNumberFormat="1" applyBorder="1">
      <alignment vertical="center"/>
    </xf>
    <xf numFmtId="172" fontId="3" fillId="2" borderId="18" xfId="19" applyNumberFormat="1" applyBorder="1">
      <alignment vertical="center"/>
    </xf>
    <xf numFmtId="0" fontId="5" fillId="0" borderId="0" xfId="17" applyBorder="1">
      <alignment horizontal="left" vertical="center"/>
    </xf>
    <xf numFmtId="0" fontId="5" fillId="0" borderId="0" xfId="17" applyBorder="1" applyAlignment="1">
      <alignment horizontal="right" vertical="center"/>
    </xf>
    <xf numFmtId="2" fontId="5" fillId="0" borderId="0" xfId="17" applyNumberFormat="1" applyBorder="1" applyAlignment="1">
      <alignment horizontal="right" vertical="center"/>
    </xf>
    <xf numFmtId="0" fontId="12" fillId="4" borderId="17" xfId="15" applyBorder="1">
      <alignment vertical="center"/>
    </xf>
    <xf numFmtId="172" fontId="0" fillId="0" borderId="0" xfId="0" applyNumberFormat="1"/>
    <xf numFmtId="172" fontId="6" fillId="0" borderId="0" xfId="17" applyNumberFormat="1" applyFont="1" applyBorder="1" applyAlignment="1">
      <alignment horizontal="right" vertical="center"/>
    </xf>
    <xf numFmtId="172" fontId="19" fillId="2" borderId="10" xfId="19" applyNumberFormat="1" applyFont="1" applyBorder="1">
      <alignment vertical="center"/>
    </xf>
    <xf numFmtId="172" fontId="3" fillId="2" borderId="19" xfId="19" applyNumberFormat="1" applyBorder="1">
      <alignment vertical="center"/>
    </xf>
    <xf numFmtId="172" fontId="3" fillId="2" borderId="20" xfId="19" applyNumberFormat="1" applyBorder="1">
      <alignment vertical="center"/>
    </xf>
    <xf numFmtId="0" fontId="0" fillId="0" borderId="0" xfId="0" applyFont="1"/>
    <xf numFmtId="10" fontId="0" fillId="0" borderId="0" xfId="0" applyNumberFormat="1"/>
    <xf numFmtId="0" fontId="20" fillId="0" borderId="0" xfId="0" applyFont="1"/>
    <xf numFmtId="0" fontId="5" fillId="0" borderId="11" xfId="17" applyFont="1" applyBorder="1">
      <alignment horizontal="left" vertical="center"/>
    </xf>
    <xf numFmtId="0" fontId="21" fillId="3" borderId="21" xfId="8" applyFont="1" applyBorder="1"/>
    <xf numFmtId="10" fontId="21" fillId="3" borderId="21" xfId="8" applyNumberFormat="1" applyFont="1" applyBorder="1"/>
    <xf numFmtId="10" fontId="21" fillId="3" borderId="22" xfId="8" applyNumberFormat="1" applyFont="1" applyBorder="1"/>
    <xf numFmtId="0" fontId="22" fillId="0" borderId="0" xfId="0" applyFont="1"/>
    <xf numFmtId="0" fontId="0" fillId="3" borderId="23" xfId="8" applyFont="1" applyBorder="1" applyAlignment="1">
      <alignment horizontal="center" vertical="center"/>
    </xf>
    <xf numFmtId="0" fontId="0" fillId="3" borderId="24" xfId="8" applyFont="1" applyBorder="1" applyAlignment="1">
      <alignment horizontal="center" vertical="center"/>
    </xf>
    <xf numFmtId="0" fontId="0" fillId="3" borderId="25" xfId="8" applyFont="1" applyBorder="1" applyAlignment="1">
      <alignment horizontal="center" vertical="center"/>
    </xf>
    <xf numFmtId="0" fontId="0" fillId="3" borderId="26" xfId="8" applyFont="1" applyBorder="1" applyAlignment="1">
      <alignment horizontal="center" vertical="center"/>
    </xf>
    <xf numFmtId="0" fontId="0" fillId="3" borderId="4" xfId="8" applyFont="1" applyBorder="1" applyAlignment="1">
      <alignment horizontal="center" vertical="center"/>
    </xf>
    <xf numFmtId="0" fontId="0" fillId="3" borderId="27" xfId="8" applyFont="1" applyBorder="1" applyAlignment="1">
      <alignment horizontal="center" vertical="center"/>
    </xf>
    <xf numFmtId="0" fontId="0" fillId="3" borderId="28" xfId="8" applyFont="1" applyBorder="1" applyAlignment="1">
      <alignment horizontal="center" vertical="center"/>
    </xf>
    <xf numFmtId="0" fontId="0" fillId="3" borderId="29" xfId="8" applyFont="1" applyBorder="1" applyAlignment="1">
      <alignment horizontal="center" vertical="center"/>
    </xf>
    <xf numFmtId="0" fontId="0" fillId="3" borderId="30" xfId="8" applyFont="1" applyBorder="1" applyAlignment="1">
      <alignment horizontal="center" vertical="center"/>
    </xf>
    <xf numFmtId="0" fontId="20" fillId="7" borderId="0" xfId="0" applyFont="1" applyFill="1" applyAlignment="1">
      <alignment horizontal="center"/>
    </xf>
    <xf numFmtId="0" fontId="20" fillId="0" borderId="11" xfId="0" applyFont="1" applyBorder="1"/>
    <xf numFmtId="2" fontId="0" fillId="0" borderId="0" xfId="0" applyNumberFormat="1"/>
    <xf numFmtId="177" fontId="0" fillId="0" borderId="0" xfId="0" applyNumberFormat="1"/>
    <xf numFmtId="177" fontId="20" fillId="0" borderId="0" xfId="0" applyNumberFormat="1" applyFont="1"/>
    <xf numFmtId="177" fontId="20" fillId="0" borderId="11" xfId="0" applyNumberFormat="1" applyFont="1" applyBorder="1"/>
    <xf numFmtId="177" fontId="20" fillId="0" borderId="31" xfId="0" applyNumberFormat="1" applyFont="1" applyBorder="1"/>
    <xf numFmtId="0" fontId="20" fillId="8" borderId="14" xfId="0" applyFont="1" applyFill="1" applyBorder="1" applyAlignment="1">
      <alignment horizontal="center"/>
    </xf>
    <xf numFmtId="0" fontId="20" fillId="8" borderId="0" xfId="0" applyFont="1" applyFill="1" applyBorder="1" applyAlignment="1">
      <alignment horizontal="center"/>
    </xf>
    <xf numFmtId="177" fontId="0" fillId="0" borderId="14" xfId="0" applyNumberFormat="1" applyBorder="1"/>
    <xf numFmtId="177" fontId="0" fillId="0" borderId="0" xfId="0" applyNumberFormat="1" applyBorder="1"/>
    <xf numFmtId="10" fontId="21" fillId="3" borderId="10" xfId="8" applyNumberFormat="1" applyFont="1" applyBorder="1"/>
    <xf numFmtId="0" fontId="0" fillId="0" borderId="14" xfId="0" applyBorder="1"/>
    <xf numFmtId="0" fontId="0" fillId="0" borderId="0" xfId="0" applyBorder="1"/>
    <xf numFmtId="177" fontId="20" fillId="0" borderId="14" xfId="0" applyNumberFormat="1" applyFont="1" applyBorder="1"/>
    <xf numFmtId="177" fontId="20" fillId="0" borderId="0" xfId="0" applyNumberFormat="1" applyFont="1" applyBorder="1"/>
    <xf numFmtId="177" fontId="20" fillId="0" borderId="12" xfId="0" applyNumberFormat="1" applyFont="1" applyBorder="1"/>
    <xf numFmtId="10" fontId="0" fillId="0" borderId="14" xfId="0" applyNumberFormat="1" applyBorder="1"/>
    <xf numFmtId="10" fontId="0" fillId="0" borderId="0" xfId="0" applyNumberFormat="1" applyBorder="1"/>
    <xf numFmtId="177" fontId="20" fillId="0" borderId="32" xfId="0" applyNumberFormat="1" applyFont="1" applyBorder="1"/>
    <xf numFmtId="0" fontId="20" fillId="8" borderId="15" xfId="0" applyFont="1" applyFill="1" applyBorder="1" applyAlignment="1">
      <alignment horizontal="center"/>
    </xf>
    <xf numFmtId="177" fontId="0" fillId="0" borderId="15" xfId="0" applyNumberFormat="1" applyBorder="1"/>
    <xf numFmtId="0" fontId="0" fillId="0" borderId="15" xfId="0" applyBorder="1"/>
    <xf numFmtId="177" fontId="20" fillId="0" borderId="15" xfId="0" applyNumberFormat="1" applyFont="1" applyBorder="1"/>
    <xf numFmtId="177" fontId="20" fillId="0" borderId="13" xfId="0" applyNumberFormat="1" applyFont="1" applyBorder="1"/>
    <xf numFmtId="10" fontId="0" fillId="0" borderId="15" xfId="0" applyNumberFormat="1" applyBorder="1"/>
    <xf numFmtId="177" fontId="20" fillId="0" borderId="33" xfId="0" applyNumberFormat="1" applyFont="1" applyBorder="1"/>
    <xf numFmtId="10" fontId="0" fillId="0" borderId="16" xfId="0" applyNumberFormat="1" applyBorder="1"/>
    <xf numFmtId="10" fontId="0" fillId="0" borderId="17" xfId="0" applyNumberFormat="1" applyBorder="1"/>
    <xf numFmtId="10" fontId="0" fillId="0" borderId="18" xfId="0" applyNumberFormat="1" applyBorder="1"/>
    <xf numFmtId="0" fontId="18" fillId="9" borderId="0" xfId="0" applyFont="1" applyFill="1" applyAlignment="1">
      <alignment vertical="center"/>
    </xf>
    <xf numFmtId="0" fontId="0" fillId="7" borderId="0" xfId="0" applyFill="1"/>
    <xf numFmtId="0" fontId="20" fillId="7" borderId="0" xfId="0" applyFont="1" applyFill="1"/>
    <xf numFmtId="14" fontId="20" fillId="7" borderId="0" xfId="0" applyNumberFormat="1" applyFont="1" applyFill="1"/>
    <xf numFmtId="14" fontId="20" fillId="7" borderId="14" xfId="0" applyNumberFormat="1" applyFont="1" applyFill="1" applyBorder="1"/>
    <xf numFmtId="14" fontId="20" fillId="7" borderId="0" xfId="0" applyNumberFormat="1" applyFont="1" applyFill="1" applyBorder="1"/>
    <xf numFmtId="14" fontId="20" fillId="7" borderId="15" xfId="0" applyNumberFormat="1" applyFont="1" applyFill="1" applyBorder="1"/>
    <xf numFmtId="0" fontId="1" fillId="0" borderId="19" xfId="0" applyFont="1" applyBorder="1"/>
    <xf numFmtId="177" fontId="0" fillId="0" borderId="19" xfId="0" applyNumberFormat="1" applyBorder="1"/>
    <xf numFmtId="177" fontId="0" fillId="0" borderId="10" xfId="0" applyNumberFormat="1" applyBorder="1"/>
    <xf numFmtId="177" fontId="0" fillId="0" borderId="20" xfId="0" applyNumberFormat="1" applyBorder="1"/>
    <xf numFmtId="0" fontId="18" fillId="9" borderId="0" xfId="0" applyFont="1" applyFill="1" applyAlignment="1">
      <alignment horizontal="left" vertical="center"/>
    </xf>
    <xf numFmtId="172" fontId="3" fillId="2" borderId="0" xfId="19" applyNumberFormat="1" applyBorder="1">
      <alignment vertical="center"/>
    </xf>
    <xf numFmtId="172" fontId="3" fillId="2" borderId="10" xfId="19" applyNumberFormat="1" applyBorder="1">
      <alignment vertical="center"/>
    </xf>
    <xf numFmtId="0" fontId="17" fillId="0" borderId="0" xfId="0" applyFont="1" applyAlignment="1">
      <alignment horizontal="left" vertical="center" indent="1"/>
    </xf>
    <xf numFmtId="0" fontId="13" fillId="9" borderId="0" xfId="0" applyFont="1" applyFill="1" applyAlignment="1">
      <alignment vertical="center"/>
    </xf>
    <xf numFmtId="0" fontId="12" fillId="10" borderId="7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0" fontId="3" fillId="2" borderId="12" xfId="7" applyNumberFormat="1" applyBorder="1">
      <alignment vertical="center"/>
    </xf>
    <xf numFmtId="10" fontId="3" fillId="2" borderId="11" xfId="7" applyNumberFormat="1" applyBorder="1">
      <alignment vertical="center"/>
    </xf>
    <xf numFmtId="10" fontId="3" fillId="2" borderId="13" xfId="7" applyNumberFormat="1" applyBorder="1">
      <alignment vertical="center"/>
    </xf>
    <xf numFmtId="0" fontId="5" fillId="0" borderId="31" xfId="17" applyFont="1" applyBorder="1">
      <alignment horizontal="left"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81" fontId="15" fillId="0" borderId="0" xfId="7" applyNumberFormat="1" applyFont="1" applyFill="1">
      <alignment vertical="center"/>
    </xf>
    <xf numFmtId="0" fontId="23" fillId="0" borderId="0" xfId="0" applyFont="1" applyAlignment="1">
      <alignment vertical="center"/>
    </xf>
    <xf numFmtId="2" fontId="12" fillId="10" borderId="7" xfId="0" applyNumberFormat="1" applyFont="1" applyFill="1" applyBorder="1" applyAlignment="1">
      <alignment vertical="center"/>
    </xf>
    <xf numFmtId="0" fontId="6" fillId="0" borderId="0" xfId="17" applyFont="1" applyBorder="1" applyAlignment="1">
      <alignment horizontal="left" vertical="center"/>
    </xf>
    <xf numFmtId="2" fontId="0" fillId="0" borderId="0" xfId="0" applyNumberFormat="1" applyBorder="1"/>
    <xf numFmtId="10" fontId="0" fillId="0" borderId="34" xfId="0" applyNumberFormat="1" applyBorder="1"/>
    <xf numFmtId="10" fontId="0" fillId="0" borderId="35" xfId="0" applyNumberFormat="1" applyBorder="1"/>
    <xf numFmtId="10" fontId="0" fillId="0" borderId="36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10" fontId="6" fillId="0" borderId="0" xfId="0" applyNumberFormat="1" applyFont="1" applyAlignment="1">
      <alignment vertical="center"/>
    </xf>
    <xf numFmtId="2" fontId="3" fillId="0" borderId="0" xfId="7" applyNumberFormat="1" applyFont="1" applyFill="1">
      <alignment vertical="center"/>
    </xf>
    <xf numFmtId="0" fontId="12" fillId="4" borderId="7" xfId="15" applyFont="1">
      <alignment vertical="center"/>
    </xf>
    <xf numFmtId="2" fontId="12" fillId="4" borderId="7" xfId="15" applyNumberFormat="1" applyFont="1">
      <alignment vertical="center"/>
    </xf>
    <xf numFmtId="177" fontId="6" fillId="0" borderId="0" xfId="6" applyNumberFormat="1" applyFont="1">
      <alignment vertical="center"/>
    </xf>
    <xf numFmtId="180" fontId="3" fillId="0" borderId="0" xfId="7" applyNumberFormat="1" applyFont="1" applyFill="1" applyAlignment="1">
      <alignment horizontal="right" vertical="center"/>
    </xf>
    <xf numFmtId="179" fontId="3" fillId="0" borderId="0" xfId="7" applyNumberFormat="1" applyFont="1" applyFill="1">
      <alignment vertical="center"/>
    </xf>
    <xf numFmtId="0" fontId="0" fillId="0" borderId="0" xfId="0" applyFont="1"/>
    <xf numFmtId="0" fontId="24" fillId="8" borderId="0" xfId="0" applyFont="1" applyFill="1" applyAlignment="1">
      <alignment horizontal="center"/>
    </xf>
    <xf numFmtId="0" fontId="24" fillId="6" borderId="0" xfId="0" applyFont="1" applyFill="1" applyAlignment="1"/>
    <xf numFmtId="14" fontId="24" fillId="0" borderId="0" xfId="0" applyNumberFormat="1" applyFont="1"/>
    <xf numFmtId="178" fontId="25" fillId="0" borderId="0" xfId="0" applyNumberFormat="1" applyFont="1" applyAlignment="1">
      <alignment vertical="center"/>
    </xf>
    <xf numFmtId="172" fontId="26" fillId="0" borderId="0" xfId="0" applyNumberFormat="1" applyFont="1" applyAlignment="1">
      <alignment vertical="center"/>
    </xf>
    <xf numFmtId="183" fontId="25" fillId="0" borderId="0" xfId="0" applyNumberFormat="1" applyFont="1" applyAlignment="1">
      <alignment vertical="center"/>
    </xf>
    <xf numFmtId="172" fontId="25" fillId="0" borderId="0" xfId="0" applyNumberFormat="1" applyFont="1" applyAlignment="1">
      <alignment vertical="center"/>
    </xf>
    <xf numFmtId="177" fontId="0" fillId="0" borderId="0" xfId="0" applyNumberFormat="1" applyFont="1"/>
    <xf numFmtId="0" fontId="7" fillId="3" borderId="10" xfId="8" applyFont="1" applyBorder="1"/>
    <xf numFmtId="0" fontId="7" fillId="3" borderId="19" xfId="8" applyFont="1" applyBorder="1"/>
    <xf numFmtId="177" fontId="7" fillId="3" borderId="21" xfId="8" applyNumberFormat="1" applyFont="1" applyBorder="1"/>
    <xf numFmtId="177" fontId="7" fillId="3" borderId="22" xfId="8" applyNumberFormat="1" applyFont="1" applyBorder="1"/>
    <xf numFmtId="0" fontId="6" fillId="0" borderId="11" xfId="0" applyFont="1" applyBorder="1" applyAlignment="1">
      <alignment horizontal="left" vertical="center"/>
    </xf>
    <xf numFmtId="177" fontId="0" fillId="0" borderId="11" xfId="0" applyNumberFormat="1" applyFont="1" applyBorder="1"/>
    <xf numFmtId="10" fontId="20" fillId="0" borderId="11" xfId="0" applyNumberFormat="1" applyFont="1" applyBorder="1"/>
    <xf numFmtId="2" fontId="20" fillId="0" borderId="0" xfId="0" applyNumberFormat="1" applyFont="1"/>
    <xf numFmtId="1" fontId="24" fillId="7" borderId="17" xfId="0" applyNumberFormat="1" applyFont="1" applyFill="1" applyBorder="1"/>
    <xf numFmtId="3" fontId="25" fillId="0" borderId="0" xfId="0" applyNumberFormat="1" applyFont="1" applyAlignment="1">
      <alignment vertical="center"/>
    </xf>
    <xf numFmtId="177" fontId="15" fillId="0" borderId="0" xfId="6" applyNumberFormat="1" applyFont="1">
      <alignment vertical="center"/>
    </xf>
    <xf numFmtId="180" fontId="15" fillId="0" borderId="0" xfId="7" applyNumberFormat="1" applyFont="1" applyFill="1" applyAlignment="1">
      <alignment horizontal="right" vertical="center"/>
    </xf>
    <xf numFmtId="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</cellXfs>
  <cellStyles count="20">
    <cellStyle name="Cross-sheet link" xfId="1" xr:uid="{75715959-0777-BF46-967D-76EC330769A3}"/>
    <cellStyle name="drivers" xfId="2" xr:uid="{3D2A167A-96A8-BB46-BADD-C7831520BB76}"/>
    <cellStyle name="External link" xfId="3" xr:uid="{E2930F4F-4551-ED46-904F-59ABCF8B6B17}"/>
    <cellStyle name="Final total" xfId="4" xr:uid="{29C806D2-3D26-DE4B-8E96-DA5ABD913304}"/>
    <cellStyle name="Final total 2" xfId="5" xr:uid="{CE8CD9C0-1CAC-DD46-AEB2-E3A4D794A4F0}"/>
    <cellStyle name="Formula" xfId="6" xr:uid="{EC10ECDF-A346-1643-BC50-F1700CBEC753}"/>
    <cellStyle name="hardcode2" xfId="7" xr:uid="{D1244F6F-6CF0-6F46-9191-B9272967D50D}"/>
    <cellStyle name="Hardcoded Input" xfId="19" xr:uid="{0C38DD73-69D0-7446-976B-940D14664D9D}"/>
    <cellStyle name="Highlighted row" xfId="8" xr:uid="{18A6EEC3-2C58-8E48-B95B-DBF8B8247826}"/>
    <cellStyle name="Indented row label" xfId="9" xr:uid="{AD19D78C-D31B-114E-A955-E3C303166588}"/>
    <cellStyle name="indented submetric" xfId="10" xr:uid="{50F702EA-22AF-6149-A993-170EEB43DDD6}"/>
    <cellStyle name="Key Output" xfId="11" xr:uid="{835B0E08-1D9D-6842-AE7B-CC2A602EEAA9}"/>
    <cellStyle name="Main Title" xfId="12" xr:uid="{5BDEE5E7-C183-944E-A48A-E12B679E3017}"/>
    <cellStyle name="Normal" xfId="0" builtinId="0" customBuiltin="1"/>
    <cellStyle name="Normal 2" xfId="13" xr:uid="{E9C9B192-7179-3644-A046-253BA0B7FCEB}"/>
    <cellStyle name="percent1" xfId="14" xr:uid="{155FE5BB-2CA4-3B4A-8C56-F1445C297281}"/>
    <cellStyle name="Section Header" xfId="15" xr:uid="{51D42C38-E165-F640-B053-A895FFFA48BC}"/>
    <cellStyle name="SECTIONHEADER" xfId="16" xr:uid="{DA89B2C8-CB98-A14F-AECD-A18CE45834AE}"/>
    <cellStyle name="Subtotal" xfId="17" xr:uid="{03BEA30F-7E4C-1C41-AD82-A0130F6F953D}"/>
    <cellStyle name="Warning check" xfId="18" xr:uid="{F65925AC-A75B-2C4D-B633-962CF3B818E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JA - AllReports" connectionId="1" xr16:uid="{B2CEBEBB-FEE9-9F4C-A706-F86346755EF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GO - AllReports" connectionId="2" xr16:uid="{C65C667E-81FF-7947-A7DC-1691BA4ECBB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202124">
      <a:dk1>
        <a:srgbClr val="202024"/>
      </a:dk1>
      <a:lt1>
        <a:srgbClr val="FFFFFF"/>
      </a:lt1>
      <a:dk2>
        <a:srgbClr val="1F2C3C"/>
      </a:dk2>
      <a:lt2>
        <a:srgbClr val="DDE5EB"/>
      </a:lt2>
      <a:accent1>
        <a:srgbClr val="506479"/>
      </a:accent1>
      <a:accent2>
        <a:srgbClr val="777DB8"/>
      </a:accent2>
      <a:accent3>
        <a:srgbClr val="91B9D5"/>
      </a:accent3>
      <a:accent4>
        <a:srgbClr val="C3B96E"/>
      </a:accent4>
      <a:accent5>
        <a:srgbClr val="EAF2F8"/>
      </a:accent5>
      <a:accent6>
        <a:srgbClr val="F3EFD8"/>
      </a:accent6>
      <a:hlink>
        <a:srgbClr val="0563C1"/>
      </a:hlink>
      <a:folHlink>
        <a:srgbClr val="954F7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0673-6E16-9447-A0E3-B215757DE25B}">
  <dimension ref="B1:M58"/>
  <sheetViews>
    <sheetView showGridLines="0" zoomScale="101" workbookViewId="0">
      <selection activeCell="H38" sqref="H38:L38"/>
    </sheetView>
  </sheetViews>
  <sheetFormatPr baseColWidth="10" defaultRowHeight="13" x14ac:dyDescent="0.15"/>
  <cols>
    <col min="2" max="2" width="32.5" customWidth="1"/>
    <col min="3" max="12" width="12" customWidth="1"/>
  </cols>
  <sheetData>
    <row r="1" spans="2:13" ht="22" x14ac:dyDescent="0.3">
      <c r="B1" s="36" t="s">
        <v>169</v>
      </c>
    </row>
    <row r="2" spans="2:13" ht="16" x14ac:dyDescent="0.15">
      <c r="B2" s="6" t="s">
        <v>161</v>
      </c>
      <c r="C2" s="6"/>
      <c r="D2" s="6"/>
      <c r="E2" s="6"/>
      <c r="F2" s="6"/>
      <c r="G2" s="6"/>
      <c r="H2" s="6"/>
      <c r="I2" s="6"/>
      <c r="J2" s="6"/>
      <c r="K2" s="6"/>
      <c r="L2" s="6"/>
    </row>
    <row r="4" spans="2:13" x14ac:dyDescent="0.15">
      <c r="B4" s="37" t="s">
        <v>165</v>
      </c>
      <c r="C4" s="38"/>
      <c r="D4" s="38"/>
      <c r="E4" s="38"/>
      <c r="F4" s="38"/>
      <c r="G4" s="38"/>
      <c r="H4" s="38"/>
      <c r="I4" s="38"/>
      <c r="J4" s="38"/>
      <c r="K4" s="38"/>
      <c r="L4" s="39"/>
    </row>
    <row r="5" spans="2:13" x14ac:dyDescent="0.15">
      <c r="B5" s="40"/>
      <c r="C5" s="41"/>
      <c r="D5" s="41"/>
      <c r="E5" s="41"/>
      <c r="F5" s="41"/>
      <c r="G5" s="41"/>
      <c r="H5" s="41"/>
      <c r="I5" s="41"/>
      <c r="J5" s="41"/>
      <c r="K5" s="41"/>
      <c r="L5" s="42"/>
    </row>
    <row r="6" spans="2:13" x14ac:dyDescent="0.15">
      <c r="B6" s="40"/>
      <c r="C6" s="41"/>
      <c r="D6" s="41"/>
      <c r="E6" s="41"/>
      <c r="F6" s="41"/>
      <c r="G6" s="41"/>
      <c r="H6" s="41"/>
      <c r="I6" s="41"/>
      <c r="J6" s="41"/>
      <c r="K6" s="41"/>
      <c r="L6" s="42"/>
    </row>
    <row r="7" spans="2:13" x14ac:dyDescent="0.15">
      <c r="B7" s="40"/>
      <c r="C7" s="41"/>
      <c r="D7" s="41"/>
      <c r="E7" s="41"/>
      <c r="F7" s="41"/>
      <c r="G7" s="41"/>
      <c r="H7" s="41"/>
      <c r="I7" s="41"/>
      <c r="J7" s="41"/>
      <c r="K7" s="41"/>
      <c r="L7" s="42"/>
    </row>
    <row r="8" spans="2:13" x14ac:dyDescent="0.15">
      <c r="B8" s="43"/>
      <c r="C8" s="44"/>
      <c r="D8" s="44"/>
      <c r="E8" s="44"/>
      <c r="F8" s="44"/>
      <c r="G8" s="44"/>
      <c r="H8" s="44"/>
      <c r="I8" s="44"/>
      <c r="J8" s="44"/>
      <c r="K8" s="44"/>
      <c r="L8" s="45"/>
    </row>
    <row r="10" spans="2:13" ht="16" x14ac:dyDescent="0.15">
      <c r="B10" s="87" t="s">
        <v>194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</row>
    <row r="11" spans="2:13" x14ac:dyDescent="0.15">
      <c r="B11" s="77"/>
      <c r="C11" s="46" t="s">
        <v>162</v>
      </c>
      <c r="D11" s="46"/>
      <c r="E11" s="46"/>
      <c r="F11" s="46"/>
      <c r="G11" s="46"/>
      <c r="H11" s="53" t="s">
        <v>163</v>
      </c>
      <c r="I11" s="54"/>
      <c r="J11" s="54"/>
      <c r="K11" s="54"/>
      <c r="L11" s="66"/>
      <c r="M11" t="s">
        <v>160</v>
      </c>
    </row>
    <row r="12" spans="2:13" x14ac:dyDescent="0.15">
      <c r="B12" s="78" t="s">
        <v>1</v>
      </c>
      <c r="C12" s="79">
        <v>41910</v>
      </c>
      <c r="D12" s="79">
        <v>42001</v>
      </c>
      <c r="E12" s="79">
        <v>42365</v>
      </c>
      <c r="F12" s="79">
        <v>42729</v>
      </c>
      <c r="G12" s="79">
        <v>43100</v>
      </c>
      <c r="H12" s="80">
        <f>EDATE(G12,12)</f>
        <v>43465</v>
      </c>
      <c r="I12" s="81">
        <f t="shared" ref="I12:L12" si="0">EDATE(H12,12)</f>
        <v>43830</v>
      </c>
      <c r="J12" s="81">
        <f t="shared" si="0"/>
        <v>44196</v>
      </c>
      <c r="K12" s="81">
        <f t="shared" si="0"/>
        <v>44561</v>
      </c>
      <c r="L12" s="82">
        <f t="shared" si="0"/>
        <v>44926</v>
      </c>
    </row>
    <row r="13" spans="2:13" x14ac:dyDescent="0.15">
      <c r="C13" t="s">
        <v>164</v>
      </c>
      <c r="D13" t="s">
        <v>164</v>
      </c>
      <c r="E13" t="s">
        <v>164</v>
      </c>
      <c r="F13" t="s">
        <v>164</v>
      </c>
      <c r="G13" t="s">
        <v>164</v>
      </c>
      <c r="H13" t="s">
        <v>164</v>
      </c>
      <c r="I13" t="s">
        <v>164</v>
      </c>
      <c r="J13" t="s">
        <v>164</v>
      </c>
      <c r="K13" t="s">
        <v>164</v>
      </c>
      <c r="L13" t="s">
        <v>164</v>
      </c>
    </row>
    <row r="14" spans="2:13" x14ac:dyDescent="0.15">
      <c r="C14" t="s">
        <v>5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</row>
    <row r="15" spans="2:13" x14ac:dyDescent="0.15">
      <c r="B15" s="83" t="s">
        <v>6</v>
      </c>
      <c r="C15" s="84">
        <f>INDEX('Bojales Raw'!$B$6:$F$144,MATCH($B15,'Bojales Raw'!$A$6:$A$144,0),MATCH('Bojangles Financials'!C$12,'Bojales Raw'!$B$3:$F$3,0))</f>
        <v>375.16199999999998</v>
      </c>
      <c r="D15" s="84">
        <f>INDEX('Bojales Raw'!$B$6:$F$144,MATCH($B15,'Bojales Raw'!$A$6:$A$144,0),MATCH('Bojangles Financials'!D$12,'Bojales Raw'!$B$3:$F$3,0))</f>
        <v>430.47199999999998</v>
      </c>
      <c r="E15" s="84">
        <f>INDEX('Bojales Raw'!$B$6:$F$144,MATCH($B15,'Bojales Raw'!$A$6:$A$144,0),MATCH('Bojangles Financials'!E$12,'Bojales Raw'!$B$3:$F$3,0))</f>
        <v>488.202</v>
      </c>
      <c r="F15" s="84">
        <f>INDEX('Bojales Raw'!$B$6:$F$144,MATCH($B15,'Bojales Raw'!$A$6:$A$144,0),MATCH('Bojangles Financials'!F$12,'Bojales Raw'!$B$3:$F$3,0))</f>
        <v>531.88099999999997</v>
      </c>
      <c r="G15" s="84">
        <f>INDEX('Bojales Raw'!$B$6:$F$144,MATCH($B15,'Bojales Raw'!$A$6:$A$144,0),MATCH('Bojangles Financials'!G$12,'Bojales Raw'!$B$3:$F$3,0))</f>
        <v>547.43799999999999</v>
      </c>
      <c r="H15" s="85">
        <f>G15*(1+H38)</f>
        <v>574.80989999999997</v>
      </c>
      <c r="I15" s="84">
        <f>H15*(1+I38)</f>
        <v>603.55039499999998</v>
      </c>
      <c r="J15" s="84">
        <f>I15*(1+J38)</f>
        <v>633.72791474999997</v>
      </c>
      <c r="K15" s="84">
        <f>J15*(1+K38)</f>
        <v>665.41431048749996</v>
      </c>
      <c r="L15" s="86">
        <f>K15*(1+L38)</f>
        <v>698.68502601187504</v>
      </c>
    </row>
    <row r="16" spans="2:13" x14ac:dyDescent="0.15">
      <c r="B16" s="3" t="s">
        <v>146</v>
      </c>
      <c r="C16" s="33"/>
      <c r="D16" s="34">
        <f>D38</f>
        <v>0.1474296437272431</v>
      </c>
      <c r="E16" s="34">
        <f t="shared" ref="E16:G16" si="1">E38</f>
        <v>0.13410860636696476</v>
      </c>
      <c r="F16" s="34">
        <f t="shared" si="1"/>
        <v>8.946911319494788E-2</v>
      </c>
      <c r="G16" s="34">
        <f t="shared" si="1"/>
        <v>2.9249023747793146E-2</v>
      </c>
      <c r="H16" s="57">
        <f>H38</f>
        <v>0.05</v>
      </c>
      <c r="I16" s="34">
        <f t="shared" ref="I16:L16" si="2">I38</f>
        <v>0.05</v>
      </c>
      <c r="J16" s="34">
        <f t="shared" si="2"/>
        <v>0.05</v>
      </c>
      <c r="K16" s="34">
        <f t="shared" si="2"/>
        <v>0.05</v>
      </c>
      <c r="L16" s="35">
        <f t="shared" si="2"/>
        <v>0.05</v>
      </c>
    </row>
    <row r="17" spans="2:13" x14ac:dyDescent="0.15">
      <c r="B17" s="2"/>
      <c r="H17" s="58"/>
      <c r="I17" s="59"/>
      <c r="J17" s="59"/>
      <c r="K17" s="59"/>
      <c r="L17" s="68"/>
    </row>
    <row r="18" spans="2:13" x14ac:dyDescent="0.15">
      <c r="B18" s="2" t="s">
        <v>7</v>
      </c>
      <c r="C18" s="49">
        <f>INDEX('Bojales Raw'!$B$6:$F$144,MATCH($B18,'Bojales Raw'!$A$6:$A$144,0),MATCH('Bojangles Financials'!C$12,'Bojales Raw'!$B$3:$F$3,0))</f>
        <v>302.11200000000002</v>
      </c>
      <c r="D18" s="49">
        <f>INDEX('Bojales Raw'!$B$6:$F$144,MATCH($B18,'Bojales Raw'!$A$6:$A$144,0),MATCH('Bojangles Financials'!D$12,'Bojales Raw'!$B$3:$F$3,0))</f>
        <v>343.88600000000002</v>
      </c>
      <c r="E18" s="49">
        <f>INDEX('Bojales Raw'!$B$6:$F$144,MATCH($B18,'Bojales Raw'!$A$6:$A$144,0),MATCH('Bojangles Financials'!E$12,'Bojales Raw'!$B$3:$F$3,0))</f>
        <v>389.315</v>
      </c>
      <c r="F18" s="49">
        <f>INDEX('Bojales Raw'!$B$6:$F$144,MATCH($B18,'Bojales Raw'!$A$6:$A$144,0),MATCH('Bojangles Financials'!F$12,'Bojales Raw'!$B$3:$F$3,0))</f>
        <v>422.44799999999998</v>
      </c>
      <c r="G18" s="49">
        <f>INDEX('Bojales Raw'!$B$6:$F$144,MATCH($B18,'Bojales Raw'!$A$6:$A$144,0),MATCH('Bojangles Financials'!G$12,'Bojales Raw'!$B$3:$F$3,0))</f>
        <v>451.44499999999999</v>
      </c>
      <c r="H18" s="55">
        <f>H39*H$15</f>
        <v>474.01724999999999</v>
      </c>
      <c r="I18" s="56">
        <f>I39*I$15</f>
        <v>497.71811249999996</v>
      </c>
      <c r="J18" s="56">
        <f>J39*J$15</f>
        <v>522.60401812499993</v>
      </c>
      <c r="K18" s="56">
        <f>K39*K$15</f>
        <v>548.73421903124995</v>
      </c>
      <c r="L18" s="67">
        <f>L39*L$15</f>
        <v>576.17092998281248</v>
      </c>
    </row>
    <row r="19" spans="2:13" x14ac:dyDescent="0.15">
      <c r="B19" s="31" t="s">
        <v>8</v>
      </c>
      <c r="C19" s="50">
        <f>INDEX('Bojales Raw'!$B$6:$F$144,MATCH($B19,'Bojales Raw'!$A$6:$A$144,0),MATCH('Bojangles Financials'!C$12,'Bojales Raw'!$B$3:$F$3,0))</f>
        <v>73.05</v>
      </c>
      <c r="D19" s="50">
        <f>INDEX('Bojales Raw'!$B$6:$F$144,MATCH($B19,'Bojales Raw'!$A$6:$A$144,0),MATCH('Bojangles Financials'!D$12,'Bojales Raw'!$B$3:$F$3,0))</f>
        <v>86.585999999999999</v>
      </c>
      <c r="E19" s="50">
        <f>INDEX('Bojales Raw'!$B$6:$F$144,MATCH($B19,'Bojales Raw'!$A$6:$A$144,0),MATCH('Bojangles Financials'!E$12,'Bojales Raw'!$B$3:$F$3,0))</f>
        <v>98.887</v>
      </c>
      <c r="F19" s="50">
        <f>INDEX('Bojales Raw'!$B$6:$F$144,MATCH($B19,'Bojales Raw'!$A$6:$A$144,0),MATCH('Bojangles Financials'!F$12,'Bojales Raw'!$B$3:$F$3,0))</f>
        <v>109.43300000000001</v>
      </c>
      <c r="G19" s="50">
        <f>INDEX('Bojales Raw'!$B$6:$F$144,MATCH($B19,'Bojales Raw'!$A$6:$A$144,0),MATCH('Bojangles Financials'!G$12,'Bojales Raw'!$B$3:$F$3,0))</f>
        <v>95.992999999999995</v>
      </c>
      <c r="H19" s="60">
        <f>H15-H18</f>
        <v>100.79264999999998</v>
      </c>
      <c r="I19" s="61">
        <f t="shared" ref="I19:L19" si="3">I15-I18</f>
        <v>105.83228250000002</v>
      </c>
      <c r="J19" s="61">
        <f t="shared" si="3"/>
        <v>111.12389662500004</v>
      </c>
      <c r="K19" s="61">
        <f t="shared" si="3"/>
        <v>116.68009145625001</v>
      </c>
      <c r="L19" s="69">
        <f t="shared" si="3"/>
        <v>122.51409602906256</v>
      </c>
      <c r="M19" s="31"/>
    </row>
    <row r="20" spans="2:13" x14ac:dyDescent="0.15">
      <c r="B20" s="2" t="s">
        <v>9</v>
      </c>
      <c r="C20" s="49">
        <f>INDEX('Bojales Raw'!$B$6:$F$144,MATCH($B20,'Bojales Raw'!$A$6:$A$144,0),MATCH('Bojangles Financials'!C$12,'Bojales Raw'!$B$3:$F$3,0))</f>
        <v>27.478000000000002</v>
      </c>
      <c r="D20" s="49">
        <f>INDEX('Bojales Raw'!$B$6:$F$144,MATCH($B20,'Bojales Raw'!$A$6:$A$144,0),MATCH('Bojangles Financials'!D$12,'Bojales Raw'!$B$3:$F$3,0))</f>
        <v>32.106999999999999</v>
      </c>
      <c r="E20" s="49">
        <f>INDEX('Bojales Raw'!$B$6:$F$144,MATCH($B20,'Bojales Raw'!$A$6:$A$144,0),MATCH('Bojangles Financials'!E$12,'Bojales Raw'!$B$3:$F$3,0))</f>
        <v>42.844000000000001</v>
      </c>
      <c r="F20" s="49">
        <f>INDEX('Bojales Raw'!$B$6:$F$144,MATCH($B20,'Bojales Raw'!$A$6:$A$144,0),MATCH('Bojangles Financials'!F$12,'Bojales Raw'!$B$3:$F$3,0))</f>
        <v>39.040999999999997</v>
      </c>
      <c r="G20" s="49">
        <f>INDEX('Bojales Raw'!$B$6:$F$144,MATCH($B20,'Bojales Raw'!$A$6:$A$144,0),MATCH('Bojangles Financials'!G$12,'Bojales Raw'!$B$3:$F$3,0))</f>
        <v>38.396999999999998</v>
      </c>
      <c r="H20" s="55">
        <f>H40*H$15</f>
        <v>40.316849999999995</v>
      </c>
      <c r="I20" s="56">
        <f>I40*I$15</f>
        <v>42.332692499999993</v>
      </c>
      <c r="J20" s="56">
        <f>J40*J$15</f>
        <v>44.449327124999996</v>
      </c>
      <c r="K20" s="56">
        <f>K40*K$15</f>
        <v>46.671793481249992</v>
      </c>
      <c r="L20" s="67">
        <f>L40*L$15</f>
        <v>49.005383155312501</v>
      </c>
    </row>
    <row r="21" spans="2:13" x14ac:dyDescent="0.15">
      <c r="B21" s="2" t="s">
        <v>10</v>
      </c>
      <c r="C21" s="49">
        <f>INDEX('Bojales Raw'!$B$6:$F$144,MATCH($B21,'Bojales Raw'!$A$6:$A$144,0),MATCH('Bojangles Financials'!C$12,'Bojales Raw'!$B$3:$F$3,0))</f>
        <v>0</v>
      </c>
      <c r="D21" s="49">
        <f>INDEX('Bojales Raw'!$B$6:$F$144,MATCH($B21,'Bojales Raw'!$A$6:$A$144,0),MATCH('Bojangles Financials'!D$12,'Bojales Raw'!$B$3:$F$3,0))</f>
        <v>0</v>
      </c>
      <c r="E21" s="49">
        <f>INDEX('Bojales Raw'!$B$6:$F$144,MATCH($B21,'Bojales Raw'!$A$6:$A$144,0),MATCH('Bojangles Financials'!E$12,'Bojales Raw'!$B$3:$F$3,0))</f>
        <v>0</v>
      </c>
      <c r="F21" s="49">
        <f>INDEX('Bojales Raw'!$B$6:$F$144,MATCH($B21,'Bojales Raw'!$A$6:$A$144,0),MATCH('Bojangles Financials'!F$12,'Bojales Raw'!$B$3:$F$3,0))</f>
        <v>0</v>
      </c>
      <c r="G21" s="49">
        <f>INDEX('Bojales Raw'!$B$6:$F$144,MATCH($B21,'Bojales Raw'!$A$6:$A$144,0),MATCH('Bojangles Financials'!G$12,'Bojales Raw'!$B$3:$F$3,0))</f>
        <v>0</v>
      </c>
      <c r="H21" s="55">
        <f>H41*H$15</f>
        <v>0</v>
      </c>
      <c r="I21" s="56">
        <f>I41*I$15</f>
        <v>0</v>
      </c>
      <c r="J21" s="56">
        <f>J41*J$15</f>
        <v>0</v>
      </c>
      <c r="K21" s="56">
        <f>K41*K$15</f>
        <v>0</v>
      </c>
      <c r="L21" s="67">
        <f>L41*L$15</f>
        <v>0</v>
      </c>
    </row>
    <row r="22" spans="2:13" x14ac:dyDescent="0.15">
      <c r="B22" s="2" t="s">
        <v>11</v>
      </c>
      <c r="C22" s="49">
        <f>INDEX('Bojales Raw'!$B$6:$F$144,MATCH($B22,'Bojales Raw'!$A$6:$A$144,0),MATCH('Bojangles Financials'!C$12,'Bojales Raw'!$B$3:$F$3,0))</f>
        <v>2.2000000000000002</v>
      </c>
      <c r="D22" s="49">
        <f>INDEX('Bojales Raw'!$B$6:$F$144,MATCH($B22,'Bojales Raw'!$A$6:$A$144,0),MATCH('Bojangles Financials'!D$12,'Bojales Raw'!$B$3:$F$3,0))</f>
        <v>2.4</v>
      </c>
      <c r="E22" s="49">
        <f>INDEX('Bojales Raw'!$B$6:$F$144,MATCH($B22,'Bojales Raw'!$A$6:$A$144,0),MATCH('Bojangles Financials'!E$12,'Bojales Raw'!$B$3:$F$3,0))</f>
        <v>2.8</v>
      </c>
      <c r="F22" s="49">
        <f>INDEX('Bojales Raw'!$B$6:$F$144,MATCH($B22,'Bojales Raw'!$A$6:$A$144,0),MATCH('Bojangles Financials'!F$12,'Bojales Raw'!$B$3:$F$3,0))</f>
        <v>2.9</v>
      </c>
      <c r="G22" s="49">
        <f>INDEX('Bojales Raw'!$B$6:$F$144,MATCH($B22,'Bojales Raw'!$A$6:$A$144,0),MATCH('Bojangles Financials'!G$12,'Bojales Raw'!$B$3:$F$3,0))</f>
        <v>2.9</v>
      </c>
      <c r="H22" s="55">
        <f>H42*H$15</f>
        <v>3.0449999999999995</v>
      </c>
      <c r="I22" s="56">
        <f>I42*I$15</f>
        <v>3.1972499999999995</v>
      </c>
      <c r="J22" s="56">
        <f>J42*J$15</f>
        <v>3.3571124999999995</v>
      </c>
      <c r="K22" s="56">
        <f>K42*K$15</f>
        <v>3.5249681249999996</v>
      </c>
      <c r="L22" s="67">
        <f>L42*L$15</f>
        <v>3.7012165312500001</v>
      </c>
    </row>
    <row r="23" spans="2:13" x14ac:dyDescent="0.15">
      <c r="B23" t="s">
        <v>14</v>
      </c>
      <c r="C23" s="49">
        <f>INDEX('Bojales Raw'!$B$6:$F$144,MATCH($B23,'Bojales Raw'!$A$6:$A$144,0),MATCH('Bojangles Financials'!C$12,'Bojales Raw'!$B$3:$F$3,0))</f>
        <v>0</v>
      </c>
      <c r="D23" s="49">
        <f>INDEX('Bojales Raw'!$B$6:$F$144,MATCH($B23,'Bojales Raw'!$A$6:$A$144,0),MATCH('Bojangles Financials'!D$12,'Bojales Raw'!$B$3:$F$3,0))</f>
        <v>0</v>
      </c>
      <c r="E23" s="49">
        <f>INDEX('Bojales Raw'!$B$6:$F$144,MATCH($B23,'Bojales Raw'!$A$6:$A$144,0),MATCH('Bojangles Financials'!E$12,'Bojales Raw'!$B$3:$F$3,0))</f>
        <v>0</v>
      </c>
      <c r="F23" s="49">
        <f>INDEX('Bojales Raw'!$B$6:$F$144,MATCH($B23,'Bojales Raw'!$A$6:$A$144,0),MATCH('Bojangles Financials'!F$12,'Bojales Raw'!$B$3:$F$3,0))</f>
        <v>0</v>
      </c>
      <c r="G23" s="49">
        <f>INDEX('Bojales Raw'!$B$6:$F$144,MATCH($B23,'Bojales Raw'!$A$6:$A$144,0),MATCH('Bojangles Financials'!G$12,'Bojales Raw'!$B$3:$F$3,0))</f>
        <v>0</v>
      </c>
      <c r="H23" s="55">
        <f>H43*H$15</f>
        <v>1.7849999999999999</v>
      </c>
      <c r="I23" s="56">
        <f>I43*I$15</f>
        <v>1.87425</v>
      </c>
      <c r="J23" s="56">
        <f>J43*J$15</f>
        <v>1.9679624999999998</v>
      </c>
      <c r="K23" s="56">
        <f>K43*K$15</f>
        <v>2.0663606249999997</v>
      </c>
      <c r="L23" s="67">
        <f>L43*L$15</f>
        <v>2.1696786562499999</v>
      </c>
    </row>
    <row r="24" spans="2:13" x14ac:dyDescent="0.15">
      <c r="B24" s="2" t="s">
        <v>13</v>
      </c>
      <c r="C24" s="49">
        <f>INDEX('Bojales Raw'!$B$6:$F$144,MATCH($B24,'Bojales Raw'!$A$6:$A$144,0),MATCH('Bojangles Financials'!C$12,'Bojales Raw'!$B$3:$F$3,0))</f>
        <v>0.1</v>
      </c>
      <c r="D24" s="49">
        <f>INDEX('Bojales Raw'!$B$6:$F$144,MATCH($B24,'Bojales Raw'!$A$6:$A$144,0),MATCH('Bojangles Financials'!D$12,'Bojales Raw'!$B$3:$F$3,0))</f>
        <v>0.5</v>
      </c>
      <c r="E24" s="49">
        <f>INDEX('Bojales Raw'!$B$6:$F$144,MATCH($B24,'Bojales Raw'!$A$6:$A$144,0),MATCH('Bojangles Financials'!E$12,'Bojales Raw'!$B$3:$F$3,0))</f>
        <v>1.5</v>
      </c>
      <c r="F24" s="49">
        <f>INDEX('Bojales Raw'!$B$6:$F$144,MATCH($B24,'Bojales Raw'!$A$6:$A$144,0),MATCH('Bojangles Financials'!F$12,'Bojales Raw'!$B$3:$F$3,0))</f>
        <v>2</v>
      </c>
      <c r="G24" s="49">
        <f>INDEX('Bojales Raw'!$B$6:$F$144,MATCH($B24,'Bojales Raw'!$A$6:$A$144,0),MATCH('Bojangles Financials'!G$12,'Bojales Raw'!$B$3:$F$3,0))</f>
        <v>1.7</v>
      </c>
      <c r="H24" s="55">
        <f>H44*H$15</f>
        <v>0</v>
      </c>
      <c r="I24" s="56">
        <f>I44*I$15</f>
        <v>0</v>
      </c>
      <c r="J24" s="56">
        <f>J44*J$15</f>
        <v>0</v>
      </c>
      <c r="K24" s="56">
        <f>K44*K$15</f>
        <v>0</v>
      </c>
      <c r="L24" s="67">
        <f>L44*L$15</f>
        <v>0</v>
      </c>
    </row>
    <row r="25" spans="2:13" x14ac:dyDescent="0.15">
      <c r="B25" s="2"/>
      <c r="H25" s="58"/>
      <c r="I25" s="59"/>
      <c r="J25" s="59"/>
      <c r="K25" s="59"/>
      <c r="L25" s="68"/>
    </row>
    <row r="26" spans="2:13" x14ac:dyDescent="0.15">
      <c r="B26" s="2" t="s">
        <v>15</v>
      </c>
      <c r="C26">
        <f>INDEX('Bojales Raw'!$B$6:$F$144,MATCH($B26,'Bojales Raw'!$A$6:$A$144,0),MATCH('Bojangles Financials'!C$12,'Bojales Raw'!$B$3:$F$3,0))</f>
        <v>331.8</v>
      </c>
      <c r="D26">
        <f>INDEX('Bojales Raw'!$B$6:$F$144,MATCH($B26,'Bojales Raw'!$A$6:$A$144,0),MATCH('Bojangles Financials'!D$12,'Bojales Raw'!$B$3:$F$3,0))</f>
        <v>378.9</v>
      </c>
      <c r="E26">
        <f>INDEX('Bojales Raw'!$B$6:$F$144,MATCH($B26,'Bojales Raw'!$A$6:$A$144,0),MATCH('Bojangles Financials'!E$12,'Bojales Raw'!$B$3:$F$3,0))</f>
        <v>436.5</v>
      </c>
      <c r="F26">
        <f>INDEX('Bojales Raw'!$B$6:$F$144,MATCH($B26,'Bojales Raw'!$A$6:$A$144,0),MATCH('Bojangles Financials'!F$12,'Bojales Raw'!$B$3:$F$3,0))</f>
        <v>466.4</v>
      </c>
      <c r="G26">
        <f>INDEX('Bojales Raw'!$B$6:$F$144,MATCH($B26,'Bojales Raw'!$A$6:$A$144,0),MATCH('Bojangles Financials'!G$12,'Bojales Raw'!$B$3:$F$3,0))</f>
        <v>494.5</v>
      </c>
      <c r="H26" s="55">
        <f>H18+SUM(H20:H24)</f>
        <v>519.16409999999996</v>
      </c>
      <c r="I26" s="56">
        <f t="shared" ref="I26:L26" si="4">I18+SUM(I20:I24)</f>
        <v>545.12230499999998</v>
      </c>
      <c r="J26" s="56">
        <f t="shared" si="4"/>
        <v>572.37842024999986</v>
      </c>
      <c r="K26" s="56">
        <f t="shared" si="4"/>
        <v>600.99734126249996</v>
      </c>
      <c r="L26" s="67">
        <f t="shared" si="4"/>
        <v>631.04720832562498</v>
      </c>
    </row>
    <row r="27" spans="2:13" x14ac:dyDescent="0.15">
      <c r="B27" s="32" t="s">
        <v>16</v>
      </c>
      <c r="C27" s="51">
        <f>INDEX('Bojales Raw'!$B$6:$F$144,MATCH($B27,'Bojales Raw'!$A$6:$A$144,0),MATCH('Bojangles Financials'!C$12,'Bojales Raw'!$B$3:$F$3,0))</f>
        <v>43.320999999999998</v>
      </c>
      <c r="D27" s="51">
        <f>INDEX('Bojales Raw'!$B$6:$F$144,MATCH($B27,'Bojales Raw'!$A$6:$A$144,0),MATCH('Bojangles Financials'!D$12,'Bojales Raw'!$B$3:$F$3,0))</f>
        <v>51.563000000000002</v>
      </c>
      <c r="E27" s="51">
        <f>INDEX('Bojales Raw'!$B$6:$F$144,MATCH($B27,'Bojales Raw'!$A$6:$A$144,0),MATCH('Bojangles Financials'!E$12,'Bojales Raw'!$B$3:$F$3,0))</f>
        <v>51.688000000000002</v>
      </c>
      <c r="F27" s="51">
        <f>INDEX('Bojales Raw'!$B$6:$F$144,MATCH($B27,'Bojales Raw'!$A$6:$A$144,0),MATCH('Bojangles Financials'!F$12,'Bojales Raw'!$B$3:$F$3,0))</f>
        <v>65.501000000000005</v>
      </c>
      <c r="G27" s="51">
        <f>INDEX('Bojales Raw'!$B$6:$F$144,MATCH($B27,'Bojales Raw'!$A$6:$A$144,0),MATCH('Bojangles Financials'!G$12,'Bojales Raw'!$B$3:$F$3,0))</f>
        <v>52.942</v>
      </c>
      <c r="H27" s="62">
        <f>H15-H26</f>
        <v>55.645800000000008</v>
      </c>
      <c r="I27" s="51">
        <f t="shared" ref="I27:L27" si="5">I15-I26</f>
        <v>58.428089999999997</v>
      </c>
      <c r="J27" s="51">
        <f t="shared" si="5"/>
        <v>61.349494500000105</v>
      </c>
      <c r="K27" s="51">
        <f t="shared" si="5"/>
        <v>64.416969225000003</v>
      </c>
      <c r="L27" s="70">
        <f t="shared" si="5"/>
        <v>67.63781768625006</v>
      </c>
    </row>
    <row r="28" spans="2:13" x14ac:dyDescent="0.15">
      <c r="B28" s="4" t="s">
        <v>102</v>
      </c>
      <c r="C28" s="30">
        <f>C27/C15</f>
        <v>0.11547278242465922</v>
      </c>
      <c r="D28" s="30">
        <f t="shared" ref="D28:L28" si="6">D27/D15</f>
        <v>0.11978247133379176</v>
      </c>
      <c r="E28" s="30">
        <f t="shared" si="6"/>
        <v>0.10587420780742399</v>
      </c>
      <c r="F28" s="30">
        <f t="shared" si="6"/>
        <v>0.12314972710061087</v>
      </c>
      <c r="G28" s="30">
        <f t="shared" si="6"/>
        <v>9.6708668378884921E-2</v>
      </c>
      <c r="H28" s="63">
        <f t="shared" si="6"/>
        <v>9.6807309686211054E-2</v>
      </c>
      <c r="I28" s="64">
        <f t="shared" si="6"/>
        <v>9.680730968621104E-2</v>
      </c>
      <c r="J28" s="64">
        <f t="shared" si="6"/>
        <v>9.6807309686211207E-2</v>
      </c>
      <c r="K28" s="64">
        <f t="shared" si="6"/>
        <v>9.6807309686211054E-2</v>
      </c>
      <c r="L28" s="71">
        <f t="shared" si="6"/>
        <v>9.6807309686211124E-2</v>
      </c>
    </row>
    <row r="29" spans="2:13" ht="14" thickBot="1" x14ac:dyDescent="0.2">
      <c r="B29" s="98" t="s">
        <v>147</v>
      </c>
      <c r="C29" s="52">
        <f>C27+C22</f>
        <v>45.521000000000001</v>
      </c>
      <c r="D29" s="52">
        <f t="shared" ref="D29:L29" si="7">D27+D22</f>
        <v>53.963000000000001</v>
      </c>
      <c r="E29" s="52">
        <f t="shared" si="7"/>
        <v>54.488</v>
      </c>
      <c r="F29" s="52">
        <f t="shared" si="7"/>
        <v>68.40100000000001</v>
      </c>
      <c r="G29" s="52">
        <f t="shared" si="7"/>
        <v>55.841999999999999</v>
      </c>
      <c r="H29" s="65">
        <f t="shared" si="7"/>
        <v>58.69080000000001</v>
      </c>
      <c r="I29" s="52">
        <f t="shared" si="7"/>
        <v>61.625339999999994</v>
      </c>
      <c r="J29" s="52">
        <f t="shared" si="7"/>
        <v>64.706607000000105</v>
      </c>
      <c r="K29" s="52">
        <f t="shared" si="7"/>
        <v>67.941937350000003</v>
      </c>
      <c r="L29" s="72">
        <f t="shared" si="7"/>
        <v>71.339034217500057</v>
      </c>
    </row>
    <row r="30" spans="2:13" ht="14" thickTop="1" x14ac:dyDescent="0.15">
      <c r="B30" s="4" t="s">
        <v>148</v>
      </c>
      <c r="C30" s="30">
        <f>C29/C15</f>
        <v>0.12133691578571391</v>
      </c>
      <c r="D30" s="30">
        <f t="shared" ref="D30:L30" si="8">D29/D15</f>
        <v>0.12535774684532328</v>
      </c>
      <c r="E30" s="30">
        <f t="shared" si="8"/>
        <v>0.11160953867456504</v>
      </c>
      <c r="F30" s="30">
        <f t="shared" si="8"/>
        <v>0.1286020745241887</v>
      </c>
      <c r="G30" s="30">
        <f t="shared" si="8"/>
        <v>0.10200607192047319</v>
      </c>
      <c r="H30" s="107">
        <f t="shared" si="8"/>
        <v>0.10210471322779933</v>
      </c>
      <c r="I30" s="108">
        <f t="shared" si="8"/>
        <v>0.10210471322779931</v>
      </c>
      <c r="J30" s="108">
        <f t="shared" si="8"/>
        <v>0.10210471322779949</v>
      </c>
      <c r="K30" s="108">
        <f t="shared" si="8"/>
        <v>0.10210471322779932</v>
      </c>
      <c r="L30" s="109">
        <f t="shared" si="8"/>
        <v>0.10210471322779939</v>
      </c>
      <c r="M30" t="s">
        <v>167</v>
      </c>
    </row>
    <row r="31" spans="2:13" x14ac:dyDescent="0.15">
      <c r="B31" s="4"/>
      <c r="C31" s="30"/>
      <c r="D31" s="30"/>
      <c r="E31" s="30"/>
      <c r="F31" s="30"/>
      <c r="G31" s="30"/>
      <c r="H31" s="63"/>
      <c r="I31" s="64"/>
      <c r="J31" s="64"/>
      <c r="K31" s="64"/>
      <c r="L31" s="71"/>
    </row>
    <row r="32" spans="2:13" x14ac:dyDescent="0.15">
      <c r="B32" s="105" t="s">
        <v>82</v>
      </c>
      <c r="C32" s="48">
        <f>INDEX('Bojales Raw'!$B$6:$F$144,MATCH($B32,'Bojales Raw'!$A$6:$A$144,0),MATCH('Bojangles Financials'!C$12,'Bojales Raw'!$B$3:$F$3,0))</f>
        <v>-9.4309999999999992</v>
      </c>
      <c r="D32" s="48">
        <f>INDEX('Bojales Raw'!$B$6:$F$144,MATCH($B32,'Bojales Raw'!$A$6:$A$144,0),MATCH('Bojangles Financials'!D$12,'Bojales Raw'!$B$3:$F$3,0))</f>
        <v>-10.682</v>
      </c>
      <c r="E32" s="48">
        <f>INDEX('Bojales Raw'!$B$6:$F$144,MATCH($B32,'Bojales Raw'!$A$6:$A$144,0),MATCH('Bojangles Financials'!E$12,'Bojales Raw'!$B$3:$F$3,0))</f>
        <v>-12.233000000000001</v>
      </c>
      <c r="F32" s="48">
        <f>INDEX('Bojales Raw'!$B$6:$F$144,MATCH($B32,'Bojales Raw'!$A$6:$A$144,0),MATCH('Bojangles Financials'!F$12,'Bojales Raw'!$B$3:$F$3,0))</f>
        <v>-9.7949999999999999</v>
      </c>
      <c r="G32" s="48">
        <f>INDEX('Bojales Raw'!$B$6:$F$144,MATCH($B32,'Bojales Raw'!$A$6:$A$144,0),MATCH('Bojangles Financials'!G$12,'Bojales Raw'!$B$3:$F$3,0))</f>
        <v>-9.6159999999999997</v>
      </c>
      <c r="H32" s="110">
        <f>H46*-1*H15</f>
        <v>-10.096799999999998</v>
      </c>
      <c r="I32" s="106">
        <f>I46*-1*I15</f>
        <v>-10.601639999999998</v>
      </c>
      <c r="J32" s="106">
        <f>J46*-1*J15</f>
        <v>-11.131721999999998</v>
      </c>
      <c r="K32" s="106">
        <f>K46*-1*K15</f>
        <v>-11.688308099999999</v>
      </c>
      <c r="L32" s="111">
        <f>L46*-1*L15</f>
        <v>-12.272723505</v>
      </c>
    </row>
    <row r="33" spans="2:13" x14ac:dyDescent="0.15">
      <c r="B33" s="105" t="s">
        <v>80</v>
      </c>
      <c r="C33" s="48">
        <f>INDEX('Bojales Raw'!$B$6:$F$144,MATCH($B33,'Bojales Raw'!$A$6:$A$144,0),MATCH('Bojangles Financials'!C$12,'Bojales Raw'!$B$3:$F$3,0))</f>
        <v>3.6749999999999998</v>
      </c>
      <c r="D33" s="48">
        <f>INDEX('Bojales Raw'!$B$6:$F$144,MATCH($B33,'Bojales Raw'!$A$6:$A$144,0),MATCH('Bojangles Financials'!D$12,'Bojales Raw'!$B$3:$F$3,0))</f>
        <v>1.532</v>
      </c>
      <c r="E33" s="48">
        <f>INDEX('Bojales Raw'!$B$6:$F$144,MATCH($B33,'Bojales Raw'!$A$6:$A$144,0),MATCH('Bojangles Financials'!E$12,'Bojales Raw'!$B$3:$F$3,0))</f>
        <v>2.7789999999999999</v>
      </c>
      <c r="F33" s="48">
        <f>INDEX('Bojales Raw'!$B$6:$F$144,MATCH($B33,'Bojales Raw'!$A$6:$A$144,0),MATCH('Bojangles Financials'!F$12,'Bojales Raw'!$B$3:$F$3,0))</f>
        <v>1.36</v>
      </c>
      <c r="G33" s="48">
        <f>INDEX('Bojales Raw'!$B$6:$F$144,MATCH($B33,'Bojales Raw'!$A$6:$A$144,0),MATCH('Bojangles Financials'!G$12,'Bojales Raw'!$B$3:$F$3,0))</f>
        <v>-2.83</v>
      </c>
      <c r="H33" s="112">
        <f>H16*H47</f>
        <v>0</v>
      </c>
      <c r="I33" s="113">
        <f>I16*I47</f>
        <v>0</v>
      </c>
      <c r="J33" s="113">
        <f>J16*J47</f>
        <v>0</v>
      </c>
      <c r="K33" s="113">
        <f>K16*K47</f>
        <v>0</v>
      </c>
      <c r="L33" s="114">
        <f>L16*L47</f>
        <v>0</v>
      </c>
    </row>
    <row r="35" spans="2:13" ht="16" x14ac:dyDescent="0.15">
      <c r="B35" s="6" t="s">
        <v>149</v>
      </c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2:13" x14ac:dyDescent="0.1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3" x14ac:dyDescent="0.15">
      <c r="B37" s="8" t="s">
        <v>166</v>
      </c>
      <c r="C37" s="8"/>
      <c r="D37" s="8"/>
      <c r="E37" s="8"/>
      <c r="F37" s="8"/>
      <c r="G37" s="8"/>
      <c r="H37" s="9"/>
      <c r="I37" s="9"/>
      <c r="J37" s="9"/>
      <c r="K37" s="9"/>
      <c r="L37" s="9"/>
    </row>
    <row r="38" spans="2:13" x14ac:dyDescent="0.15">
      <c r="B38" t="s">
        <v>159</v>
      </c>
      <c r="D38" s="30">
        <f>D15/C15 - 1</f>
        <v>0.1474296437272431</v>
      </c>
      <c r="E38" s="30">
        <f>E15/D15 - 1</f>
        <v>0.13410860636696476</v>
      </c>
      <c r="F38" s="30">
        <f>F15/E15 - 1</f>
        <v>8.946911319494788E-2</v>
      </c>
      <c r="G38" s="30">
        <f>G15/F15 - 1</f>
        <v>2.9249023747793146E-2</v>
      </c>
      <c r="H38" s="95">
        <v>0.05</v>
      </c>
      <c r="I38" s="96">
        <v>0.05</v>
      </c>
      <c r="J38" s="96">
        <v>0.05</v>
      </c>
      <c r="K38" s="96">
        <v>0.05</v>
      </c>
      <c r="L38" s="97">
        <v>0.05</v>
      </c>
    </row>
    <row r="39" spans="2:13" x14ac:dyDescent="0.15">
      <c r="B39" s="2" t="s">
        <v>150</v>
      </c>
      <c r="C39" s="10">
        <f>C18/C15</f>
        <v>0.80528411726134319</v>
      </c>
      <c r="D39" s="10">
        <f>D18/D15</f>
        <v>0.79885799773272137</v>
      </c>
      <c r="E39" s="10">
        <f>E18/E15</f>
        <v>0.79744654876465071</v>
      </c>
      <c r="F39" s="10">
        <f>F18/F15</f>
        <v>0.79425284979158872</v>
      </c>
      <c r="G39" s="10">
        <f>G18/G15</f>
        <v>0.824650462700799</v>
      </c>
      <c r="H39" s="15">
        <f>$G$39</f>
        <v>0.824650462700799</v>
      </c>
      <c r="I39" s="88">
        <f t="shared" ref="I39:L39" si="9">$G$39</f>
        <v>0.824650462700799</v>
      </c>
      <c r="J39" s="88">
        <f t="shared" si="9"/>
        <v>0.824650462700799</v>
      </c>
      <c r="K39" s="88">
        <f t="shared" si="9"/>
        <v>0.824650462700799</v>
      </c>
      <c r="L39" s="16">
        <f t="shared" si="9"/>
        <v>0.824650462700799</v>
      </c>
      <c r="M39" t="s">
        <v>160</v>
      </c>
    </row>
    <row r="40" spans="2:13" x14ac:dyDescent="0.15">
      <c r="B40" s="14" t="s">
        <v>151</v>
      </c>
      <c r="C40" s="10">
        <f>C20/C15</f>
        <v>7.3243025679573096E-2</v>
      </c>
      <c r="D40" s="10">
        <f>D20/D15</f>
        <v>7.458557118697616E-2</v>
      </c>
      <c r="E40" s="10">
        <f>E20/E15</f>
        <v>8.775875559706843E-2</v>
      </c>
      <c r="F40" s="10">
        <f>F20/F15</f>
        <v>7.3401757159966233E-2</v>
      </c>
      <c r="G40" s="10">
        <f>G20/G15</f>
        <v>7.0139449581505114E-2</v>
      </c>
      <c r="H40" s="15">
        <f>$G$40</f>
        <v>7.0139449581505114E-2</v>
      </c>
      <c r="I40" s="88">
        <f t="shared" ref="I40:L40" si="10">$G$40</f>
        <v>7.0139449581505114E-2</v>
      </c>
      <c r="J40" s="88">
        <f t="shared" si="10"/>
        <v>7.0139449581505114E-2</v>
      </c>
      <c r="K40" s="88">
        <f t="shared" si="10"/>
        <v>7.0139449581505114E-2</v>
      </c>
      <c r="L40" s="16">
        <f t="shared" si="10"/>
        <v>7.0139449581505114E-2</v>
      </c>
    </row>
    <row r="41" spans="2:13" x14ac:dyDescent="0.15">
      <c r="B41" s="14" t="s">
        <v>152</v>
      </c>
      <c r="C41" s="10">
        <f>C21/C15</f>
        <v>0</v>
      </c>
      <c r="D41" s="10">
        <f>D21/D15</f>
        <v>0</v>
      </c>
      <c r="E41" s="10">
        <f>E21/E15</f>
        <v>0</v>
      </c>
      <c r="F41" s="10">
        <f>F21/F15</f>
        <v>0</v>
      </c>
      <c r="G41" s="10">
        <f>G21/G15</f>
        <v>0</v>
      </c>
      <c r="H41" s="15">
        <f>$G$41</f>
        <v>0</v>
      </c>
      <c r="I41" s="88">
        <f t="shared" ref="I41:L41" si="11">$G$41</f>
        <v>0</v>
      </c>
      <c r="J41" s="88">
        <f t="shared" si="11"/>
        <v>0</v>
      </c>
      <c r="K41" s="88">
        <f t="shared" si="11"/>
        <v>0</v>
      </c>
      <c r="L41" s="16">
        <f t="shared" si="11"/>
        <v>0</v>
      </c>
    </row>
    <row r="42" spans="2:13" x14ac:dyDescent="0.15">
      <c r="B42" s="14" t="s">
        <v>153</v>
      </c>
      <c r="C42" s="10">
        <f>C22/C15</f>
        <v>5.8641333610546919E-3</v>
      </c>
      <c r="D42" s="10">
        <f>D22/D15</f>
        <v>5.5752755115315283E-3</v>
      </c>
      <c r="E42" s="10">
        <f>E22/E15</f>
        <v>5.7353308671410598E-3</v>
      </c>
      <c r="F42" s="10">
        <f>F22/F15</f>
        <v>5.4523474235778305E-3</v>
      </c>
      <c r="G42" s="10">
        <f>G22/G15</f>
        <v>5.2974035415882708E-3</v>
      </c>
      <c r="H42" s="15">
        <f>$G$42</f>
        <v>5.2974035415882708E-3</v>
      </c>
      <c r="I42" s="88">
        <f t="shared" ref="I42:L42" si="12">$G$42</f>
        <v>5.2974035415882708E-3</v>
      </c>
      <c r="J42" s="88">
        <f t="shared" si="12"/>
        <v>5.2974035415882708E-3</v>
      </c>
      <c r="K42" s="88">
        <f t="shared" si="12"/>
        <v>5.2974035415882708E-3</v>
      </c>
      <c r="L42" s="16">
        <f t="shared" si="12"/>
        <v>5.2974035415882708E-3</v>
      </c>
    </row>
    <row r="43" spans="2:13" x14ac:dyDescent="0.15">
      <c r="B43" s="14" t="s">
        <v>154</v>
      </c>
      <c r="C43" s="10">
        <f>C24/C15</f>
        <v>2.6655151641157687E-4</v>
      </c>
      <c r="D43" s="10">
        <f>D24/D15</f>
        <v>1.1615157315690685E-3</v>
      </c>
      <c r="E43" s="10">
        <f>E24/E15</f>
        <v>3.0724986788255681E-3</v>
      </c>
      <c r="F43" s="10">
        <f>F24/F15</f>
        <v>3.7602396024674694E-3</v>
      </c>
      <c r="G43" s="10">
        <f>G24/G15</f>
        <v>3.1053744898965727E-3</v>
      </c>
      <c r="H43" s="17">
        <f>$G$43</f>
        <v>3.1053744898965727E-3</v>
      </c>
      <c r="I43" s="18">
        <f t="shared" ref="I43:L43" si="13">$G$43</f>
        <v>3.1053744898965727E-3</v>
      </c>
      <c r="J43" s="18">
        <f t="shared" si="13"/>
        <v>3.1053744898965727E-3</v>
      </c>
      <c r="K43" s="18">
        <f t="shared" si="13"/>
        <v>3.1053744898965727E-3</v>
      </c>
      <c r="L43" s="19">
        <f t="shared" si="13"/>
        <v>3.1053744898965727E-3</v>
      </c>
    </row>
    <row r="44" spans="2:13" x14ac:dyDescent="0.15">
      <c r="B44" s="20"/>
      <c r="C44" s="21"/>
      <c r="D44" s="21"/>
      <c r="E44" s="21"/>
      <c r="F44" s="21"/>
      <c r="G44" s="21"/>
      <c r="H44" s="22"/>
      <c r="I44" s="22"/>
      <c r="J44" s="22"/>
      <c r="K44" s="22"/>
      <c r="L44" s="22"/>
    </row>
    <row r="45" spans="2:13" x14ac:dyDescent="0.15">
      <c r="B45" s="23" t="s">
        <v>155</v>
      </c>
      <c r="C45" s="23"/>
      <c r="D45" s="23"/>
      <c r="E45" s="23"/>
      <c r="F45" s="23"/>
      <c r="G45" s="23"/>
      <c r="H45" s="9"/>
      <c r="I45" s="9"/>
      <c r="J45" s="9"/>
      <c r="K45" s="9"/>
      <c r="L45" s="9"/>
    </row>
    <row r="46" spans="2:13" x14ac:dyDescent="0.15">
      <c r="B46" s="5" t="s">
        <v>156</v>
      </c>
      <c r="C46" s="24">
        <f>C32/C15*-1</f>
        <v>2.5138473512775813E-2</v>
      </c>
      <c r="D46" s="24">
        <f>D32/D15*-1</f>
        <v>2.4814622089241577E-2</v>
      </c>
      <c r="E46" s="24">
        <f>E32/E15*-1</f>
        <v>2.5057250892048785E-2</v>
      </c>
      <c r="F46" s="24">
        <f>F32/F15*-1</f>
        <v>1.8415773453084431E-2</v>
      </c>
      <c r="G46" s="24">
        <f>G32/G15*-1</f>
        <v>1.7565459467556142E-2</v>
      </c>
      <c r="H46" s="11">
        <f>$G$46</f>
        <v>1.7565459467556142E-2</v>
      </c>
      <c r="I46" s="12">
        <f t="shared" ref="I46:L46" si="14">$G$46</f>
        <v>1.7565459467556142E-2</v>
      </c>
      <c r="J46" s="12">
        <f t="shared" si="14"/>
        <v>1.7565459467556142E-2</v>
      </c>
      <c r="K46" s="12">
        <f t="shared" si="14"/>
        <v>1.7565459467556142E-2</v>
      </c>
      <c r="L46" s="13">
        <f t="shared" si="14"/>
        <v>1.7565459467556142E-2</v>
      </c>
    </row>
    <row r="47" spans="2:13" x14ac:dyDescent="0.15">
      <c r="B47" s="5" t="s">
        <v>157</v>
      </c>
      <c r="C47" s="25">
        <v>-2.8230499999999999E-2</v>
      </c>
      <c r="D47" s="25">
        <v>-2.53263E-2</v>
      </c>
      <c r="E47" s="25">
        <v>-1.2197599999999999E-2</v>
      </c>
      <c r="F47" s="25">
        <v>-6.0998999999999998E-2</v>
      </c>
      <c r="G47" s="25">
        <v>7.2305900000000003E-3</v>
      </c>
      <c r="H47" s="17">
        <v>0</v>
      </c>
      <c r="I47" s="18">
        <v>0</v>
      </c>
      <c r="J47" s="18">
        <v>0</v>
      </c>
      <c r="K47" s="18">
        <v>0</v>
      </c>
      <c r="L47" s="19">
        <v>0</v>
      </c>
    </row>
    <row r="49" spans="2:12" x14ac:dyDescent="0.15">
      <c r="B49" t="s">
        <v>158</v>
      </c>
      <c r="C49" s="26">
        <v>0.24</v>
      </c>
      <c r="D49" s="27">
        <f>C49</f>
        <v>0.24</v>
      </c>
      <c r="E49" s="27">
        <f t="shared" ref="E49:L49" si="15">D49</f>
        <v>0.24</v>
      </c>
      <c r="F49" s="27">
        <f t="shared" si="15"/>
        <v>0.24</v>
      </c>
      <c r="G49" s="27">
        <f t="shared" si="15"/>
        <v>0.24</v>
      </c>
      <c r="H49" s="89">
        <f t="shared" si="15"/>
        <v>0.24</v>
      </c>
      <c r="I49" s="27">
        <f t="shared" si="15"/>
        <v>0.24</v>
      </c>
      <c r="J49" s="27">
        <f t="shared" si="15"/>
        <v>0.24</v>
      </c>
      <c r="K49" s="27">
        <f t="shared" si="15"/>
        <v>0.24</v>
      </c>
      <c r="L49" s="28">
        <f t="shared" si="15"/>
        <v>0.24</v>
      </c>
    </row>
    <row r="58" spans="2:12" x14ac:dyDescent="0.15">
      <c r="E58" s="49">
        <f>AVERAGE(C29:G29)</f>
        <v>55.643000000000008</v>
      </c>
    </row>
  </sheetData>
  <mergeCells count="4">
    <mergeCell ref="B4:L8"/>
    <mergeCell ref="C11:G11"/>
    <mergeCell ref="H11:L11"/>
    <mergeCell ref="B10:L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C980-81AC-BF4B-AA84-B9B022D87BA9}">
  <dimension ref="B1:L52"/>
  <sheetViews>
    <sheetView showGridLines="0" zoomScale="101" workbookViewId="0">
      <selection activeCell="G38" sqref="G38:K38"/>
    </sheetView>
  </sheetViews>
  <sheetFormatPr baseColWidth="10" defaultRowHeight="13" x14ac:dyDescent="0.15"/>
  <cols>
    <col min="2" max="2" width="32.5" customWidth="1"/>
    <col min="3" max="11" width="12" customWidth="1"/>
  </cols>
  <sheetData>
    <row r="1" spans="2:12" ht="22" x14ac:dyDescent="0.3">
      <c r="B1" s="36" t="s">
        <v>213</v>
      </c>
    </row>
    <row r="2" spans="2:12" ht="16" x14ac:dyDescent="0.15">
      <c r="B2" s="6" t="s">
        <v>161</v>
      </c>
      <c r="C2" s="6"/>
      <c r="D2" s="6"/>
      <c r="E2" s="6"/>
      <c r="F2" s="6"/>
      <c r="G2" s="6"/>
      <c r="H2" s="6"/>
      <c r="I2" s="6"/>
      <c r="J2" s="6"/>
      <c r="K2" s="6"/>
    </row>
    <row r="4" spans="2:12" x14ac:dyDescent="0.15">
      <c r="B4" s="37" t="s">
        <v>165</v>
      </c>
      <c r="C4" s="38"/>
      <c r="D4" s="38"/>
      <c r="E4" s="38"/>
      <c r="F4" s="38"/>
      <c r="G4" s="38"/>
      <c r="H4" s="38"/>
      <c r="I4" s="38"/>
      <c r="J4" s="38"/>
      <c r="K4" s="39"/>
    </row>
    <row r="5" spans="2:12" x14ac:dyDescent="0.15">
      <c r="B5" s="40"/>
      <c r="C5" s="41"/>
      <c r="D5" s="41"/>
      <c r="E5" s="41"/>
      <c r="F5" s="41"/>
      <c r="G5" s="41"/>
      <c r="H5" s="41"/>
      <c r="I5" s="41"/>
      <c r="J5" s="41"/>
      <c r="K5" s="42"/>
    </row>
    <row r="6" spans="2:12" x14ac:dyDescent="0.15">
      <c r="B6" s="40"/>
      <c r="C6" s="41"/>
      <c r="D6" s="41"/>
      <c r="E6" s="41"/>
      <c r="F6" s="41"/>
      <c r="G6" s="41"/>
      <c r="H6" s="41"/>
      <c r="I6" s="41"/>
      <c r="J6" s="41"/>
      <c r="K6" s="42"/>
    </row>
    <row r="7" spans="2:12" x14ac:dyDescent="0.15">
      <c r="B7" s="40"/>
      <c r="C7" s="41"/>
      <c r="D7" s="41"/>
      <c r="E7" s="41"/>
      <c r="F7" s="41"/>
      <c r="G7" s="41"/>
      <c r="H7" s="41"/>
      <c r="I7" s="41"/>
      <c r="J7" s="41"/>
      <c r="K7" s="42"/>
    </row>
    <row r="8" spans="2:12" x14ac:dyDescent="0.15">
      <c r="B8" s="43"/>
      <c r="C8" s="44"/>
      <c r="D8" s="44"/>
      <c r="E8" s="44"/>
      <c r="F8" s="44"/>
      <c r="G8" s="44"/>
      <c r="H8" s="44"/>
      <c r="I8" s="44"/>
      <c r="J8" s="44"/>
      <c r="K8" s="45"/>
    </row>
    <row r="10" spans="2:12" ht="16" x14ac:dyDescent="0.15">
      <c r="B10" s="87" t="s">
        <v>161</v>
      </c>
      <c r="C10" s="87"/>
      <c r="D10" s="87"/>
      <c r="E10" s="87"/>
      <c r="F10" s="87"/>
      <c r="G10" s="87"/>
      <c r="H10" s="87"/>
      <c r="I10" s="87"/>
      <c r="J10" s="87"/>
      <c r="K10" s="87"/>
    </row>
    <row r="11" spans="2:12" x14ac:dyDescent="0.15">
      <c r="B11" s="77"/>
      <c r="C11" s="46"/>
      <c r="D11" s="46"/>
      <c r="E11" s="46"/>
      <c r="F11" s="46"/>
      <c r="G11" s="53" t="s">
        <v>163</v>
      </c>
      <c r="H11" s="54"/>
      <c r="I11" s="54"/>
      <c r="J11" s="54"/>
      <c r="K11" s="66"/>
      <c r="L11" t="s">
        <v>160</v>
      </c>
    </row>
    <row r="12" spans="2:12" x14ac:dyDescent="0.15">
      <c r="B12" s="78" t="s">
        <v>1</v>
      </c>
      <c r="C12" s="79">
        <v>42092</v>
      </c>
      <c r="D12" s="79">
        <v>42372</v>
      </c>
      <c r="E12" s="79">
        <v>42736</v>
      </c>
      <c r="F12" s="79">
        <v>43100</v>
      </c>
      <c r="G12" s="80">
        <f>EDATE(F12,12)</f>
        <v>43465</v>
      </c>
      <c r="H12" s="81">
        <f t="shared" ref="H12:K12" si="0">EDATE(G12,12)</f>
        <v>43830</v>
      </c>
      <c r="I12" s="81">
        <f t="shared" si="0"/>
        <v>44196</v>
      </c>
      <c r="J12" s="81">
        <f t="shared" si="0"/>
        <v>44561</v>
      </c>
      <c r="K12" s="82">
        <f t="shared" si="0"/>
        <v>44926</v>
      </c>
    </row>
    <row r="13" spans="2:12" x14ac:dyDescent="0.15">
      <c r="C13" t="s">
        <v>164</v>
      </c>
      <c r="D13" t="s">
        <v>164</v>
      </c>
      <c r="E13" t="s">
        <v>164</v>
      </c>
      <c r="F13" t="s">
        <v>164</v>
      </c>
      <c r="G13" s="58" t="s">
        <v>164</v>
      </c>
      <c r="H13" s="59" t="s">
        <v>164</v>
      </c>
      <c r="I13" s="59" t="s">
        <v>164</v>
      </c>
      <c r="J13" s="59" t="s">
        <v>164</v>
      </c>
      <c r="K13" s="68" t="s">
        <v>164</v>
      </c>
    </row>
    <row r="14" spans="2:12" x14ac:dyDescent="0.15">
      <c r="C14" t="s">
        <v>5</v>
      </c>
      <c r="D14" t="s">
        <v>5</v>
      </c>
      <c r="E14" t="s">
        <v>5</v>
      </c>
      <c r="F14" t="s">
        <v>5</v>
      </c>
      <c r="G14" s="58" t="s">
        <v>5</v>
      </c>
      <c r="H14" s="59" t="s">
        <v>5</v>
      </c>
      <c r="I14" s="59" t="s">
        <v>5</v>
      </c>
      <c r="J14" s="59" t="s">
        <v>5</v>
      </c>
      <c r="K14" s="68" t="s">
        <v>5</v>
      </c>
    </row>
    <row r="15" spans="2:12" x14ac:dyDescent="0.15">
      <c r="B15" s="83" t="s">
        <v>6</v>
      </c>
      <c r="C15" s="84">
        <f>INDEX('Fogo De Chao'!$B$6:$E$144,MATCH($B15,'Fogo De Chao'!$A$6:$A$144,0),MATCH('Fogo De Chao Financials'!C$12,'Fogo De Chao'!$B$3:$E$3,0))</f>
        <v>219.239</v>
      </c>
      <c r="D15" s="84">
        <f>INDEX('Fogo De Chao'!$B$6:$E$144,MATCH($B15,'Fogo De Chao'!$A$6:$A$144,0),MATCH('Fogo De Chao Financials'!D$12,'Fogo De Chao'!$B$3:$E$3,0))</f>
        <v>271.63400000000001</v>
      </c>
      <c r="E15" s="84">
        <f>INDEX('Fogo De Chao'!$B$6:$E$144,MATCH($B15,'Fogo De Chao'!$A$6:$A$144,0),MATCH('Fogo De Chao Financials'!E$12,'Fogo De Chao'!$B$3:$E$3,0))</f>
        <v>288.29599999999999</v>
      </c>
      <c r="F15" s="84">
        <f>INDEX('Fogo De Chao'!$B$6:$E$144,MATCH($B15,'Fogo De Chao'!$A$6:$A$144,0),MATCH('Fogo De Chao Financials'!F$12,'Fogo De Chao'!$B$3:$E$3,0))</f>
        <v>314.35899999999998</v>
      </c>
      <c r="G15" s="85">
        <f>F15*(1+G38)</f>
        <v>330.07695000000001</v>
      </c>
      <c r="H15" s="84">
        <f>G15*(1+H38)</f>
        <v>346.58079750000002</v>
      </c>
      <c r="I15" s="84">
        <f>H15*(1+I38)</f>
        <v>363.90983737500005</v>
      </c>
      <c r="J15" s="84">
        <f>I15*(1+J38)</f>
        <v>382.10532924375008</v>
      </c>
      <c r="K15" s="86">
        <f>J15*(1+K38)</f>
        <v>401.21059570593758</v>
      </c>
    </row>
    <row r="16" spans="2:12" x14ac:dyDescent="0.15">
      <c r="B16" s="3" t="s">
        <v>146</v>
      </c>
      <c r="C16" s="34"/>
      <c r="D16" s="34">
        <f t="shared" ref="D16:F16" si="1">D38</f>
        <v>0.23898576439410868</v>
      </c>
      <c r="E16" s="34">
        <f t="shared" si="1"/>
        <v>6.1339891177098593E-2</v>
      </c>
      <c r="F16" s="34">
        <f t="shared" si="1"/>
        <v>9.0403612953353418E-2</v>
      </c>
      <c r="G16" s="57">
        <f>G38</f>
        <v>0.05</v>
      </c>
      <c r="H16" s="34">
        <f t="shared" ref="H16:K16" si="2">H38</f>
        <v>0.05</v>
      </c>
      <c r="I16" s="34">
        <f t="shared" si="2"/>
        <v>0.05</v>
      </c>
      <c r="J16" s="34">
        <f t="shared" si="2"/>
        <v>0.05</v>
      </c>
      <c r="K16" s="35">
        <f t="shared" si="2"/>
        <v>0.05</v>
      </c>
    </row>
    <row r="17" spans="2:12" x14ac:dyDescent="0.15">
      <c r="B17" s="2"/>
      <c r="G17" s="58"/>
      <c r="H17" s="59"/>
      <c r="I17" s="59"/>
      <c r="J17" s="59"/>
      <c r="K17" s="68"/>
    </row>
    <row r="18" spans="2:12" x14ac:dyDescent="0.15">
      <c r="B18" s="2" t="s">
        <v>7</v>
      </c>
      <c r="C18" s="49">
        <f>INDEX('Fogo De Chao'!$B$6:$E$144,MATCH($B18,'Fogo De Chao'!$A$6:$A$144,0),MATCH('Fogo De Chao Financials'!C$12,'Fogo De Chao'!$B$3:$E$3,0))</f>
        <v>113.86199999999999</v>
      </c>
      <c r="D18" s="49">
        <f>INDEX('Fogo De Chao'!$B$6:$E$144,MATCH($B18,'Fogo De Chao'!$A$6:$A$144,0),MATCH('Fogo De Chao Financials'!D$12,'Fogo De Chao'!$B$3:$E$3,0))</f>
        <v>140.286</v>
      </c>
      <c r="E18" s="49">
        <f>INDEX('Fogo De Chao'!$B$6:$E$144,MATCH($B18,'Fogo De Chao'!$A$6:$A$144,0),MATCH('Fogo De Chao Financials'!E$12,'Fogo De Chao'!$B$3:$E$3,0))</f>
        <v>148.52099999999999</v>
      </c>
      <c r="F18" s="49">
        <f>INDEX('Fogo De Chao'!$B$6:$E$144,MATCH($B18,'Fogo De Chao'!$A$6:$A$144,0),MATCH('Fogo De Chao Financials'!F$12,'Fogo De Chao'!$B$3:$E$3,0))</f>
        <v>164.83699999999999</v>
      </c>
      <c r="G18" s="55">
        <f>G39*G$15</f>
        <v>173.07885000000002</v>
      </c>
      <c r="H18" s="56">
        <f>H39*H$15</f>
        <v>181.73279250000002</v>
      </c>
      <c r="I18" s="56">
        <f>I39*I$15</f>
        <v>190.81943212500005</v>
      </c>
      <c r="J18" s="56">
        <f>J39*J$15</f>
        <v>200.36040373125005</v>
      </c>
      <c r="K18" s="67">
        <f>K39*K$15</f>
        <v>210.37842391781257</v>
      </c>
    </row>
    <row r="19" spans="2:12" x14ac:dyDescent="0.15">
      <c r="B19" s="31" t="s">
        <v>8</v>
      </c>
      <c r="C19" s="50">
        <f>INDEX('Fogo De Chao'!$B$6:$E$144,MATCH($B19,'Fogo De Chao'!$A$6:$A$144,0),MATCH('Fogo De Chao Financials'!C$12,'Fogo De Chao'!$B$3:$E$3,0))</f>
        <v>105.377</v>
      </c>
      <c r="D19" s="50">
        <f>INDEX('Fogo De Chao'!$B$6:$E$144,MATCH($B19,'Fogo De Chao'!$A$6:$A$144,0),MATCH('Fogo De Chao Financials'!D$12,'Fogo De Chao'!$B$3:$E$3,0))</f>
        <v>131.34800000000001</v>
      </c>
      <c r="E19" s="50">
        <f>INDEX('Fogo De Chao'!$B$6:$E$144,MATCH($B19,'Fogo De Chao'!$A$6:$A$144,0),MATCH('Fogo De Chao Financials'!E$12,'Fogo De Chao'!$B$3:$E$3,0))</f>
        <v>139.77500000000001</v>
      </c>
      <c r="F19" s="50">
        <f>INDEX('Fogo De Chao'!$B$6:$E$144,MATCH($B19,'Fogo De Chao'!$A$6:$A$144,0),MATCH('Fogo De Chao Financials'!F$12,'Fogo De Chao'!$B$3:$E$3,0))</f>
        <v>149.52199999999999</v>
      </c>
      <c r="G19" s="60">
        <f>G15-G18</f>
        <v>156.99809999999999</v>
      </c>
      <c r="H19" s="61">
        <f t="shared" ref="H19:K19" si="3">H15-H18</f>
        <v>164.848005</v>
      </c>
      <c r="I19" s="61">
        <f t="shared" si="3"/>
        <v>173.09040525</v>
      </c>
      <c r="J19" s="61">
        <f t="shared" si="3"/>
        <v>181.74492551250003</v>
      </c>
      <c r="K19" s="69">
        <f t="shared" si="3"/>
        <v>190.83217178812501</v>
      </c>
      <c r="L19" s="31"/>
    </row>
    <row r="20" spans="2:12" x14ac:dyDescent="0.15">
      <c r="B20" s="2" t="s">
        <v>9</v>
      </c>
      <c r="C20" s="49">
        <f>INDEX('Fogo De Chao'!$B$6:$E$144,MATCH($B20,'Fogo De Chao'!$A$6:$A$144,0),MATCH('Fogo De Chao Financials'!C$12,'Fogo De Chao'!$B$3:$E$3,0))</f>
        <v>65.894000000000005</v>
      </c>
      <c r="D20" s="49">
        <f>INDEX('Fogo De Chao'!$B$6:$E$144,MATCH($B20,'Fogo De Chao'!$A$6:$A$144,0),MATCH('Fogo De Chao Financials'!D$12,'Fogo De Chao'!$B$3:$E$3,0))</f>
        <v>90.194999999999993</v>
      </c>
      <c r="E20" s="49">
        <f>INDEX('Fogo De Chao'!$B$6:$E$144,MATCH($B20,'Fogo De Chao'!$A$6:$A$144,0),MATCH('Fogo De Chao Financials'!E$12,'Fogo De Chao'!$B$3:$E$3,0))</f>
        <v>85.289000000000001</v>
      </c>
      <c r="F20" s="49">
        <f>INDEX('Fogo De Chao'!$B$6:$E$144,MATCH($B20,'Fogo De Chao'!$A$6:$A$144,0),MATCH('Fogo De Chao Financials'!F$12,'Fogo De Chao'!$B$3:$E$3,0))</f>
        <v>96.483000000000004</v>
      </c>
      <c r="G20" s="55">
        <f>G40*G$15</f>
        <v>101.30715000000001</v>
      </c>
      <c r="H20" s="56">
        <f>H40*H$15</f>
        <v>106.37250750000001</v>
      </c>
      <c r="I20" s="56">
        <f>I40*I$15</f>
        <v>111.69113287500002</v>
      </c>
      <c r="J20" s="56">
        <f>J40*J$15</f>
        <v>117.27568951875003</v>
      </c>
      <c r="K20" s="67">
        <f>K40*K$15</f>
        <v>123.13947399468753</v>
      </c>
    </row>
    <row r="21" spans="2:12" x14ac:dyDescent="0.15">
      <c r="B21" s="2" t="s">
        <v>10</v>
      </c>
      <c r="C21" s="49">
        <f>INDEX('Fogo De Chao'!$B$6:$E$144,MATCH($B21,'Fogo De Chao'!$A$6:$A$144,0),MATCH('Fogo De Chao Financials'!C$12,'Fogo De Chao'!$B$3:$E$3,0))</f>
        <v>0</v>
      </c>
      <c r="D21" s="49">
        <f>INDEX('Fogo De Chao'!$B$6:$E$144,MATCH($B21,'Fogo De Chao'!$A$6:$A$144,0),MATCH('Fogo De Chao Financials'!D$12,'Fogo De Chao'!$B$3:$E$3,0))</f>
        <v>0</v>
      </c>
      <c r="E21" s="49">
        <f>INDEX('Fogo De Chao'!$B$6:$E$144,MATCH($B21,'Fogo De Chao'!$A$6:$A$144,0),MATCH('Fogo De Chao Financials'!E$12,'Fogo De Chao'!$B$3:$E$3,0))</f>
        <v>0</v>
      </c>
      <c r="F21" s="49">
        <f>INDEX('Fogo De Chao'!$B$6:$E$144,MATCH($B21,'Fogo De Chao'!$A$6:$A$144,0),MATCH('Fogo De Chao Financials'!F$12,'Fogo De Chao'!$B$3:$E$3,0))</f>
        <v>0</v>
      </c>
      <c r="G21" s="55">
        <f>G41*G$15</f>
        <v>0</v>
      </c>
      <c r="H21" s="56">
        <f>H41*H$15</f>
        <v>0</v>
      </c>
      <c r="I21" s="56">
        <f>I41*I$15</f>
        <v>0</v>
      </c>
      <c r="J21" s="56">
        <f>J41*J$15</f>
        <v>0</v>
      </c>
      <c r="K21" s="67">
        <f>K41*K$15</f>
        <v>0</v>
      </c>
    </row>
    <row r="22" spans="2:12" x14ac:dyDescent="0.15">
      <c r="B22" s="2" t="s">
        <v>11</v>
      </c>
      <c r="C22" s="49">
        <f>INDEX('Fogo De Chao'!$B$6:$E$144,MATCH($B22,'Fogo De Chao'!$A$6:$A$144,0),MATCH('Fogo De Chao Financials'!C$12,'Fogo De Chao'!$B$3:$E$3,0))</f>
        <v>9</v>
      </c>
      <c r="D22" s="49">
        <f>INDEX('Fogo De Chao'!$B$6:$E$144,MATCH($B22,'Fogo De Chao'!$A$6:$A$144,0),MATCH('Fogo De Chao Financials'!D$12,'Fogo De Chao'!$B$3:$E$3,0))</f>
        <v>12.5</v>
      </c>
      <c r="E22" s="49">
        <f>INDEX('Fogo De Chao'!$B$6:$E$144,MATCH($B22,'Fogo De Chao'!$A$6:$A$144,0),MATCH('Fogo De Chao Financials'!E$12,'Fogo De Chao'!$B$3:$E$3,0))</f>
        <v>15.7</v>
      </c>
      <c r="F22" s="49">
        <f>INDEX('Fogo De Chao'!$B$6:$E$144,MATCH($B22,'Fogo De Chao'!$A$6:$A$144,0),MATCH('Fogo De Chao Financials'!F$12,'Fogo De Chao'!$B$3:$E$3,0))</f>
        <v>19</v>
      </c>
      <c r="G22" s="55">
        <f>G42*G$15</f>
        <v>19.950000000000003</v>
      </c>
      <c r="H22" s="56">
        <f>H42*H$15</f>
        <v>20.947500000000002</v>
      </c>
      <c r="I22" s="56">
        <f>I42*I$15</f>
        <v>21.994875000000004</v>
      </c>
      <c r="J22" s="56">
        <f>J42*J$15</f>
        <v>23.094618750000006</v>
      </c>
      <c r="K22" s="67">
        <f>K42*K$15</f>
        <v>24.249349687500004</v>
      </c>
    </row>
    <row r="23" spans="2:12" x14ac:dyDescent="0.15">
      <c r="B23" t="s">
        <v>14</v>
      </c>
      <c r="C23" s="49">
        <f>INDEX('Fogo De Chao'!$B$6:$E$144,MATCH($B23,'Fogo De Chao'!$A$6:$A$144,0),MATCH('Fogo De Chao Financials'!C$12,'Fogo De Chao'!$B$3:$E$3,0))</f>
        <v>-0.4</v>
      </c>
      <c r="D23" s="49">
        <f>INDEX('Fogo De Chao'!$B$6:$E$144,MATCH($B23,'Fogo De Chao'!$A$6:$A$144,0),MATCH('Fogo De Chao Financials'!D$12,'Fogo De Chao'!$B$3:$E$3,0))</f>
        <v>-0.3</v>
      </c>
      <c r="E23" s="49">
        <f>INDEX('Fogo De Chao'!$B$6:$E$144,MATCH($B23,'Fogo De Chao'!$A$6:$A$144,0),MATCH('Fogo De Chao Financials'!E$12,'Fogo De Chao'!$B$3:$E$3,0))</f>
        <v>0</v>
      </c>
      <c r="F23" s="49">
        <f>INDEX('Fogo De Chao'!$B$6:$E$144,MATCH($B23,'Fogo De Chao'!$A$6:$A$144,0),MATCH('Fogo De Chao Financials'!F$12,'Fogo De Chao'!$B$3:$E$3,0))</f>
        <v>0.3</v>
      </c>
      <c r="G23" s="55">
        <f>G43*G$15</f>
        <v>4.41</v>
      </c>
      <c r="H23" s="56">
        <f>H43*H$15</f>
        <v>4.6305000000000005</v>
      </c>
      <c r="I23" s="56">
        <f>I43*I$15</f>
        <v>4.8620250000000009</v>
      </c>
      <c r="J23" s="56">
        <f>J43*J$15</f>
        <v>5.1051262500000014</v>
      </c>
      <c r="K23" s="67">
        <f>K43*K$15</f>
        <v>5.3603825625000017</v>
      </c>
    </row>
    <row r="24" spans="2:12" x14ac:dyDescent="0.15">
      <c r="B24" s="2" t="s">
        <v>13</v>
      </c>
      <c r="C24" s="49">
        <f>INDEX('Fogo De Chao'!$B$6:$E$144,MATCH($B24,'Fogo De Chao'!$A$6:$A$144,0),MATCH('Fogo De Chao Financials'!C$12,'Fogo De Chao'!$B$3:$E$3,0))</f>
        <v>6.9</v>
      </c>
      <c r="D24" s="49">
        <f>INDEX('Fogo De Chao'!$B$6:$E$144,MATCH($B24,'Fogo De Chao'!$A$6:$A$144,0),MATCH('Fogo De Chao Financials'!D$12,'Fogo De Chao'!$B$3:$E$3,0))</f>
        <v>6</v>
      </c>
      <c r="E24" s="49">
        <f>INDEX('Fogo De Chao'!$B$6:$E$144,MATCH($B24,'Fogo De Chao'!$A$6:$A$144,0),MATCH('Fogo De Chao Financials'!E$12,'Fogo De Chao'!$B$3:$E$3,0))</f>
        <v>0.3</v>
      </c>
      <c r="F24" s="49">
        <f>INDEX('Fogo De Chao'!$B$6:$E$144,MATCH($B24,'Fogo De Chao'!$A$6:$A$144,0),MATCH('Fogo De Chao Financials'!F$12,'Fogo De Chao'!$B$3:$E$3,0))</f>
        <v>4.2</v>
      </c>
      <c r="G24" s="55">
        <f>G44*G$15</f>
        <v>0</v>
      </c>
      <c r="H24" s="56">
        <f>H44*H$15</f>
        <v>0</v>
      </c>
      <c r="I24" s="56">
        <f>I44*I$15</f>
        <v>0</v>
      </c>
      <c r="J24" s="56">
        <f>J44*J$15</f>
        <v>0</v>
      </c>
      <c r="K24" s="67">
        <f>K44*K$15</f>
        <v>0</v>
      </c>
    </row>
    <row r="25" spans="2:12" x14ac:dyDescent="0.15">
      <c r="B25" s="2"/>
      <c r="G25" s="58"/>
      <c r="H25" s="59"/>
      <c r="I25" s="59"/>
      <c r="J25" s="59"/>
      <c r="K25" s="68"/>
    </row>
    <row r="26" spans="2:12" x14ac:dyDescent="0.15">
      <c r="B26" s="2" t="s">
        <v>15</v>
      </c>
      <c r="C26">
        <f>INDEX('Fogo De Chao'!$B$6:$E$144,MATCH($B26,'Fogo De Chao'!$A$6:$A$144,0),MATCH('Fogo De Chao Financials'!C$12,'Fogo De Chao'!$B$3:$E$3,0))</f>
        <v>195.2</v>
      </c>
      <c r="D26">
        <f>INDEX('Fogo De Chao'!$B$6:$E$144,MATCH($B26,'Fogo De Chao'!$A$6:$A$144,0),MATCH('Fogo De Chao Financials'!D$12,'Fogo De Chao'!$B$3:$E$3,0))</f>
        <v>248.7</v>
      </c>
      <c r="E26">
        <f>INDEX('Fogo De Chao'!$B$6:$E$144,MATCH($B26,'Fogo De Chao'!$A$6:$A$144,0),MATCH('Fogo De Chao Financials'!E$12,'Fogo De Chao'!$B$3:$E$3,0))</f>
        <v>249.9</v>
      </c>
      <c r="F26">
        <f>INDEX('Fogo De Chao'!$B$6:$E$144,MATCH($B26,'Fogo De Chao'!$A$6:$A$144,0),MATCH('Fogo De Chao Financials'!F$12,'Fogo De Chao'!$B$3:$E$3,0))</f>
        <v>284.89999999999998</v>
      </c>
      <c r="G26" s="55">
        <f>G18+SUM(G20:G24)</f>
        <v>298.74600000000004</v>
      </c>
      <c r="H26" s="56">
        <f t="shared" ref="H26:K26" si="4">H18+SUM(H20:H24)</f>
        <v>313.68330000000003</v>
      </c>
      <c r="I26" s="56">
        <f t="shared" si="4"/>
        <v>329.36746500000004</v>
      </c>
      <c r="J26" s="56">
        <f t="shared" si="4"/>
        <v>345.83583825000005</v>
      </c>
      <c r="K26" s="67">
        <f t="shared" si="4"/>
        <v>363.12763016250011</v>
      </c>
    </row>
    <row r="27" spans="2:12" x14ac:dyDescent="0.15">
      <c r="B27" s="32" t="s">
        <v>16</v>
      </c>
      <c r="C27" s="51">
        <f>INDEX('Fogo De Chao'!$B$6:$E$144,MATCH($B27,'Fogo De Chao'!$A$6:$A$144,0),MATCH('Fogo De Chao Financials'!C$12,'Fogo De Chao'!$B$3:$E$3,0))</f>
        <v>23.99</v>
      </c>
      <c r="D27" s="51">
        <f>INDEX('Fogo De Chao'!$B$6:$E$144,MATCH($B27,'Fogo De Chao'!$A$6:$A$144,0),MATCH('Fogo De Chao Financials'!D$12,'Fogo De Chao'!$B$3:$E$3,0))</f>
        <v>22.981999999999999</v>
      </c>
      <c r="E27" s="51">
        <f>INDEX('Fogo De Chao'!$B$6:$E$144,MATCH($B27,'Fogo De Chao'!$A$6:$A$144,0),MATCH('Fogo De Chao Financials'!E$12,'Fogo De Chao'!$B$3:$E$3,0))</f>
        <v>38.415999999999997</v>
      </c>
      <c r="F27" s="51">
        <f>INDEX('Fogo De Chao'!$B$6:$E$144,MATCH($B27,'Fogo De Chao'!$A$6:$A$144,0),MATCH('Fogo De Chao Financials'!F$12,'Fogo De Chao'!$B$3:$E$3,0))</f>
        <v>29.484000000000002</v>
      </c>
      <c r="G27" s="62">
        <f>G15-G26</f>
        <v>31.330949999999973</v>
      </c>
      <c r="H27" s="51">
        <f t="shared" ref="H27:K27" si="5">H15-H26</f>
        <v>32.897497499999986</v>
      </c>
      <c r="I27" s="51">
        <f t="shared" si="5"/>
        <v>34.542372375000014</v>
      </c>
      <c r="J27" s="51">
        <f t="shared" si="5"/>
        <v>36.269490993750026</v>
      </c>
      <c r="K27" s="70">
        <f t="shared" si="5"/>
        <v>38.082965543437467</v>
      </c>
    </row>
    <row r="28" spans="2:12" x14ac:dyDescent="0.15">
      <c r="B28" s="4" t="s">
        <v>102</v>
      </c>
      <c r="C28" s="30">
        <f t="shared" ref="C28:K28" si="6">C27/C15</f>
        <v>0.10942396197756785</v>
      </c>
      <c r="D28" s="30">
        <f t="shared" si="6"/>
        <v>8.460649255984154E-2</v>
      </c>
      <c r="E28" s="30">
        <f t="shared" si="6"/>
        <v>0.13325193551072509</v>
      </c>
      <c r="F28" s="30">
        <f t="shared" si="6"/>
        <v>9.3790856950174806E-2</v>
      </c>
      <c r="G28" s="63">
        <f t="shared" si="6"/>
        <v>9.4920139076660678E-2</v>
      </c>
      <c r="H28" s="64">
        <f t="shared" si="6"/>
        <v>9.492013907666072E-2</v>
      </c>
      <c r="I28" s="64">
        <f t="shared" si="6"/>
        <v>9.4920139076660789E-2</v>
      </c>
      <c r="J28" s="64">
        <f t="shared" si="6"/>
        <v>9.4920139076660803E-2</v>
      </c>
      <c r="K28" s="71">
        <f t="shared" si="6"/>
        <v>9.4920139076660665E-2</v>
      </c>
    </row>
    <row r="29" spans="2:12" ht="14" thickBot="1" x14ac:dyDescent="0.2">
      <c r="B29" s="98" t="s">
        <v>147</v>
      </c>
      <c r="C29" s="52">
        <f t="shared" ref="C29:K29" si="7">C27+C22</f>
        <v>32.989999999999995</v>
      </c>
      <c r="D29" s="52">
        <f t="shared" si="7"/>
        <v>35.481999999999999</v>
      </c>
      <c r="E29" s="52">
        <f t="shared" si="7"/>
        <v>54.116</v>
      </c>
      <c r="F29" s="52">
        <f t="shared" si="7"/>
        <v>48.484000000000002</v>
      </c>
      <c r="G29" s="65">
        <f t="shared" si="7"/>
        <v>51.280949999999976</v>
      </c>
      <c r="H29" s="52">
        <f t="shared" si="7"/>
        <v>53.844997499999991</v>
      </c>
      <c r="I29" s="52">
        <f t="shared" si="7"/>
        <v>56.537247375000021</v>
      </c>
      <c r="J29" s="52">
        <f t="shared" si="7"/>
        <v>59.364109743750035</v>
      </c>
      <c r="K29" s="72">
        <f t="shared" si="7"/>
        <v>62.332315230937468</v>
      </c>
    </row>
    <row r="30" spans="2:12" ht="14" thickTop="1" x14ac:dyDescent="0.15">
      <c r="B30" s="4" t="s">
        <v>148</v>
      </c>
      <c r="C30" s="30">
        <f t="shared" ref="C30:K30" si="8">C29/C15</f>
        <v>0.15047505234014019</v>
      </c>
      <c r="D30" s="30">
        <f t="shared" si="8"/>
        <v>0.13062429592760846</v>
      </c>
      <c r="E30" s="30">
        <f t="shared" si="8"/>
        <v>0.18770985376141189</v>
      </c>
      <c r="F30" s="30">
        <f t="shared" si="8"/>
        <v>0.15423130879026847</v>
      </c>
      <c r="G30" s="73">
        <f t="shared" si="8"/>
        <v>0.15536059091675433</v>
      </c>
      <c r="H30" s="74">
        <f t="shared" si="8"/>
        <v>0.15536059091675439</v>
      </c>
      <c r="I30" s="74">
        <f t="shared" si="8"/>
        <v>0.15536059091675444</v>
      </c>
      <c r="J30" s="74">
        <f t="shared" si="8"/>
        <v>0.15536059091675447</v>
      </c>
      <c r="K30" s="75">
        <f t="shared" si="8"/>
        <v>0.1553605909167543</v>
      </c>
      <c r="L30" t="s">
        <v>167</v>
      </c>
    </row>
    <row r="31" spans="2:12" x14ac:dyDescent="0.15">
      <c r="G31" s="58"/>
      <c r="H31" s="59"/>
      <c r="I31" s="59"/>
      <c r="J31" s="59"/>
      <c r="K31" s="68"/>
    </row>
    <row r="32" spans="2:12" x14ac:dyDescent="0.15">
      <c r="B32" s="105" t="s">
        <v>82</v>
      </c>
      <c r="C32" s="48">
        <f>INDEX('Fogo De Chao'!$B$6:$E$144,MATCH($B32,'Fogo De Chao'!$A$6:$A$144,0),MATCH('Fogo De Chao Financials'!C$12,'Fogo De Chao'!$B$3:$E$3,0))</f>
        <v>-30.943999999999999</v>
      </c>
      <c r="D32" s="48">
        <f>INDEX('Fogo De Chao'!$B$6:$E$144,MATCH($B32,'Fogo De Chao'!$A$6:$A$144,0),MATCH('Fogo De Chao Financials'!D$12,'Fogo De Chao'!$B$3:$E$3,0))</f>
        <v>-35.423000000000002</v>
      </c>
      <c r="E32" s="48">
        <f>INDEX('Fogo De Chao'!$B$6:$E$144,MATCH($B32,'Fogo De Chao'!$A$6:$A$144,0),MATCH('Fogo De Chao Financials'!E$12,'Fogo De Chao'!$B$3:$E$3,0))</f>
        <v>-38.353000000000002</v>
      </c>
      <c r="F32" s="48">
        <f>INDEX('Fogo De Chao'!$B$6:$E$144,MATCH($B32,'Fogo De Chao'!$A$6:$A$144,0),MATCH('Fogo De Chao Financials'!F$12,'Fogo De Chao'!$B$3:$E$3,0))</f>
        <v>-35.948999999999998</v>
      </c>
      <c r="G32" s="110">
        <f>-G15*G46</f>
        <v>-37.746450000000003</v>
      </c>
      <c r="H32" s="106">
        <f>-H15*H46</f>
        <v>-39.633772500000006</v>
      </c>
      <c r="I32" s="106">
        <f>-I15*I46</f>
        <v>-41.61546112500001</v>
      </c>
      <c r="J32" s="106">
        <f>-J15*J46</f>
        <v>-43.696234181250013</v>
      </c>
      <c r="K32" s="111">
        <f>-K15*K46</f>
        <v>-45.881045890312514</v>
      </c>
    </row>
    <row r="33" spans="2:12" x14ac:dyDescent="0.15">
      <c r="B33" s="105" t="s">
        <v>80</v>
      </c>
      <c r="C33" s="48">
        <f>INDEX('Fogo De Chao'!$B$6:$E$144,MATCH($B33,'Fogo De Chao'!$A$6:$A$144,0),MATCH('Fogo De Chao Financials'!C$12,'Fogo De Chao'!$B$3:$E$3,0))</f>
        <v>13.601000000000001</v>
      </c>
      <c r="D33" s="48">
        <f>INDEX('Fogo De Chao'!$B$6:$E$144,MATCH($B33,'Fogo De Chao'!$A$6:$A$144,0),MATCH('Fogo De Chao Financials'!D$12,'Fogo De Chao'!$B$3:$E$3,0))</f>
        <v>-0.45600000000000002</v>
      </c>
      <c r="E33" s="48">
        <f>INDEX('Fogo De Chao'!$B$6:$E$144,MATCH($B33,'Fogo De Chao'!$A$6:$A$144,0),MATCH('Fogo De Chao Financials'!E$12,'Fogo De Chao'!$B$3:$E$3,0))</f>
        <v>5.5949999999999998</v>
      </c>
      <c r="F33" s="48">
        <f>INDEX('Fogo De Chao'!$B$6:$E$144,MATCH($B33,'Fogo De Chao'!$A$6:$A$144,0),MATCH('Fogo De Chao Financials'!F$12,'Fogo De Chao'!$B$3:$E$3,0))</f>
        <v>7.407</v>
      </c>
      <c r="G33" s="112">
        <f>G15*G47</f>
        <v>0</v>
      </c>
      <c r="H33" s="113">
        <f>H15*H47</f>
        <v>0</v>
      </c>
      <c r="I33" s="113">
        <f>I15*I47</f>
        <v>0</v>
      </c>
      <c r="J33" s="113">
        <f>J15*J47</f>
        <v>0</v>
      </c>
      <c r="K33" s="114">
        <f>K15*K47</f>
        <v>0</v>
      </c>
    </row>
    <row r="35" spans="2:12" ht="16" x14ac:dyDescent="0.15">
      <c r="B35" s="6" t="s">
        <v>149</v>
      </c>
      <c r="C35" s="7"/>
      <c r="D35" s="7"/>
      <c r="E35" s="7"/>
      <c r="F35" s="7"/>
      <c r="G35" s="7"/>
      <c r="H35" s="7"/>
      <c r="I35" s="7"/>
      <c r="J35" s="7"/>
      <c r="K35" s="7"/>
    </row>
    <row r="36" spans="2:12" x14ac:dyDescent="0.1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2" x14ac:dyDescent="0.15">
      <c r="B37" s="8" t="s">
        <v>166</v>
      </c>
      <c r="C37" s="8"/>
      <c r="D37" s="8"/>
      <c r="E37" s="8"/>
      <c r="F37" s="8"/>
      <c r="G37" s="9"/>
      <c r="H37" s="9"/>
      <c r="I37" s="9"/>
      <c r="J37" s="9"/>
      <c r="K37" s="9"/>
    </row>
    <row r="38" spans="2:12" x14ac:dyDescent="0.15">
      <c r="B38" t="s">
        <v>159</v>
      </c>
      <c r="C38" s="30"/>
      <c r="D38" s="30">
        <f>D15/C15 - 1</f>
        <v>0.23898576439410868</v>
      </c>
      <c r="E38" s="30">
        <f>E15/D15 - 1</f>
        <v>6.1339891177098593E-2</v>
      </c>
      <c r="F38" s="30">
        <f>F15/E15 - 1</f>
        <v>9.0403612953353418E-2</v>
      </c>
      <c r="G38" s="95">
        <v>0.05</v>
      </c>
      <c r="H38" s="96">
        <v>0.05</v>
      </c>
      <c r="I38" s="96">
        <v>0.05</v>
      </c>
      <c r="J38" s="96">
        <v>0.05</v>
      </c>
      <c r="K38" s="97">
        <v>0.05</v>
      </c>
    </row>
    <row r="39" spans="2:12" x14ac:dyDescent="0.15">
      <c r="B39" s="2" t="s">
        <v>150</v>
      </c>
      <c r="C39" s="10">
        <f>C18/C15</f>
        <v>0.51935102787369036</v>
      </c>
      <c r="D39" s="10">
        <f>D18/D15</f>
        <v>0.51645228506004404</v>
      </c>
      <c r="E39" s="10">
        <f>E18/E15</f>
        <v>0.51516843799428358</v>
      </c>
      <c r="F39" s="10">
        <f>F18/F15</f>
        <v>0.5243590926297641</v>
      </c>
      <c r="G39" s="15">
        <f>$F$39</f>
        <v>0.5243590926297641</v>
      </c>
      <c r="H39" s="88">
        <f t="shared" ref="H39:K39" si="9">$F$39</f>
        <v>0.5243590926297641</v>
      </c>
      <c r="I39" s="88">
        <f t="shared" si="9"/>
        <v>0.5243590926297641</v>
      </c>
      <c r="J39" s="88">
        <f t="shared" si="9"/>
        <v>0.5243590926297641</v>
      </c>
      <c r="K39" s="16">
        <f t="shared" si="9"/>
        <v>0.5243590926297641</v>
      </c>
      <c r="L39" t="s">
        <v>160</v>
      </c>
    </row>
    <row r="40" spans="2:12" x14ac:dyDescent="0.15">
      <c r="B40" s="14" t="s">
        <v>151</v>
      </c>
      <c r="C40" s="10">
        <f>C20/C15</f>
        <v>0.30055783870570474</v>
      </c>
      <c r="D40" s="10">
        <f>D20/D15</f>
        <v>0.33204606198045894</v>
      </c>
      <c r="E40" s="10">
        <f>E20/E15</f>
        <v>0.29583830507533926</v>
      </c>
      <c r="F40" s="10">
        <f>F20/F15</f>
        <v>0.30691979552040821</v>
      </c>
      <c r="G40" s="15">
        <f>$F$40</f>
        <v>0.30691979552040821</v>
      </c>
      <c r="H40" s="88">
        <f t="shared" ref="H40:K40" si="10">$F$40</f>
        <v>0.30691979552040821</v>
      </c>
      <c r="I40" s="88">
        <f t="shared" si="10"/>
        <v>0.30691979552040821</v>
      </c>
      <c r="J40" s="88">
        <f t="shared" si="10"/>
        <v>0.30691979552040821</v>
      </c>
      <c r="K40" s="16">
        <f t="shared" si="10"/>
        <v>0.30691979552040821</v>
      </c>
    </row>
    <row r="41" spans="2:12" x14ac:dyDescent="0.15">
      <c r="B41" s="14" t="s">
        <v>152</v>
      </c>
      <c r="C41" s="10">
        <f>C21/C15</f>
        <v>0</v>
      </c>
      <c r="D41" s="10">
        <f>D21/D15</f>
        <v>0</v>
      </c>
      <c r="E41" s="10">
        <f>E21/E15</f>
        <v>0</v>
      </c>
      <c r="F41" s="10">
        <f>F21/F15</f>
        <v>0</v>
      </c>
      <c r="G41" s="15">
        <f>$F$41</f>
        <v>0</v>
      </c>
      <c r="H41" s="88">
        <f t="shared" ref="H41:K41" si="11">$F$41</f>
        <v>0</v>
      </c>
      <c r="I41" s="88">
        <f t="shared" si="11"/>
        <v>0</v>
      </c>
      <c r="J41" s="88">
        <f t="shared" si="11"/>
        <v>0</v>
      </c>
      <c r="K41" s="16">
        <f t="shared" si="11"/>
        <v>0</v>
      </c>
    </row>
    <row r="42" spans="2:12" x14ac:dyDescent="0.15">
      <c r="B42" s="14" t="s">
        <v>153</v>
      </c>
      <c r="C42" s="10">
        <f>C22/C15</f>
        <v>4.1051090362572352E-2</v>
      </c>
      <c r="D42" s="10">
        <f>D22/D15</f>
        <v>4.6017803367766917E-2</v>
      </c>
      <c r="E42" s="10">
        <f>E22/E15</f>
        <v>5.4457918250686792E-2</v>
      </c>
      <c r="F42" s="10">
        <f>F22/F15</f>
        <v>6.0440451840093654E-2</v>
      </c>
      <c r="G42" s="15">
        <f>$F$42</f>
        <v>6.0440451840093654E-2</v>
      </c>
      <c r="H42" s="88">
        <f t="shared" ref="H42:K42" si="12">$F$42</f>
        <v>6.0440451840093654E-2</v>
      </c>
      <c r="I42" s="88">
        <f t="shared" si="12"/>
        <v>6.0440451840093654E-2</v>
      </c>
      <c r="J42" s="88">
        <f t="shared" si="12"/>
        <v>6.0440451840093654E-2</v>
      </c>
      <c r="K42" s="16">
        <f t="shared" si="12"/>
        <v>6.0440451840093654E-2</v>
      </c>
    </row>
    <row r="43" spans="2:12" x14ac:dyDescent="0.15">
      <c r="B43" s="14" t="s">
        <v>154</v>
      </c>
      <c r="C43" s="10">
        <f>C24/C15</f>
        <v>3.1472502611305471E-2</v>
      </c>
      <c r="D43" s="10">
        <f>D24/D15</f>
        <v>2.2088545616528121E-2</v>
      </c>
      <c r="E43" s="10">
        <f>E24/E15</f>
        <v>1.0405971640258622E-3</v>
      </c>
      <c r="F43" s="10">
        <f>F24/F15</f>
        <v>1.3360520933073335E-2</v>
      </c>
      <c r="G43" s="17">
        <f>$F$43</f>
        <v>1.3360520933073335E-2</v>
      </c>
      <c r="H43" s="18">
        <f t="shared" ref="H43:K43" si="13">$F$43</f>
        <v>1.3360520933073335E-2</v>
      </c>
      <c r="I43" s="18">
        <f t="shared" si="13"/>
        <v>1.3360520933073335E-2</v>
      </c>
      <c r="J43" s="18">
        <f t="shared" si="13"/>
        <v>1.3360520933073335E-2</v>
      </c>
      <c r="K43" s="19">
        <f t="shared" si="13"/>
        <v>1.3360520933073335E-2</v>
      </c>
    </row>
    <row r="44" spans="2:12" x14ac:dyDescent="0.15">
      <c r="B44" s="20"/>
      <c r="C44" s="21"/>
      <c r="D44" s="21"/>
      <c r="E44" s="21"/>
      <c r="F44" s="21"/>
      <c r="G44" s="22"/>
      <c r="H44" s="22"/>
      <c r="I44" s="22"/>
      <c r="J44" s="22"/>
      <c r="K44" s="22"/>
    </row>
    <row r="45" spans="2:12" x14ac:dyDescent="0.15">
      <c r="B45" s="23" t="s">
        <v>155</v>
      </c>
      <c r="C45" s="23"/>
      <c r="D45" s="23"/>
      <c r="E45" s="23"/>
      <c r="F45" s="23"/>
      <c r="G45" s="9"/>
      <c r="H45" s="9"/>
      <c r="I45" s="9"/>
      <c r="J45" s="9"/>
      <c r="K45" s="9"/>
    </row>
    <row r="46" spans="2:12" x14ac:dyDescent="0.15">
      <c r="B46" s="5" t="s">
        <v>156</v>
      </c>
      <c r="C46" s="24">
        <f>-C32/C15</f>
        <v>0.14114277113104876</v>
      </c>
      <c r="D46" s="24">
        <f>-D32/D15</f>
        <v>0.13040709189571262</v>
      </c>
      <c r="E46" s="24">
        <f>-E32/E15</f>
        <v>0.13303341010627967</v>
      </c>
      <c r="F46" s="24">
        <f>-F32/F15</f>
        <v>0.11435651595786983</v>
      </c>
      <c r="G46" s="11">
        <f>$F$46</f>
        <v>0.11435651595786983</v>
      </c>
      <c r="H46" s="12">
        <f t="shared" ref="H46:K46" si="14">$F$46</f>
        <v>0.11435651595786983</v>
      </c>
      <c r="I46" s="12">
        <f t="shared" si="14"/>
        <v>0.11435651595786983</v>
      </c>
      <c r="J46" s="12">
        <f t="shared" si="14"/>
        <v>0.11435651595786983</v>
      </c>
      <c r="K46" s="13">
        <f t="shared" si="14"/>
        <v>0.11435651595786983</v>
      </c>
    </row>
    <row r="47" spans="2:12" x14ac:dyDescent="0.15">
      <c r="B47" s="5" t="s">
        <v>157</v>
      </c>
      <c r="C47" s="25">
        <v>-2.53263E-2</v>
      </c>
      <c r="D47" s="25">
        <v>-1.2197599999999999E-2</v>
      </c>
      <c r="E47" s="25">
        <v>-6.0998999999999998E-2</v>
      </c>
      <c r="F47" s="25">
        <v>7.2305900000000003E-3</v>
      </c>
      <c r="G47" s="17">
        <v>0</v>
      </c>
      <c r="H47" s="18">
        <v>0</v>
      </c>
      <c r="I47" s="18">
        <v>0</v>
      </c>
      <c r="J47" s="18">
        <v>0</v>
      </c>
      <c r="K47" s="19">
        <v>0</v>
      </c>
    </row>
    <row r="49" spans="2:11" x14ac:dyDescent="0.15">
      <c r="B49" t="s">
        <v>158</v>
      </c>
      <c r="C49" s="26">
        <v>0.24</v>
      </c>
      <c r="D49" s="27">
        <f>C49</f>
        <v>0.24</v>
      </c>
      <c r="E49" s="27">
        <f t="shared" ref="E49:K49" si="15">D49</f>
        <v>0.24</v>
      </c>
      <c r="F49" s="27">
        <f t="shared" si="15"/>
        <v>0.24</v>
      </c>
      <c r="G49" s="89">
        <f t="shared" si="15"/>
        <v>0.24</v>
      </c>
      <c r="H49" s="27">
        <f t="shared" si="15"/>
        <v>0.24</v>
      </c>
      <c r="I49" s="27">
        <f t="shared" si="15"/>
        <v>0.24</v>
      </c>
      <c r="J49" s="27">
        <f t="shared" si="15"/>
        <v>0.24</v>
      </c>
      <c r="K49" s="28">
        <f t="shared" si="15"/>
        <v>0.24</v>
      </c>
    </row>
    <row r="52" spans="2:11" x14ac:dyDescent="0.15">
      <c r="D52" s="49">
        <f>AVERAGE(C29:F29)</f>
        <v>42.768000000000001</v>
      </c>
    </row>
  </sheetData>
  <mergeCells count="4">
    <mergeCell ref="B4:K8"/>
    <mergeCell ref="B10:K10"/>
    <mergeCell ref="C11:F11"/>
    <mergeCell ref="G11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C00D-3164-9A45-938A-6ACD343A2724}">
  <dimension ref="B1:T43"/>
  <sheetViews>
    <sheetView showGridLines="0" workbookViewId="0">
      <selection activeCell="J31" sqref="J31"/>
    </sheetView>
  </sheetViews>
  <sheetFormatPr baseColWidth="10" defaultColWidth="12.33203125" defaultRowHeight="13" x14ac:dyDescent="0.15"/>
  <cols>
    <col min="1" max="16384" width="12.33203125" style="29"/>
  </cols>
  <sheetData>
    <row r="1" spans="2:20" x14ac:dyDescent="0.15">
      <c r="B1" s="99"/>
      <c r="C1" s="99"/>
      <c r="D1" s="99"/>
      <c r="E1" s="99"/>
      <c r="F1" s="99"/>
      <c r="G1" s="99"/>
      <c r="H1" s="99"/>
      <c r="I1" s="99"/>
      <c r="J1" s="99"/>
    </row>
    <row r="2" spans="2:20" ht="16" x14ac:dyDescent="0.15">
      <c r="B2" s="76" t="s">
        <v>195</v>
      </c>
      <c r="C2" s="76"/>
      <c r="D2" s="76"/>
      <c r="E2" s="76"/>
      <c r="F2" s="76"/>
      <c r="G2" s="76"/>
      <c r="H2" s="76"/>
      <c r="I2"/>
      <c r="J2"/>
      <c r="L2" s="76" t="s">
        <v>196</v>
      </c>
      <c r="M2" s="76"/>
      <c r="N2" s="76"/>
      <c r="O2" s="76"/>
      <c r="P2" s="76"/>
      <c r="Q2" s="76"/>
      <c r="R2" s="76"/>
      <c r="S2"/>
      <c r="T2"/>
    </row>
    <row r="3" spans="2:20" x14ac:dyDescent="0.15">
      <c r="B3" s="99" t="s">
        <v>171</v>
      </c>
      <c r="C3" s="99"/>
      <c r="D3" s="100"/>
      <c r="E3" s="100"/>
      <c r="F3" s="100"/>
      <c r="G3" s="100"/>
      <c r="H3" s="100"/>
      <c r="I3"/>
      <c r="J3"/>
      <c r="L3" s="99" t="s">
        <v>171</v>
      </c>
      <c r="M3" s="99"/>
      <c r="N3" s="100"/>
      <c r="O3" s="100"/>
      <c r="P3" s="100"/>
      <c r="Q3" s="100"/>
      <c r="R3" s="100"/>
      <c r="S3"/>
      <c r="T3"/>
    </row>
    <row r="4" spans="2:20" x14ac:dyDescent="0.15">
      <c r="B4" s="99"/>
      <c r="C4" s="99"/>
      <c r="D4" s="99"/>
      <c r="E4" s="99"/>
      <c r="F4" s="99"/>
      <c r="G4" s="99"/>
      <c r="H4" s="99"/>
      <c r="I4"/>
      <c r="J4"/>
      <c r="L4" s="99"/>
      <c r="M4" s="99"/>
      <c r="N4" s="99"/>
      <c r="O4" s="99"/>
      <c r="P4" s="99"/>
      <c r="Q4" s="99"/>
      <c r="R4" s="99"/>
      <c r="S4"/>
      <c r="T4"/>
    </row>
    <row r="5" spans="2:20" x14ac:dyDescent="0.15">
      <c r="B5" s="91" t="s">
        <v>172</v>
      </c>
      <c r="C5" s="91"/>
      <c r="D5" s="91"/>
      <c r="E5" s="91"/>
      <c r="F5" s="91"/>
      <c r="G5" s="91"/>
      <c r="H5" s="91"/>
      <c r="I5"/>
      <c r="J5"/>
      <c r="L5" s="91" t="s">
        <v>172</v>
      </c>
      <c r="M5" s="91"/>
      <c r="N5" s="91"/>
      <c r="O5" s="91"/>
      <c r="P5" s="91"/>
      <c r="Q5" s="91"/>
      <c r="R5" s="91"/>
      <c r="S5"/>
      <c r="T5"/>
    </row>
    <row r="6" spans="2:20" x14ac:dyDescent="0.15">
      <c r="D6" s="116"/>
      <c r="E6" s="101"/>
      <c r="H6" s="99"/>
      <c r="I6" s="99"/>
      <c r="J6" s="99"/>
      <c r="L6" s="94"/>
      <c r="M6" s="94"/>
      <c r="N6" s="116"/>
      <c r="O6" s="101"/>
      <c r="R6" s="99"/>
      <c r="S6" s="99"/>
      <c r="T6" s="99"/>
    </row>
    <row r="7" spans="2:20" x14ac:dyDescent="0.15">
      <c r="B7" s="117" t="s">
        <v>184</v>
      </c>
      <c r="C7" s="117"/>
      <c r="D7" s="118"/>
      <c r="E7" s="101"/>
      <c r="F7" s="117" t="s">
        <v>186</v>
      </c>
      <c r="G7" s="117"/>
      <c r="H7" s="117"/>
      <c r="I7" s="99"/>
      <c r="J7" s="99"/>
      <c r="L7" s="117" t="s">
        <v>184</v>
      </c>
      <c r="M7" s="117"/>
      <c r="N7" s="118"/>
      <c r="O7" s="101"/>
      <c r="P7" s="117" t="s">
        <v>186</v>
      </c>
      <c r="Q7" s="117"/>
      <c r="R7" s="117"/>
      <c r="S7" s="99"/>
      <c r="T7" s="99"/>
    </row>
    <row r="8" spans="2:20" x14ac:dyDescent="0.15">
      <c r="B8" s="94" t="s">
        <v>181</v>
      </c>
      <c r="C8" s="94"/>
      <c r="D8" s="141">
        <v>70</v>
      </c>
      <c r="E8" s="101"/>
      <c r="F8" s="29" t="s">
        <v>191</v>
      </c>
      <c r="H8" s="144">
        <v>425</v>
      </c>
      <c r="I8" s="115">
        <f>H8/H16</f>
        <v>0.59399021663172602</v>
      </c>
      <c r="J8" s="99"/>
      <c r="L8" s="94" t="s">
        <v>181</v>
      </c>
      <c r="M8" s="94"/>
      <c r="N8" s="119">
        <v>59.7</v>
      </c>
      <c r="O8" s="101"/>
      <c r="P8" s="29" t="s">
        <v>191</v>
      </c>
      <c r="R8" s="144">
        <v>300</v>
      </c>
      <c r="S8" s="115">
        <f>R8/R16</f>
        <v>0.51903114186851207</v>
      </c>
      <c r="T8" s="99"/>
    </row>
    <row r="9" spans="2:20" x14ac:dyDescent="0.15">
      <c r="B9" s="94" t="s">
        <v>182</v>
      </c>
      <c r="C9" s="94"/>
      <c r="D9" s="141">
        <v>593.70000000000005</v>
      </c>
      <c r="E9" s="101"/>
      <c r="F9" s="29" t="s">
        <v>193</v>
      </c>
      <c r="H9" s="99">
        <f>H16-H8</f>
        <v>290.5</v>
      </c>
      <c r="I9" s="115">
        <f>H9/H16</f>
        <v>0.40600978336827392</v>
      </c>
      <c r="J9" s="99"/>
      <c r="L9" s="94" t="s">
        <v>182</v>
      </c>
      <c r="M9" s="94"/>
      <c r="N9" s="119">
        <v>458.3</v>
      </c>
      <c r="O9" s="101"/>
      <c r="P9" s="29" t="s">
        <v>193</v>
      </c>
      <c r="R9" s="99">
        <f>R16-R8</f>
        <v>278</v>
      </c>
      <c r="S9" s="115">
        <f>R9/R16</f>
        <v>0.48096885813148788</v>
      </c>
      <c r="T9" s="99"/>
    </row>
    <row r="10" spans="2:20" x14ac:dyDescent="0.15">
      <c r="B10" s="94" t="s">
        <v>179</v>
      </c>
      <c r="C10" s="94"/>
      <c r="D10" s="102">
        <v>109</v>
      </c>
      <c r="E10" s="101"/>
      <c r="H10" s="99"/>
      <c r="I10" s="99"/>
      <c r="J10" s="99"/>
      <c r="L10" s="94" t="s">
        <v>179</v>
      </c>
      <c r="M10" s="94"/>
      <c r="N10" s="102">
        <v>101.7</v>
      </c>
      <c r="O10" s="101"/>
      <c r="R10" s="99"/>
      <c r="S10" s="99"/>
      <c r="T10" s="99"/>
    </row>
    <row r="11" spans="2:20" x14ac:dyDescent="0.15">
      <c r="B11" s="94" t="s">
        <v>214</v>
      </c>
      <c r="C11" s="94"/>
      <c r="D11" s="102">
        <f>SUM(D9:D10)</f>
        <v>702.7</v>
      </c>
      <c r="E11" s="101"/>
      <c r="F11" s="117" t="s">
        <v>187</v>
      </c>
      <c r="G11" s="117"/>
      <c r="H11" s="117"/>
      <c r="I11" s="99"/>
      <c r="J11" s="99"/>
      <c r="L11" s="94" t="s">
        <v>214</v>
      </c>
      <c r="M11" s="94"/>
      <c r="N11" s="102">
        <v>560</v>
      </c>
      <c r="O11" s="101"/>
      <c r="P11" s="117" t="s">
        <v>187</v>
      </c>
      <c r="Q11" s="117"/>
      <c r="R11" s="117"/>
      <c r="S11" s="99"/>
      <c r="T11" s="99"/>
    </row>
    <row r="12" spans="2:20" x14ac:dyDescent="0.15">
      <c r="B12" s="94" t="s">
        <v>183</v>
      </c>
      <c r="C12" s="94"/>
      <c r="D12" s="142">
        <f>D11/D8</f>
        <v>10.03857142857143</v>
      </c>
      <c r="E12" s="101"/>
      <c r="F12" s="29" t="s">
        <v>190</v>
      </c>
      <c r="H12" s="99">
        <v>593.70000000000005</v>
      </c>
      <c r="I12" s="99"/>
      <c r="J12" s="99"/>
      <c r="L12" s="94" t="s">
        <v>183</v>
      </c>
      <c r="M12" s="94"/>
      <c r="N12" s="142">
        <f>N11/N8</f>
        <v>9.3802345058626457</v>
      </c>
      <c r="O12" s="101"/>
      <c r="P12" s="29" t="s">
        <v>190</v>
      </c>
      <c r="R12" s="99">
        <v>458.3</v>
      </c>
      <c r="S12" s="99"/>
      <c r="T12" s="99"/>
    </row>
    <row r="13" spans="2:20" x14ac:dyDescent="0.15">
      <c r="B13" s="94"/>
      <c r="C13" s="94"/>
      <c r="D13" s="120"/>
      <c r="E13" s="101"/>
      <c r="F13" s="29" t="s">
        <v>188</v>
      </c>
      <c r="H13" s="144">
        <v>109</v>
      </c>
      <c r="I13" s="99"/>
      <c r="J13" s="99"/>
      <c r="L13" s="94"/>
      <c r="M13" s="94"/>
      <c r="N13" s="120"/>
      <c r="O13" s="101"/>
      <c r="P13" s="29" t="s">
        <v>188</v>
      </c>
      <c r="R13" s="144">
        <v>101.7</v>
      </c>
      <c r="S13" s="99"/>
      <c r="T13" s="99"/>
    </row>
    <row r="14" spans="2:20" x14ac:dyDescent="0.15">
      <c r="B14" s="117" t="s">
        <v>185</v>
      </c>
      <c r="C14" s="117"/>
      <c r="D14" s="118"/>
      <c r="E14" s="101"/>
      <c r="F14" s="29" t="s">
        <v>189</v>
      </c>
      <c r="H14" s="144">
        <v>12.8</v>
      </c>
      <c r="I14" s="99"/>
      <c r="J14" s="99"/>
      <c r="L14" s="92" t="s">
        <v>185</v>
      </c>
      <c r="M14" s="92"/>
      <c r="N14" s="104"/>
      <c r="O14" s="101"/>
      <c r="P14" s="29" t="s">
        <v>189</v>
      </c>
      <c r="R14" s="144">
        <v>18</v>
      </c>
      <c r="S14" s="99"/>
      <c r="T14" s="99"/>
    </row>
    <row r="15" spans="2:20" x14ac:dyDescent="0.15">
      <c r="B15" s="94" t="s">
        <v>180</v>
      </c>
      <c r="C15" s="94"/>
      <c r="D15" s="120">
        <f>D12</f>
        <v>10.03857142857143</v>
      </c>
      <c r="E15" s="101"/>
      <c r="H15" s="99"/>
      <c r="I15" s="99"/>
      <c r="J15" s="99"/>
      <c r="L15" s="94" t="s">
        <v>180</v>
      </c>
      <c r="M15" s="94"/>
      <c r="N15" s="120">
        <f>N12</f>
        <v>9.3802345058626457</v>
      </c>
      <c r="O15" s="101"/>
      <c r="R15" s="99"/>
      <c r="S15" s="99"/>
      <c r="T15" s="99"/>
    </row>
    <row r="16" spans="2:20" x14ac:dyDescent="0.15">
      <c r="B16" s="94" t="s">
        <v>211</v>
      </c>
      <c r="C16" s="94"/>
      <c r="D16" s="121">
        <v>0</v>
      </c>
      <c r="E16" s="101"/>
      <c r="F16" s="29" t="s">
        <v>192</v>
      </c>
      <c r="H16" s="99">
        <f>SUM(H12:H14)</f>
        <v>715.5</v>
      </c>
      <c r="I16" s="99"/>
      <c r="J16" s="99"/>
      <c r="L16" s="94" t="s">
        <v>177</v>
      </c>
      <c r="M16" s="94"/>
      <c r="N16" s="121">
        <v>0</v>
      </c>
      <c r="O16" s="101"/>
      <c r="P16" s="29" t="s">
        <v>192</v>
      </c>
      <c r="R16" s="99">
        <f>SUM(R12:R14)</f>
        <v>578</v>
      </c>
      <c r="S16" s="99"/>
      <c r="T16" s="99"/>
    </row>
    <row r="17" spans="2:20" x14ac:dyDescent="0.15">
      <c r="B17" s="94" t="s">
        <v>178</v>
      </c>
      <c r="C17" s="94"/>
      <c r="D17" s="121">
        <v>1</v>
      </c>
      <c r="E17" s="99"/>
      <c r="F17" s="99"/>
      <c r="G17" s="99"/>
      <c r="H17" s="99"/>
      <c r="I17" s="99"/>
      <c r="J17" s="99"/>
      <c r="L17" s="94" t="s">
        <v>178</v>
      </c>
      <c r="M17" s="94"/>
      <c r="N17" s="121">
        <v>1</v>
      </c>
      <c r="O17" s="99"/>
      <c r="P17" s="99"/>
      <c r="Q17" s="99"/>
      <c r="R17" s="99"/>
      <c r="S17" s="99"/>
      <c r="T17" s="99"/>
    </row>
    <row r="18" spans="2:20" x14ac:dyDescent="0.15">
      <c r="B18" s="99" t="s">
        <v>176</v>
      </c>
      <c r="C18" s="99"/>
      <c r="D18" s="143">
        <v>0.05</v>
      </c>
      <c r="E18" s="99"/>
      <c r="F18" s="99"/>
      <c r="G18" s="99"/>
      <c r="H18" s="99"/>
      <c r="I18" s="99"/>
      <c r="J18" s="99"/>
      <c r="L18" s="99" t="s">
        <v>176</v>
      </c>
      <c r="M18" s="99"/>
      <c r="N18" s="143">
        <v>0.05</v>
      </c>
      <c r="O18" s="99"/>
      <c r="P18" s="99"/>
      <c r="Q18" s="99"/>
      <c r="R18" s="99"/>
      <c r="S18" s="99"/>
      <c r="T18" s="99"/>
    </row>
    <row r="19" spans="2:20" x14ac:dyDescent="0.15">
      <c r="J19" s="122"/>
      <c r="T19" s="122"/>
    </row>
    <row r="20" spans="2:20" x14ac:dyDescent="0.15">
      <c r="D20" s="123" t="s">
        <v>197</v>
      </c>
      <c r="E20" s="123"/>
      <c r="F20" s="123"/>
      <c r="G20" s="123"/>
      <c r="H20" s="123"/>
      <c r="I20" s="124"/>
      <c r="J20" s="122"/>
      <c r="N20" s="123" t="s">
        <v>197</v>
      </c>
      <c r="O20" s="123"/>
      <c r="P20" s="123"/>
      <c r="Q20" s="123"/>
      <c r="R20" s="123"/>
      <c r="T20" s="122"/>
    </row>
    <row r="21" spans="2:20" x14ac:dyDescent="0.15">
      <c r="D21" s="139">
        <v>2018</v>
      </c>
      <c r="E21" s="139">
        <f>D21+1</f>
        <v>2019</v>
      </c>
      <c r="F21" s="139">
        <f t="shared" ref="F21:H21" si="0">E21+1</f>
        <v>2020</v>
      </c>
      <c r="G21" s="139">
        <f t="shared" si="0"/>
        <v>2021</v>
      </c>
      <c r="H21" s="139">
        <f t="shared" si="0"/>
        <v>2022</v>
      </c>
      <c r="J21" s="122"/>
      <c r="N21" s="139">
        <v>2018</v>
      </c>
      <c r="O21" s="139">
        <f>N21+1</f>
        <v>2019</v>
      </c>
      <c r="P21" s="139">
        <f t="shared" ref="P21:R21" si="1">O21+1</f>
        <v>2020</v>
      </c>
      <c r="Q21" s="139">
        <f t="shared" si="1"/>
        <v>2021</v>
      </c>
      <c r="R21" s="139">
        <f t="shared" si="1"/>
        <v>2022</v>
      </c>
      <c r="T21" s="122"/>
    </row>
    <row r="22" spans="2:20" x14ac:dyDescent="0.15">
      <c r="D22" s="125"/>
      <c r="E22" s="125"/>
      <c r="F22" s="125"/>
      <c r="G22" s="125"/>
      <c r="H22" s="125"/>
      <c r="J22" s="122"/>
      <c r="N22" s="125"/>
      <c r="O22" s="125"/>
      <c r="P22" s="125"/>
      <c r="Q22" s="125"/>
      <c r="R22" s="125"/>
      <c r="T22" s="122"/>
    </row>
    <row r="23" spans="2:20" x14ac:dyDescent="0.15">
      <c r="B23" s="94" t="s">
        <v>173</v>
      </c>
      <c r="C23" s="94"/>
      <c r="D23" s="126">
        <f>'Bojangles Financials'!H15</f>
        <v>574.80989999999997</v>
      </c>
      <c r="E23" s="126">
        <f>'Bojangles Financials'!I15</f>
        <v>603.55039499999998</v>
      </c>
      <c r="F23" s="126">
        <f>'Bojangles Financials'!J15</f>
        <v>633.72791474999997</v>
      </c>
      <c r="G23" s="126">
        <f>'Bojangles Financials'!K15</f>
        <v>665.41431048749996</v>
      </c>
      <c r="H23" s="126">
        <f>'Bojangles Financials'!L15</f>
        <v>698.68502601187504</v>
      </c>
      <c r="J23" s="122"/>
      <c r="L23" s="94" t="s">
        <v>173</v>
      </c>
      <c r="M23" s="94"/>
      <c r="N23" s="126">
        <f>'Fogo De Chao Financials'!G15</f>
        <v>330.07695000000001</v>
      </c>
      <c r="O23" s="126">
        <f>'Fogo De Chao Financials'!H15</f>
        <v>346.58079750000002</v>
      </c>
      <c r="P23" s="126">
        <f>'Fogo De Chao Financials'!I15</f>
        <v>363.90983737500005</v>
      </c>
      <c r="Q23" s="126">
        <f>'Fogo De Chao Financials'!J15</f>
        <v>382.10532924375008</v>
      </c>
      <c r="R23" s="126">
        <f>'Fogo De Chao Financials'!K15</f>
        <v>401.21059570593758</v>
      </c>
      <c r="T23" s="122"/>
    </row>
    <row r="24" spans="2:20" x14ac:dyDescent="0.15">
      <c r="B24" s="94" t="s">
        <v>198</v>
      </c>
      <c r="C24" s="94"/>
      <c r="D24" s="126">
        <f>'Bojangles Financials'!H29</f>
        <v>58.69080000000001</v>
      </c>
      <c r="E24" s="126">
        <f>'Bojangles Financials'!I29</f>
        <v>61.625339999999994</v>
      </c>
      <c r="F24" s="126">
        <f>'Bojangles Financials'!J29</f>
        <v>64.706607000000105</v>
      </c>
      <c r="G24" s="126">
        <f>'Bojangles Financials'!K29</f>
        <v>67.941937350000003</v>
      </c>
      <c r="H24" s="126">
        <f>'Bojangles Financials'!L29</f>
        <v>71.339034217500057</v>
      </c>
      <c r="J24" s="122"/>
      <c r="L24" s="94" t="s">
        <v>198</v>
      </c>
      <c r="M24" s="94"/>
      <c r="N24" s="126">
        <f>'Fogo De Chao Financials'!G29</f>
        <v>51.280949999999976</v>
      </c>
      <c r="O24" s="126">
        <f>'Fogo De Chao Financials'!H29</f>
        <v>53.844997499999991</v>
      </c>
      <c r="P24" s="126">
        <f>'Fogo De Chao Financials'!I29</f>
        <v>56.537247375000021</v>
      </c>
      <c r="Q24" s="126">
        <f>'Fogo De Chao Financials'!J29</f>
        <v>59.364109743750035</v>
      </c>
      <c r="R24" s="126">
        <f>'Fogo De Chao Financials'!K29</f>
        <v>62.332315230937468</v>
      </c>
      <c r="T24" s="122"/>
    </row>
    <row r="25" spans="2:20" x14ac:dyDescent="0.15">
      <c r="B25" s="90" t="s">
        <v>148</v>
      </c>
      <c r="C25" s="90"/>
      <c r="D25" s="127">
        <f>D24/D23</f>
        <v>0.10210471322779933</v>
      </c>
      <c r="E25" s="127">
        <f t="shared" ref="E25:H25" si="2">E24/E23</f>
        <v>0.10210471322779931</v>
      </c>
      <c r="F25" s="127">
        <f t="shared" si="2"/>
        <v>0.10210471322779949</v>
      </c>
      <c r="G25" s="127">
        <f t="shared" si="2"/>
        <v>0.10210471322779932</v>
      </c>
      <c r="H25" s="127">
        <f t="shared" si="2"/>
        <v>0.10210471322779939</v>
      </c>
      <c r="J25" s="122"/>
      <c r="L25" s="90" t="s">
        <v>148</v>
      </c>
      <c r="M25" s="90"/>
      <c r="N25" s="127">
        <f>N24/N23</f>
        <v>0.15536059091675433</v>
      </c>
      <c r="O25" s="127">
        <f t="shared" ref="O25" si="3">O24/O23</f>
        <v>0.15536059091675439</v>
      </c>
      <c r="P25" s="127">
        <f t="shared" ref="P25" si="4">P24/P23</f>
        <v>0.15536059091675444</v>
      </c>
      <c r="Q25" s="127">
        <f t="shared" ref="Q25" si="5">Q24/Q23</f>
        <v>0.15536059091675447</v>
      </c>
      <c r="R25" s="127">
        <f t="shared" ref="R25" si="6">R24/R23</f>
        <v>0.1553605909167543</v>
      </c>
      <c r="T25" s="122"/>
    </row>
    <row r="26" spans="2:20" x14ac:dyDescent="0.15">
      <c r="B26" s="94" t="s">
        <v>199</v>
      </c>
      <c r="C26" s="94"/>
      <c r="D26" s="126">
        <f>'Bojangles Financials'!H22</f>
        <v>3.0449999999999995</v>
      </c>
      <c r="E26" s="126">
        <f>'Bojangles Financials'!I22</f>
        <v>3.1972499999999995</v>
      </c>
      <c r="F26" s="126">
        <f>'Bojangles Financials'!J22</f>
        <v>3.3571124999999995</v>
      </c>
      <c r="G26" s="126">
        <f>'Bojangles Financials'!K22</f>
        <v>3.5249681249999996</v>
      </c>
      <c r="H26" s="126">
        <f>'Bojangles Financials'!L22</f>
        <v>3.7012165312500001</v>
      </c>
      <c r="L26" s="94" t="s">
        <v>199</v>
      </c>
      <c r="M26" s="94"/>
      <c r="N26" s="126">
        <f>'Fogo De Chao Financials'!G22</f>
        <v>19.950000000000003</v>
      </c>
      <c r="O26" s="126">
        <f>'Fogo De Chao Financials'!H22</f>
        <v>20.947500000000002</v>
      </c>
      <c r="P26" s="126">
        <f>'Fogo De Chao Financials'!I22</f>
        <v>21.994875000000004</v>
      </c>
      <c r="Q26" s="126">
        <f>'Fogo De Chao Financials'!J22</f>
        <v>23.094618750000006</v>
      </c>
      <c r="R26" s="126">
        <f>'Fogo De Chao Financials'!K22</f>
        <v>24.249349687500004</v>
      </c>
    </row>
    <row r="27" spans="2:20" x14ac:dyDescent="0.15">
      <c r="B27" s="94" t="s">
        <v>200</v>
      </c>
      <c r="C27" s="94"/>
      <c r="D27" s="140">
        <f>'Bojangles Financials'!H32</f>
        <v>-10.096799999999998</v>
      </c>
      <c r="E27" s="140">
        <f>'Bojangles Financials'!I32</f>
        <v>-10.601639999999998</v>
      </c>
      <c r="F27" s="140">
        <f>'Bojangles Financials'!J32</f>
        <v>-11.131721999999998</v>
      </c>
      <c r="G27" s="140">
        <f>'Bojangles Financials'!K32</f>
        <v>-11.688308099999999</v>
      </c>
      <c r="H27" s="140">
        <f>'Bojangles Financials'!L32</f>
        <v>-12.272723505</v>
      </c>
      <c r="J27" s="99"/>
      <c r="L27" s="94" t="s">
        <v>200</v>
      </c>
      <c r="M27" s="94"/>
      <c r="N27" s="140">
        <f>'Fogo De Chao Financials'!G32</f>
        <v>-37.746450000000003</v>
      </c>
      <c r="O27" s="140">
        <f>'Fogo De Chao Financials'!H32</f>
        <v>-39.633772500000006</v>
      </c>
      <c r="P27" s="140">
        <f>'Fogo De Chao Financials'!I32</f>
        <v>-41.61546112500001</v>
      </c>
      <c r="Q27" s="140">
        <f>'Fogo De Chao Financials'!J32</f>
        <v>-43.696234181250013</v>
      </c>
      <c r="R27" s="140">
        <f>'Fogo De Chao Financials'!K32</f>
        <v>-45.881045890312514</v>
      </c>
      <c r="S27" s="99"/>
      <c r="T27" s="99"/>
    </row>
    <row r="28" spans="2:20" x14ac:dyDescent="0.15">
      <c r="B28" s="94" t="s">
        <v>174</v>
      </c>
      <c r="C28" s="94"/>
      <c r="D28" s="128">
        <f>'Bojangles Financials'!H33</f>
        <v>0</v>
      </c>
      <c r="E28" s="128">
        <f>'Bojangles Financials'!I33</f>
        <v>0</v>
      </c>
      <c r="F28" s="128">
        <f>'Bojangles Financials'!J33</f>
        <v>0</v>
      </c>
      <c r="G28" s="128">
        <f>'Bojangles Financials'!K33</f>
        <v>0</v>
      </c>
      <c r="H28" s="128">
        <f>'Bojangles Financials'!L33</f>
        <v>0</v>
      </c>
      <c r="J28" s="99"/>
      <c r="L28" s="94" t="s">
        <v>174</v>
      </c>
      <c r="M28" s="94"/>
      <c r="N28" s="128">
        <f>'Fogo De Chao Financials'!G33</f>
        <v>0</v>
      </c>
      <c r="O28" s="128">
        <f>'Fogo De Chao Financials'!S33</f>
        <v>0</v>
      </c>
      <c r="P28" s="128">
        <f>'Fogo De Chao Financials'!T33</f>
        <v>0</v>
      </c>
      <c r="Q28" s="128">
        <f>'Fogo De Chao Financials'!U33</f>
        <v>0</v>
      </c>
      <c r="R28" s="128">
        <f>'Fogo De Chao Financials'!V33</f>
        <v>0</v>
      </c>
      <c r="S28" s="99"/>
      <c r="T28" s="99"/>
    </row>
    <row r="29" spans="2:20" x14ac:dyDescent="0.15">
      <c r="B29" s="94" t="s">
        <v>175</v>
      </c>
      <c r="C29" s="94"/>
      <c r="D29" s="129">
        <f>'Bojangles Financials'!C49</f>
        <v>0.24</v>
      </c>
      <c r="E29" s="129">
        <f>'Bojangles Financials'!D49</f>
        <v>0.24</v>
      </c>
      <c r="F29" s="129">
        <f>'Bojangles Financials'!E49</f>
        <v>0.24</v>
      </c>
      <c r="G29" s="129">
        <f>'Bojangles Financials'!F49</f>
        <v>0.24</v>
      </c>
      <c r="H29" s="129">
        <f>'Bojangles Financials'!G49</f>
        <v>0.24</v>
      </c>
      <c r="J29" s="99"/>
      <c r="L29" s="94" t="s">
        <v>175</v>
      </c>
      <c r="M29" s="94"/>
      <c r="N29" s="129">
        <f>'Fogo De Chao Financials'!C49</f>
        <v>0.24</v>
      </c>
      <c r="O29" s="129">
        <f>'Fogo De Chao Financials'!D49</f>
        <v>0.24</v>
      </c>
      <c r="P29" s="129">
        <f>'Fogo De Chao Financials'!E49</f>
        <v>0.24</v>
      </c>
      <c r="Q29" s="129">
        <f>'Fogo De Chao Financials'!F49</f>
        <v>0.24</v>
      </c>
      <c r="R29" s="129">
        <f>'Fogo De Chao Financials'!G49</f>
        <v>0.24</v>
      </c>
      <c r="S29" s="99"/>
      <c r="T29" s="99"/>
    </row>
    <row r="30" spans="2:20" x14ac:dyDescent="0.15">
      <c r="B30" s="94" t="s">
        <v>176</v>
      </c>
      <c r="C30" s="94"/>
      <c r="D30" s="129">
        <f>$D$18</f>
        <v>0.05</v>
      </c>
      <c r="E30" s="129">
        <f t="shared" ref="E30:H30" si="7">$D$18</f>
        <v>0.05</v>
      </c>
      <c r="F30" s="129">
        <f t="shared" si="7"/>
        <v>0.05</v>
      </c>
      <c r="G30" s="129">
        <f t="shared" si="7"/>
        <v>0.05</v>
      </c>
      <c r="H30" s="129">
        <f t="shared" si="7"/>
        <v>0.05</v>
      </c>
      <c r="J30" s="93"/>
      <c r="L30" s="94" t="s">
        <v>176</v>
      </c>
      <c r="M30" s="94"/>
      <c r="N30" s="129">
        <f>$N$18</f>
        <v>0.05</v>
      </c>
      <c r="O30" s="129">
        <f t="shared" ref="O30:R30" si="8">$N$18</f>
        <v>0.05</v>
      </c>
      <c r="P30" s="129">
        <f t="shared" si="8"/>
        <v>0.05</v>
      </c>
      <c r="Q30" s="129">
        <f t="shared" si="8"/>
        <v>0.05</v>
      </c>
      <c r="R30" s="129">
        <f t="shared" si="8"/>
        <v>0.05</v>
      </c>
      <c r="S30" s="93"/>
      <c r="T30" s="93"/>
    </row>
    <row r="31" spans="2:20" x14ac:dyDescent="0.15">
      <c r="B31" s="94" t="s">
        <v>201</v>
      </c>
      <c r="C31" s="94"/>
      <c r="D31" s="130">
        <f>D34*D30</f>
        <v>21.25</v>
      </c>
      <c r="E31" s="130">
        <f t="shared" ref="E31:F31" si="9">E34*E30</f>
        <v>19.882800000000003</v>
      </c>
      <c r="F31" s="130">
        <f t="shared" si="9"/>
        <v>18.325755000000001</v>
      </c>
      <c r="G31" s="130">
        <f>G34*G30</f>
        <v>16.563298499999998</v>
      </c>
      <c r="H31" s="130">
        <f>H34*H30</f>
        <v>14.578781962499997</v>
      </c>
      <c r="J31" s="103"/>
      <c r="L31" s="94" t="s">
        <v>201</v>
      </c>
      <c r="M31" s="94"/>
      <c r="N31" s="130">
        <f>N34*N30</f>
        <v>15</v>
      </c>
      <c r="O31" s="130">
        <f t="shared" ref="O31:P31" si="10">O34*O30</f>
        <v>15</v>
      </c>
      <c r="P31" s="130">
        <f t="shared" si="10"/>
        <v>15</v>
      </c>
      <c r="Q31" s="130">
        <f>Q34*Q30</f>
        <v>15</v>
      </c>
      <c r="R31" s="130">
        <f>R34*R30</f>
        <v>14.966606221875001</v>
      </c>
      <c r="S31" s="103"/>
      <c r="T31" s="103"/>
    </row>
    <row r="32" spans="2:20" x14ac:dyDescent="0.15">
      <c r="B32" s="131" t="s">
        <v>202</v>
      </c>
      <c r="C32" s="132"/>
      <c r="D32" s="133">
        <f>(D23*D25)-D31+D27-D28</f>
        <v>27.344000000000012</v>
      </c>
      <c r="E32" s="133">
        <f t="shared" ref="E32:H32" si="11">(E23*E25)-E31+E27-E28</f>
        <v>31.140899999999995</v>
      </c>
      <c r="F32" s="133">
        <f t="shared" si="11"/>
        <v>35.249130000000108</v>
      </c>
      <c r="G32" s="133">
        <f t="shared" si="11"/>
        <v>39.690330750000001</v>
      </c>
      <c r="H32" s="134">
        <f t="shared" si="11"/>
        <v>44.48752875000006</v>
      </c>
      <c r="J32" s="103"/>
      <c r="L32" s="131" t="s">
        <v>202</v>
      </c>
      <c r="M32" s="132"/>
      <c r="N32" s="133">
        <f>(N23*N25)-N31+N27-N28</f>
        <v>-1.4655000000000271</v>
      </c>
      <c r="O32" s="133">
        <f t="shared" ref="O32:R32" si="12">(O23*O25)-O31+O27-O28</f>
        <v>-0.78877500000001532</v>
      </c>
      <c r="P32" s="133">
        <f t="shared" si="12"/>
        <v>-7.8213749999989091E-2</v>
      </c>
      <c r="Q32" s="133">
        <f t="shared" si="12"/>
        <v>0.66787556250002211</v>
      </c>
      <c r="R32" s="134">
        <f t="shared" si="12"/>
        <v>1.4846631187499568</v>
      </c>
      <c r="S32" s="99" t="s">
        <v>212</v>
      </c>
      <c r="T32" s="103"/>
    </row>
    <row r="33" spans="2:20" x14ac:dyDescent="0.15">
      <c r="J33" s="103"/>
      <c r="S33" s="103"/>
      <c r="T33" s="103"/>
    </row>
    <row r="34" spans="2:20" x14ac:dyDescent="0.15">
      <c r="B34" s="94" t="s">
        <v>203</v>
      </c>
      <c r="C34" s="94"/>
      <c r="D34" s="130">
        <f>H8</f>
        <v>425</v>
      </c>
      <c r="E34" s="130">
        <f>D37</f>
        <v>397.65600000000001</v>
      </c>
      <c r="F34" s="130">
        <f t="shared" ref="F34" si="13">E37</f>
        <v>366.51510000000002</v>
      </c>
      <c r="G34" s="130">
        <f>F37</f>
        <v>331.26596999999992</v>
      </c>
      <c r="H34" s="130">
        <f>G37</f>
        <v>291.57563924999994</v>
      </c>
      <c r="J34" s="99"/>
      <c r="L34" s="94" t="s">
        <v>203</v>
      </c>
      <c r="M34" s="94"/>
      <c r="N34" s="130">
        <f>R8</f>
        <v>300</v>
      </c>
      <c r="O34" s="130">
        <f>N37</f>
        <v>300</v>
      </c>
      <c r="P34" s="130">
        <f t="shared" ref="P34" si="14">O37</f>
        <v>300</v>
      </c>
      <c r="Q34" s="130">
        <f>P37</f>
        <v>300</v>
      </c>
      <c r="R34" s="130">
        <f>Q37</f>
        <v>299.3321244375</v>
      </c>
      <c r="S34" s="99" t="s">
        <v>212</v>
      </c>
      <c r="T34" s="99"/>
    </row>
    <row r="35" spans="2:20" x14ac:dyDescent="0.15">
      <c r="B35" s="94" t="s">
        <v>204</v>
      </c>
      <c r="C35" s="94"/>
      <c r="D35" s="130">
        <f>$D$16*$H$8</f>
        <v>0</v>
      </c>
      <c r="E35" s="130">
        <f t="shared" ref="E35:H35" si="15">$D$16*$H$8</f>
        <v>0</v>
      </c>
      <c r="F35" s="130">
        <f t="shared" si="15"/>
        <v>0</v>
      </c>
      <c r="G35" s="130">
        <f t="shared" si="15"/>
        <v>0</v>
      </c>
      <c r="H35" s="130">
        <f t="shared" si="15"/>
        <v>0</v>
      </c>
      <c r="J35" s="99"/>
      <c r="L35" s="94" t="s">
        <v>204</v>
      </c>
      <c r="M35" s="94"/>
      <c r="N35" s="130">
        <f>MIN($D$16*$R$8)</f>
        <v>0</v>
      </c>
      <c r="O35" s="130">
        <f t="shared" ref="O35:R35" si="16">MIN($D$16*$R$8)</f>
        <v>0</v>
      </c>
      <c r="P35" s="130">
        <f t="shared" si="16"/>
        <v>0</v>
      </c>
      <c r="Q35" s="130">
        <f t="shared" si="16"/>
        <v>0</v>
      </c>
      <c r="R35" s="130">
        <f t="shared" si="16"/>
        <v>0</v>
      </c>
    </row>
    <row r="36" spans="2:20" x14ac:dyDescent="0.15">
      <c r="B36" s="94" t="s">
        <v>210</v>
      </c>
      <c r="C36" s="94"/>
      <c r="D36" s="130">
        <f>MAX(D32-D35,0)</f>
        <v>27.344000000000012</v>
      </c>
      <c r="E36" s="130">
        <f t="shared" ref="E36:F36" si="17">MAX(E32-E35,0)</f>
        <v>31.140899999999995</v>
      </c>
      <c r="F36" s="130">
        <f t="shared" si="17"/>
        <v>35.249130000000108</v>
      </c>
      <c r="G36" s="130">
        <f>MAX(G32-G35,0)</f>
        <v>39.690330750000001</v>
      </c>
      <c r="H36" s="130">
        <f>MAX(H32-H35,0)</f>
        <v>44.48752875000006</v>
      </c>
      <c r="L36" s="94" t="s">
        <v>210</v>
      </c>
      <c r="M36" s="94"/>
      <c r="N36" s="130">
        <f>MAX(N32-N35,0)</f>
        <v>0</v>
      </c>
      <c r="O36" s="130">
        <f t="shared" ref="O36:R36" si="18">MAX(O32-O35,0)</f>
        <v>0</v>
      </c>
      <c r="P36" s="130">
        <f t="shared" si="18"/>
        <v>0</v>
      </c>
      <c r="Q36" s="130">
        <f t="shared" si="18"/>
        <v>0.66787556250002211</v>
      </c>
      <c r="R36" s="130">
        <f>MAX(R32-R35,0)</f>
        <v>1.4846631187499568</v>
      </c>
    </row>
    <row r="37" spans="2:20" x14ac:dyDescent="0.15">
      <c r="B37" s="135" t="s">
        <v>205</v>
      </c>
      <c r="C37" s="135"/>
      <c r="D37" s="136">
        <f>D34-D35-D36</f>
        <v>397.65600000000001</v>
      </c>
      <c r="E37" s="136">
        <f t="shared" ref="E37:F37" si="19">E34-E35-E36</f>
        <v>366.51510000000002</v>
      </c>
      <c r="F37" s="136">
        <f t="shared" si="19"/>
        <v>331.26596999999992</v>
      </c>
      <c r="G37" s="136">
        <f>G34-G35-G36</f>
        <v>291.57563924999994</v>
      </c>
      <c r="H37" s="136">
        <f>H34-H35-H36</f>
        <v>247.08811049999989</v>
      </c>
      <c r="L37" s="135" t="s">
        <v>205</v>
      </c>
      <c r="M37" s="135"/>
      <c r="N37" s="136">
        <f>N34-N36</f>
        <v>300</v>
      </c>
      <c r="O37" s="136">
        <f t="shared" ref="O37:R37" si="20">O34-O36</f>
        <v>300</v>
      </c>
      <c r="P37" s="136">
        <f t="shared" si="20"/>
        <v>300</v>
      </c>
      <c r="Q37" s="136">
        <f t="shared" si="20"/>
        <v>299.3321244375</v>
      </c>
      <c r="R37" s="136">
        <f t="shared" si="20"/>
        <v>297.84746131875005</v>
      </c>
    </row>
    <row r="38" spans="2:20" x14ac:dyDescent="0.15">
      <c r="D38" s="130"/>
      <c r="E38" s="130"/>
      <c r="F38" s="130"/>
      <c r="G38" s="130"/>
      <c r="H38" s="130"/>
      <c r="I38" s="130"/>
      <c r="N38" s="130"/>
      <c r="O38" s="130"/>
      <c r="P38" s="130"/>
      <c r="Q38" s="130"/>
      <c r="R38" s="130"/>
    </row>
    <row r="39" spans="2:20" x14ac:dyDescent="0.15">
      <c r="B39" s="94" t="s">
        <v>206</v>
      </c>
      <c r="C39" s="94"/>
      <c r="D39" s="130">
        <f>H24*D15</f>
        <v>716.14199063767569</v>
      </c>
      <c r="E39" s="130"/>
      <c r="F39" s="130"/>
      <c r="G39" s="130"/>
      <c r="H39" s="130"/>
      <c r="I39" s="130"/>
      <c r="L39" s="94" t="s">
        <v>206</v>
      </c>
      <c r="M39" s="94"/>
      <c r="N39" s="130">
        <f>R24*N15</f>
        <v>584.69173415954742</v>
      </c>
      <c r="O39" s="130"/>
      <c r="P39" s="130"/>
      <c r="Q39" s="130"/>
      <c r="R39" s="130"/>
    </row>
    <row r="40" spans="2:20" x14ac:dyDescent="0.15">
      <c r="B40" s="94" t="s">
        <v>207</v>
      </c>
      <c r="C40" s="94"/>
      <c r="D40" s="130">
        <f>D39-H37</f>
        <v>469.05388013767583</v>
      </c>
      <c r="E40" s="130"/>
      <c r="F40" s="130"/>
      <c r="G40" s="130"/>
      <c r="H40" s="130"/>
      <c r="I40" s="130"/>
      <c r="L40" s="94" t="s">
        <v>207</v>
      </c>
      <c r="M40" s="94"/>
      <c r="N40" s="130">
        <f>N39-R37-SUM(N32:P32)</f>
        <v>289.17676159079741</v>
      </c>
      <c r="O40" s="130"/>
      <c r="P40" s="130"/>
      <c r="Q40" s="130"/>
      <c r="R40" s="130"/>
    </row>
    <row r="42" spans="2:20" x14ac:dyDescent="0.15">
      <c r="B42" s="47" t="s">
        <v>208</v>
      </c>
      <c r="C42" s="47"/>
      <c r="D42" s="137">
        <f>(D40/H9)^(1/5)-1</f>
        <v>0.10056404186365975</v>
      </c>
      <c r="L42" s="47" t="s">
        <v>208</v>
      </c>
      <c r="M42" s="47"/>
      <c r="N42" s="137">
        <f>(N40/R9)^(1/5)-1</f>
        <v>7.9145596963672293E-3</v>
      </c>
    </row>
    <row r="43" spans="2:20" x14ac:dyDescent="0.15">
      <c r="B43" s="31" t="s">
        <v>209</v>
      </c>
      <c r="C43" s="31"/>
      <c r="D43" s="138">
        <f>D40/H9</f>
        <v>1.6146433051210871</v>
      </c>
      <c r="L43" s="31" t="s">
        <v>209</v>
      </c>
      <c r="M43" s="31"/>
      <c r="N43" s="138">
        <f>N40/R9</f>
        <v>1.0402041783841633</v>
      </c>
    </row>
  </sheetData>
  <mergeCells count="4">
    <mergeCell ref="N20:R20"/>
    <mergeCell ref="J19:J25"/>
    <mergeCell ref="T19:T25"/>
    <mergeCell ref="D20:H20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68FE-EE36-284C-9447-EB67129A5EA7}">
  <dimension ref="A1:F164"/>
  <sheetViews>
    <sheetView tabSelected="1" topLeftCell="A104" workbookViewId="0">
      <selection activeCell="G148" sqref="G148"/>
    </sheetView>
  </sheetViews>
  <sheetFormatPr baseColWidth="10" defaultRowHeight="13" x14ac:dyDescent="0.15"/>
  <cols>
    <col min="1" max="1" width="41.83203125" bestFit="1" customWidth="1"/>
    <col min="2" max="6" width="8.1640625" bestFit="1" customWidth="1"/>
  </cols>
  <sheetData>
    <row r="1" spans="1:6" x14ac:dyDescent="0.15">
      <c r="A1" t="s">
        <v>168</v>
      </c>
    </row>
    <row r="2" spans="1:6" x14ac:dyDescent="0.15">
      <c r="A2" t="s">
        <v>0</v>
      </c>
      <c r="B2">
        <v>5</v>
      </c>
      <c r="C2">
        <v>4</v>
      </c>
      <c r="D2">
        <v>3</v>
      </c>
      <c r="E2">
        <v>2</v>
      </c>
      <c r="F2">
        <v>1</v>
      </c>
    </row>
    <row r="3" spans="1:6" x14ac:dyDescent="0.15">
      <c r="A3" t="s">
        <v>1</v>
      </c>
      <c r="B3" s="1">
        <v>41910</v>
      </c>
      <c r="C3" s="1">
        <v>42001</v>
      </c>
      <c r="D3" s="1">
        <v>42365</v>
      </c>
      <c r="E3" s="1">
        <v>42729</v>
      </c>
      <c r="F3" s="1">
        <v>43100</v>
      </c>
    </row>
    <row r="4" spans="1:6" x14ac:dyDescent="0.15">
      <c r="A4" t="s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</row>
    <row r="5" spans="1:6" x14ac:dyDescent="0.15">
      <c r="A5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</row>
    <row r="6" spans="1:6" x14ac:dyDescent="0.15">
      <c r="A6" t="s">
        <v>6</v>
      </c>
      <c r="B6">
        <v>375.16199999999998</v>
      </c>
      <c r="C6">
        <v>430.47199999999998</v>
      </c>
      <c r="D6">
        <v>488.202</v>
      </c>
      <c r="E6">
        <v>531.88099999999997</v>
      </c>
      <c r="F6">
        <v>547.43799999999999</v>
      </c>
    </row>
    <row r="7" spans="1:6" x14ac:dyDescent="0.15">
      <c r="A7" t="s">
        <v>7</v>
      </c>
      <c r="B7">
        <v>302.11200000000002</v>
      </c>
      <c r="C7">
        <v>343.88600000000002</v>
      </c>
      <c r="D7">
        <v>389.315</v>
      </c>
      <c r="E7">
        <v>422.44799999999998</v>
      </c>
      <c r="F7">
        <v>451.44499999999999</v>
      </c>
    </row>
    <row r="8" spans="1:6" x14ac:dyDescent="0.15">
      <c r="A8" t="s">
        <v>8</v>
      </c>
      <c r="B8">
        <v>73.05</v>
      </c>
      <c r="C8">
        <v>86.585999999999999</v>
      </c>
      <c r="D8">
        <v>98.887</v>
      </c>
      <c r="E8">
        <v>109.43300000000001</v>
      </c>
      <c r="F8">
        <v>95.992999999999995</v>
      </c>
    </row>
    <row r="9" spans="1:6" x14ac:dyDescent="0.15">
      <c r="A9" t="s">
        <v>9</v>
      </c>
      <c r="B9">
        <v>27.478000000000002</v>
      </c>
      <c r="C9">
        <v>32.106999999999999</v>
      </c>
      <c r="D9">
        <v>42.844000000000001</v>
      </c>
      <c r="E9">
        <v>39.040999999999997</v>
      </c>
      <c r="F9">
        <v>38.396999999999998</v>
      </c>
    </row>
    <row r="10" spans="1:6" x14ac:dyDescent="0.15">
      <c r="A10" t="s">
        <v>10</v>
      </c>
    </row>
    <row r="11" spans="1:6" x14ac:dyDescent="0.15">
      <c r="A11" t="s">
        <v>11</v>
      </c>
      <c r="B11">
        <v>2.2000000000000002</v>
      </c>
      <c r="C11">
        <v>2.4</v>
      </c>
      <c r="D11">
        <v>2.8</v>
      </c>
      <c r="E11">
        <v>2.9</v>
      </c>
      <c r="F11">
        <v>2.9</v>
      </c>
    </row>
    <row r="12" spans="1:6" x14ac:dyDescent="0.15">
      <c r="A12" t="s">
        <v>12</v>
      </c>
    </row>
    <row r="13" spans="1:6" x14ac:dyDescent="0.15">
      <c r="A13" t="s">
        <v>13</v>
      </c>
      <c r="B13">
        <v>0.1</v>
      </c>
      <c r="C13">
        <v>0.5</v>
      </c>
      <c r="D13">
        <v>1.5</v>
      </c>
      <c r="E13">
        <v>2</v>
      </c>
      <c r="F13">
        <v>1.7</v>
      </c>
    </row>
    <row r="14" spans="1:6" x14ac:dyDescent="0.15">
      <c r="A14" t="s">
        <v>14</v>
      </c>
    </row>
    <row r="15" spans="1:6" x14ac:dyDescent="0.15">
      <c r="A15" t="s">
        <v>15</v>
      </c>
      <c r="B15">
        <v>331.8</v>
      </c>
      <c r="C15">
        <v>378.9</v>
      </c>
      <c r="D15">
        <v>436.5</v>
      </c>
      <c r="E15">
        <v>466.4</v>
      </c>
      <c r="F15">
        <v>494.5</v>
      </c>
    </row>
    <row r="16" spans="1:6" x14ac:dyDescent="0.15">
      <c r="A16" t="s">
        <v>16</v>
      </c>
      <c r="B16">
        <v>43.320999999999998</v>
      </c>
      <c r="C16">
        <v>51.563000000000002</v>
      </c>
      <c r="D16">
        <v>51.688000000000002</v>
      </c>
      <c r="E16">
        <v>65.501000000000005</v>
      </c>
      <c r="F16">
        <v>52.942</v>
      </c>
    </row>
    <row r="17" spans="1:6" x14ac:dyDescent="0.15">
      <c r="A17" t="s">
        <v>17</v>
      </c>
      <c r="B17">
        <v>-9.1</v>
      </c>
      <c r="C17">
        <v>-9.9</v>
      </c>
      <c r="D17">
        <v>-9.1</v>
      </c>
      <c r="E17">
        <v>-8.1999999999999993</v>
      </c>
      <c r="F17">
        <v>-7.1</v>
      </c>
    </row>
    <row r="18" spans="1:6" x14ac:dyDescent="0.15">
      <c r="A18" t="s">
        <v>18</v>
      </c>
    </row>
    <row r="19" spans="1:6" x14ac:dyDescent="0.15">
      <c r="A19" t="s">
        <v>19</v>
      </c>
    </row>
    <row r="20" spans="1:6" x14ac:dyDescent="0.15">
      <c r="A20" t="s">
        <v>20</v>
      </c>
      <c r="B20">
        <v>34.241999999999997</v>
      </c>
      <c r="C20">
        <v>41.709000000000003</v>
      </c>
      <c r="D20">
        <v>42.56</v>
      </c>
      <c r="E20">
        <v>57.253</v>
      </c>
      <c r="F20">
        <v>45.881</v>
      </c>
    </row>
    <row r="21" spans="1:6" x14ac:dyDescent="0.15">
      <c r="A21" t="s">
        <v>21</v>
      </c>
      <c r="B21">
        <v>9.9149999999999991</v>
      </c>
      <c r="C21">
        <v>15.589</v>
      </c>
      <c r="D21">
        <v>16.033999999999999</v>
      </c>
      <c r="E21">
        <v>19.536999999999999</v>
      </c>
      <c r="F21">
        <v>13.975</v>
      </c>
    </row>
    <row r="22" spans="1:6" x14ac:dyDescent="0.15">
      <c r="A22" t="s">
        <v>22</v>
      </c>
      <c r="B22">
        <v>24.327000000000002</v>
      </c>
      <c r="C22">
        <v>26.12</v>
      </c>
      <c r="D22">
        <v>26.526</v>
      </c>
      <c r="E22">
        <v>37.716000000000001</v>
      </c>
      <c r="F22">
        <v>72.006</v>
      </c>
    </row>
    <row r="23" spans="1:6" x14ac:dyDescent="0.15">
      <c r="A23" t="s">
        <v>23</v>
      </c>
    </row>
    <row r="24" spans="1:6" x14ac:dyDescent="0.15">
      <c r="A24" t="s">
        <v>24</v>
      </c>
      <c r="B24">
        <v>0.68</v>
      </c>
      <c r="C24">
        <v>0.73</v>
      </c>
      <c r="D24">
        <v>1.1499999999999999</v>
      </c>
      <c r="E24">
        <v>1.04</v>
      </c>
      <c r="F24">
        <v>0.87</v>
      </c>
    </row>
    <row r="25" spans="1:6" x14ac:dyDescent="0.15">
      <c r="A25" t="s">
        <v>25</v>
      </c>
      <c r="B25">
        <v>0.68</v>
      </c>
      <c r="C25">
        <v>0.73</v>
      </c>
      <c r="D25">
        <v>1.1499999999999999</v>
      </c>
      <c r="E25">
        <v>1.04</v>
      </c>
      <c r="F25">
        <v>1.95</v>
      </c>
    </row>
    <row r="26" spans="1:6" x14ac:dyDescent="0.15">
      <c r="A26" t="s">
        <v>26</v>
      </c>
      <c r="B26">
        <v>0.65</v>
      </c>
      <c r="C26">
        <v>0.74</v>
      </c>
      <c r="D26">
        <v>1.1499999999999999</v>
      </c>
      <c r="E26">
        <v>1.05</v>
      </c>
      <c r="F26">
        <v>0.87</v>
      </c>
    </row>
    <row r="27" spans="1:6" x14ac:dyDescent="0.15">
      <c r="A27" t="s">
        <v>27</v>
      </c>
      <c r="B27">
        <v>36</v>
      </c>
      <c r="C27">
        <v>36</v>
      </c>
      <c r="D27">
        <v>23</v>
      </c>
      <c r="E27">
        <v>36</v>
      </c>
      <c r="F27">
        <v>37</v>
      </c>
    </row>
    <row r="28" spans="1:6" x14ac:dyDescent="0.15">
      <c r="A28" t="s">
        <v>28</v>
      </c>
      <c r="B28">
        <v>0.68</v>
      </c>
      <c r="C28">
        <v>0.73</v>
      </c>
      <c r="D28">
        <v>0.71</v>
      </c>
      <c r="E28">
        <v>1</v>
      </c>
      <c r="F28">
        <v>0.83</v>
      </c>
    </row>
    <row r="29" spans="1:6" x14ac:dyDescent="0.15">
      <c r="A29" t="s">
        <v>29</v>
      </c>
      <c r="B29">
        <v>0.68</v>
      </c>
      <c r="C29">
        <v>0.73</v>
      </c>
      <c r="D29">
        <v>0.71</v>
      </c>
      <c r="E29">
        <v>1</v>
      </c>
      <c r="F29">
        <v>1.87</v>
      </c>
    </row>
    <row r="30" spans="1:6" x14ac:dyDescent="0.15">
      <c r="A30" t="s">
        <v>30</v>
      </c>
      <c r="B30">
        <v>0.65</v>
      </c>
      <c r="C30">
        <v>0.74</v>
      </c>
      <c r="D30">
        <v>0.71</v>
      </c>
      <c r="E30">
        <v>1.01</v>
      </c>
      <c r="F30">
        <v>0.83</v>
      </c>
    </row>
    <row r="31" spans="1:6" x14ac:dyDescent="0.15">
      <c r="A31" t="s">
        <v>31</v>
      </c>
      <c r="B31">
        <v>36</v>
      </c>
      <c r="C31">
        <v>36</v>
      </c>
      <c r="D31">
        <v>37</v>
      </c>
      <c r="E31">
        <v>38</v>
      </c>
      <c r="F31">
        <v>39</v>
      </c>
    </row>
    <row r="32" spans="1:6" x14ac:dyDescent="0.15">
      <c r="A32" t="s">
        <v>32</v>
      </c>
      <c r="B32">
        <v>0</v>
      </c>
      <c r="C32">
        <v>0</v>
      </c>
    </row>
    <row r="33" spans="1:6" x14ac:dyDescent="0.15">
      <c r="A33" t="s">
        <v>33</v>
      </c>
      <c r="C33">
        <v>8800</v>
      </c>
      <c r="D33">
        <v>9520</v>
      </c>
      <c r="E33">
        <v>9850</v>
      </c>
      <c r="F33">
        <v>9900</v>
      </c>
    </row>
    <row r="36" spans="1:6" x14ac:dyDescent="0.15">
      <c r="A36" t="s">
        <v>168</v>
      </c>
    </row>
    <row r="37" spans="1:6" x14ac:dyDescent="0.15">
      <c r="A37" t="s">
        <v>34</v>
      </c>
    </row>
    <row r="38" spans="1:6" x14ac:dyDescent="0.15">
      <c r="A38" t="s">
        <v>1</v>
      </c>
      <c r="B38" s="1">
        <v>41910</v>
      </c>
      <c r="C38" s="1">
        <v>42001</v>
      </c>
      <c r="D38" s="1">
        <v>42365</v>
      </c>
      <c r="E38" s="1">
        <v>42729</v>
      </c>
      <c r="F38" s="1">
        <v>43100</v>
      </c>
    </row>
    <row r="39" spans="1:6" x14ac:dyDescent="0.15">
      <c r="A39" t="s">
        <v>2</v>
      </c>
      <c r="B39" t="s">
        <v>3</v>
      </c>
      <c r="C39" t="s">
        <v>3</v>
      </c>
      <c r="D39" t="s">
        <v>3</v>
      </c>
      <c r="E39" t="s">
        <v>3</v>
      </c>
      <c r="F39" t="s">
        <v>3</v>
      </c>
    </row>
    <row r="40" spans="1:6" x14ac:dyDescent="0.15">
      <c r="A40" t="s">
        <v>4</v>
      </c>
      <c r="B40" t="s">
        <v>5</v>
      </c>
      <c r="C40" t="s">
        <v>5</v>
      </c>
      <c r="D40" t="s">
        <v>5</v>
      </c>
      <c r="E40" t="s">
        <v>5</v>
      </c>
      <c r="F40" t="s">
        <v>5</v>
      </c>
    </row>
    <row r="41" spans="1:6" x14ac:dyDescent="0.15">
      <c r="A41" t="s">
        <v>35</v>
      </c>
      <c r="B41">
        <v>8.4559999999999995</v>
      </c>
      <c r="C41">
        <v>13.201000000000001</v>
      </c>
      <c r="D41">
        <v>14.263</v>
      </c>
      <c r="E41">
        <v>13.898</v>
      </c>
      <c r="F41">
        <v>14.052</v>
      </c>
    </row>
    <row r="42" spans="1:6" x14ac:dyDescent="0.15">
      <c r="A42" t="s">
        <v>36</v>
      </c>
      <c r="B42">
        <v>8.4559999999999995</v>
      </c>
      <c r="C42">
        <v>13.201000000000001</v>
      </c>
      <c r="D42">
        <v>14.263</v>
      </c>
      <c r="E42">
        <v>13.898</v>
      </c>
      <c r="F42">
        <v>14.052</v>
      </c>
    </row>
    <row r="43" spans="1:6" x14ac:dyDescent="0.15">
      <c r="A43" t="s">
        <v>37</v>
      </c>
      <c r="B43">
        <v>2.835</v>
      </c>
      <c r="C43">
        <v>5.8760000000000003</v>
      </c>
      <c r="D43">
        <v>8.0259999999999998</v>
      </c>
      <c r="E43">
        <v>7.3120000000000003</v>
      </c>
      <c r="F43">
        <v>8.0090000000000003</v>
      </c>
    </row>
    <row r="44" spans="1:6" x14ac:dyDescent="0.15">
      <c r="A44" t="s">
        <v>38</v>
      </c>
      <c r="B44">
        <v>2.331</v>
      </c>
      <c r="C44">
        <v>2.7429999999999999</v>
      </c>
      <c r="D44">
        <v>3.08</v>
      </c>
      <c r="E44">
        <v>3.3260000000000001</v>
      </c>
      <c r="F44">
        <v>3.6190000000000002</v>
      </c>
    </row>
    <row r="45" spans="1:6" x14ac:dyDescent="0.15">
      <c r="A45" t="s">
        <v>39</v>
      </c>
      <c r="B45">
        <v>0.4</v>
      </c>
      <c r="C45">
        <v>0.6</v>
      </c>
      <c r="D45">
        <v>1.1000000000000001</v>
      </c>
      <c r="E45">
        <v>1.5</v>
      </c>
      <c r="F45">
        <v>0.8</v>
      </c>
    </row>
    <row r="46" spans="1:6" x14ac:dyDescent="0.15">
      <c r="A46" t="s">
        <v>40</v>
      </c>
      <c r="B46">
        <v>1.6</v>
      </c>
      <c r="C46">
        <v>1.2</v>
      </c>
      <c r="D46">
        <v>1.7</v>
      </c>
      <c r="E46">
        <v>0</v>
      </c>
      <c r="F46">
        <v>0</v>
      </c>
    </row>
    <row r="47" spans="1:6" x14ac:dyDescent="0.15">
      <c r="A47" t="s">
        <v>41</v>
      </c>
      <c r="B47">
        <v>15.631</v>
      </c>
      <c r="C47">
        <v>23.634</v>
      </c>
      <c r="D47">
        <v>28.120999999999999</v>
      </c>
      <c r="E47">
        <v>26.064</v>
      </c>
      <c r="F47">
        <v>26.495000000000001</v>
      </c>
    </row>
    <row r="48" spans="1:6" x14ac:dyDescent="0.15">
      <c r="A48" t="s">
        <v>42</v>
      </c>
      <c r="B48">
        <v>63.7</v>
      </c>
      <c r="C48">
        <v>73.900000000000006</v>
      </c>
      <c r="D48">
        <v>89.6</v>
      </c>
      <c r="E48">
        <v>104.6</v>
      </c>
      <c r="F48">
        <v>114</v>
      </c>
    </row>
    <row r="49" spans="1:6" x14ac:dyDescent="0.15">
      <c r="A49" t="s">
        <v>43</v>
      </c>
      <c r="B49">
        <v>-21.684000000000001</v>
      </c>
      <c r="C49">
        <v>-31.399000000000001</v>
      </c>
      <c r="D49">
        <v>-41.481000000000002</v>
      </c>
      <c r="E49">
        <v>-52.307000000000002</v>
      </c>
      <c r="F49">
        <v>-64.582999999999998</v>
      </c>
    </row>
    <row r="50" spans="1:6" x14ac:dyDescent="0.15">
      <c r="A50" t="s">
        <v>44</v>
      </c>
      <c r="B50">
        <v>42</v>
      </c>
      <c r="C50">
        <v>42.5</v>
      </c>
      <c r="D50">
        <v>48.1</v>
      </c>
      <c r="E50">
        <v>52.3</v>
      </c>
      <c r="F50">
        <v>49.4</v>
      </c>
    </row>
    <row r="51" spans="1:6" x14ac:dyDescent="0.15">
      <c r="A51" t="s">
        <v>45</v>
      </c>
      <c r="B51">
        <v>160.62100000000001</v>
      </c>
      <c r="C51">
        <v>161.13999999999999</v>
      </c>
      <c r="D51">
        <v>161.13999999999999</v>
      </c>
      <c r="E51">
        <v>161.13999999999999</v>
      </c>
      <c r="F51">
        <v>161.13999999999999</v>
      </c>
    </row>
    <row r="52" spans="1:6" x14ac:dyDescent="0.15">
      <c r="A52" t="s">
        <v>46</v>
      </c>
      <c r="B52">
        <v>317.38099999999997</v>
      </c>
      <c r="C52">
        <v>318.846</v>
      </c>
      <c r="D52">
        <v>317.23500000000001</v>
      </c>
      <c r="E52">
        <v>315.72399999999999</v>
      </c>
      <c r="F52">
        <v>314.334</v>
      </c>
    </row>
    <row r="53" spans="1:6" x14ac:dyDescent="0.15">
      <c r="A53" t="s">
        <v>47</v>
      </c>
    </row>
    <row r="54" spans="1:6" x14ac:dyDescent="0.15">
      <c r="A54" t="s">
        <v>48</v>
      </c>
    </row>
    <row r="55" spans="1:6" x14ac:dyDescent="0.15">
      <c r="A55" t="s">
        <v>49</v>
      </c>
      <c r="B55">
        <v>5.7</v>
      </c>
      <c r="C55">
        <v>6.5</v>
      </c>
      <c r="D55">
        <v>6.1</v>
      </c>
      <c r="E55">
        <v>4.5999999999999996</v>
      </c>
      <c r="F55">
        <v>4.0999999999999996</v>
      </c>
    </row>
    <row r="56" spans="1:6" x14ac:dyDescent="0.15">
      <c r="A56" t="s">
        <v>50</v>
      </c>
    </row>
    <row r="57" spans="1:6" x14ac:dyDescent="0.15">
      <c r="A57" t="s">
        <v>51</v>
      </c>
      <c r="B57">
        <v>541.33600000000001</v>
      </c>
      <c r="C57">
        <v>552.64300000000003</v>
      </c>
      <c r="D57">
        <v>560.76499999999999</v>
      </c>
      <c r="E57">
        <v>559.77200000000005</v>
      </c>
      <c r="F57">
        <v>555.46799999999996</v>
      </c>
    </row>
    <row r="58" spans="1:6" x14ac:dyDescent="0.15">
      <c r="A58" t="s">
        <v>52</v>
      </c>
      <c r="B58">
        <v>12.667</v>
      </c>
      <c r="C58">
        <v>15.638999999999999</v>
      </c>
      <c r="D58">
        <v>17.893000000000001</v>
      </c>
      <c r="E58">
        <v>16.818000000000001</v>
      </c>
      <c r="F58">
        <v>12.956</v>
      </c>
    </row>
    <row r="59" spans="1:6" x14ac:dyDescent="0.15">
      <c r="A59" t="s">
        <v>53</v>
      </c>
    </row>
    <row r="60" spans="1:6" x14ac:dyDescent="0.15">
      <c r="A60" t="s">
        <v>54</v>
      </c>
      <c r="B60">
        <v>14.8</v>
      </c>
      <c r="C60">
        <v>18.5</v>
      </c>
      <c r="D60">
        <v>15.5</v>
      </c>
      <c r="E60">
        <v>13</v>
      </c>
      <c r="F60">
        <v>12.5</v>
      </c>
    </row>
    <row r="61" spans="1:6" x14ac:dyDescent="0.15">
      <c r="A61" t="s">
        <v>55</v>
      </c>
      <c r="B61">
        <v>3.9</v>
      </c>
      <c r="C61">
        <v>4.4000000000000004</v>
      </c>
      <c r="D61">
        <v>6</v>
      </c>
      <c r="E61">
        <v>9.4</v>
      </c>
      <c r="F61">
        <v>8.5</v>
      </c>
    </row>
    <row r="62" spans="1:6" x14ac:dyDescent="0.15">
      <c r="A62" t="s">
        <v>56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15">
      <c r="A63" t="s">
        <v>57</v>
      </c>
      <c r="B63">
        <v>3.5</v>
      </c>
      <c r="C63">
        <v>1.7</v>
      </c>
      <c r="D63">
        <v>5.7</v>
      </c>
      <c r="E63">
        <v>9.3000000000000007</v>
      </c>
      <c r="F63">
        <v>6</v>
      </c>
    </row>
    <row r="64" spans="1:6" x14ac:dyDescent="0.15">
      <c r="A64" t="s">
        <v>58</v>
      </c>
      <c r="B64">
        <v>34.854999999999997</v>
      </c>
      <c r="C64">
        <v>40.137999999999998</v>
      </c>
      <c r="D64">
        <v>45.101999999999997</v>
      </c>
      <c r="E64">
        <v>48.579000000000001</v>
      </c>
      <c r="F64">
        <v>39.905999999999999</v>
      </c>
    </row>
    <row r="65" spans="1:6" x14ac:dyDescent="0.15">
      <c r="A65" t="s">
        <v>59</v>
      </c>
      <c r="B65">
        <v>199.6</v>
      </c>
      <c r="C65">
        <v>228.2</v>
      </c>
      <c r="D65">
        <v>200.2</v>
      </c>
      <c r="E65">
        <v>153.6</v>
      </c>
      <c r="F65">
        <v>123.4</v>
      </c>
    </row>
    <row r="66" spans="1:6" x14ac:dyDescent="0.15">
      <c r="A66" t="s">
        <v>60</v>
      </c>
      <c r="B66">
        <v>18.399999999999999</v>
      </c>
      <c r="C66">
        <v>20.100000000000001</v>
      </c>
      <c r="D66">
        <v>21.5</v>
      </c>
      <c r="E66">
        <v>22.5</v>
      </c>
      <c r="F66">
        <v>22.4</v>
      </c>
    </row>
    <row r="67" spans="1:6" x14ac:dyDescent="0.15">
      <c r="A67" t="s">
        <v>61</v>
      </c>
      <c r="B67">
        <v>217.97499999999999</v>
      </c>
      <c r="C67">
        <v>248.393</v>
      </c>
      <c r="D67">
        <v>221.67699999999999</v>
      </c>
      <c r="E67">
        <v>176.154</v>
      </c>
      <c r="F67">
        <v>145.81</v>
      </c>
    </row>
    <row r="68" spans="1:6" x14ac:dyDescent="0.15">
      <c r="A68" t="s">
        <v>62</v>
      </c>
      <c r="B68">
        <v>118.16800000000001</v>
      </c>
      <c r="C68">
        <v>116.589</v>
      </c>
      <c r="D68">
        <v>115.02800000000001</v>
      </c>
      <c r="E68">
        <v>111.312</v>
      </c>
      <c r="F68">
        <v>71.19</v>
      </c>
    </row>
    <row r="69" spans="1:6" x14ac:dyDescent="0.15">
      <c r="A69" t="s">
        <v>63</v>
      </c>
      <c r="B69">
        <v>9.6999999999999993</v>
      </c>
      <c r="C69">
        <v>9.8000000000000007</v>
      </c>
      <c r="D69">
        <v>11.8</v>
      </c>
      <c r="E69">
        <v>12.9</v>
      </c>
      <c r="F69">
        <v>13.5</v>
      </c>
    </row>
    <row r="70" spans="1:6" x14ac:dyDescent="0.15">
      <c r="A70" t="s">
        <v>64</v>
      </c>
    </row>
    <row r="71" spans="1:6" x14ac:dyDescent="0.15">
      <c r="A71" t="s">
        <v>65</v>
      </c>
      <c r="B71">
        <v>380.733</v>
      </c>
      <c r="C71">
        <v>414.89100000000002</v>
      </c>
      <c r="D71">
        <v>393.64100000000002</v>
      </c>
      <c r="E71">
        <v>348.98200000000003</v>
      </c>
      <c r="F71">
        <v>270.36399999999998</v>
      </c>
    </row>
    <row r="72" spans="1:6" x14ac:dyDescent="0.15">
      <c r="A72" t="s">
        <v>66</v>
      </c>
      <c r="B72">
        <v>172.7</v>
      </c>
      <c r="C72">
        <v>172.7</v>
      </c>
      <c r="D72">
        <v>0</v>
      </c>
      <c r="E72">
        <v>0</v>
      </c>
    </row>
    <row r="73" spans="1:6" x14ac:dyDescent="0.15">
      <c r="A73" t="s">
        <v>67</v>
      </c>
    </row>
    <row r="74" spans="1:6" x14ac:dyDescent="0.15">
      <c r="A74" t="s">
        <v>68</v>
      </c>
    </row>
    <row r="75" spans="1:6" x14ac:dyDescent="0.15">
      <c r="A75" t="s">
        <v>69</v>
      </c>
      <c r="B75">
        <v>0</v>
      </c>
      <c r="C75">
        <v>0</v>
      </c>
      <c r="D75">
        <v>0.4</v>
      </c>
      <c r="E75">
        <v>0.4</v>
      </c>
      <c r="F75">
        <v>0.4</v>
      </c>
    </row>
    <row r="76" spans="1:6" x14ac:dyDescent="0.15">
      <c r="A76" t="s">
        <v>70</v>
      </c>
      <c r="B76">
        <v>-30.535</v>
      </c>
      <c r="C76">
        <v>-56.22</v>
      </c>
      <c r="D76">
        <v>119.084</v>
      </c>
      <c r="E76">
        <v>124.80200000000001</v>
      </c>
      <c r="F76">
        <v>128.89500000000001</v>
      </c>
    </row>
    <row r="77" spans="1:6" x14ac:dyDescent="0.15">
      <c r="A77" t="s">
        <v>71</v>
      </c>
      <c r="B77">
        <v>18.033000000000001</v>
      </c>
      <c r="C77">
        <v>21.135000000000002</v>
      </c>
      <c r="D77">
        <v>47.661000000000001</v>
      </c>
      <c r="E77">
        <v>85.376999999999995</v>
      </c>
      <c r="F77">
        <v>157.38300000000001</v>
      </c>
    </row>
    <row r="78" spans="1:6" x14ac:dyDescent="0.15">
      <c r="A78" t="s">
        <v>72</v>
      </c>
      <c r="F78">
        <v>-2</v>
      </c>
    </row>
    <row r="79" spans="1:6" x14ac:dyDescent="0.15">
      <c r="A79" t="s">
        <v>73</v>
      </c>
    </row>
    <row r="80" spans="1:6" x14ac:dyDescent="0.15">
      <c r="A80" t="s">
        <v>74</v>
      </c>
    </row>
    <row r="81" spans="1:6" x14ac:dyDescent="0.15">
      <c r="A81" t="s">
        <v>75</v>
      </c>
      <c r="B81">
        <v>0.41399999999999998</v>
      </c>
      <c r="C81">
        <v>0.14599999999999999</v>
      </c>
      <c r="D81">
        <v>1.9E-2</v>
      </c>
      <c r="E81">
        <v>0.246</v>
      </c>
      <c r="F81">
        <v>0.45600000000000002</v>
      </c>
    </row>
    <row r="82" spans="1:6" x14ac:dyDescent="0.15">
      <c r="A82" t="s">
        <v>76</v>
      </c>
      <c r="B82">
        <v>160.60300000000001</v>
      </c>
      <c r="C82">
        <v>137.75200000000001</v>
      </c>
      <c r="D82">
        <v>167.124</v>
      </c>
      <c r="E82">
        <v>210.79</v>
      </c>
      <c r="F82">
        <v>285.10399999999998</v>
      </c>
    </row>
    <row r="83" spans="1:6" x14ac:dyDescent="0.15">
      <c r="A83" t="s">
        <v>77</v>
      </c>
      <c r="B83">
        <v>541.33600000000001</v>
      </c>
      <c r="C83">
        <v>552.64300000000003</v>
      </c>
      <c r="D83">
        <v>560.76499999999999</v>
      </c>
      <c r="E83">
        <v>559.77200000000005</v>
      </c>
      <c r="F83">
        <v>555.46799999999996</v>
      </c>
    </row>
    <row r="84" spans="1:6" x14ac:dyDescent="0.15">
      <c r="A84" t="s">
        <v>78</v>
      </c>
      <c r="B84">
        <v>36</v>
      </c>
      <c r="C84">
        <v>36</v>
      </c>
      <c r="D84">
        <v>36</v>
      </c>
      <c r="E84">
        <v>37</v>
      </c>
      <c r="F84">
        <v>37</v>
      </c>
    </row>
    <row r="87" spans="1:6" x14ac:dyDescent="0.15">
      <c r="A87" t="s">
        <v>168</v>
      </c>
    </row>
    <row r="88" spans="1:6" x14ac:dyDescent="0.15">
      <c r="A88" t="s">
        <v>79</v>
      </c>
    </row>
    <row r="89" spans="1:6" x14ac:dyDescent="0.15">
      <c r="A89" t="s">
        <v>1</v>
      </c>
      <c r="B89" s="1">
        <v>41910</v>
      </c>
      <c r="C89" s="1">
        <v>42001</v>
      </c>
      <c r="D89" s="1">
        <v>42365</v>
      </c>
      <c r="E89" s="1">
        <v>42729</v>
      </c>
      <c r="F89" s="1">
        <v>43100</v>
      </c>
    </row>
    <row r="90" spans="1:6" x14ac:dyDescent="0.15">
      <c r="A90" t="s">
        <v>2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</row>
    <row r="91" spans="1:6" x14ac:dyDescent="0.15">
      <c r="A91" t="s">
        <v>4</v>
      </c>
      <c r="B91" t="s">
        <v>5</v>
      </c>
      <c r="C91" t="s">
        <v>5</v>
      </c>
      <c r="D91" t="s">
        <v>5</v>
      </c>
      <c r="E91" t="s">
        <v>5</v>
      </c>
      <c r="F91" t="s">
        <v>5</v>
      </c>
    </row>
    <row r="92" spans="1:6" x14ac:dyDescent="0.15">
      <c r="A92" t="s">
        <v>22</v>
      </c>
      <c r="B92">
        <v>24.327000000000002</v>
      </c>
      <c r="C92">
        <v>26.12</v>
      </c>
      <c r="D92">
        <v>26.526</v>
      </c>
      <c r="E92">
        <v>37.716000000000001</v>
      </c>
      <c r="F92">
        <v>72.006</v>
      </c>
    </row>
    <row r="93" spans="1:6" x14ac:dyDescent="0.15">
      <c r="A93" t="s">
        <v>80</v>
      </c>
      <c r="B93">
        <v>3.6749999999999998</v>
      </c>
      <c r="C93">
        <v>1.532</v>
      </c>
      <c r="D93">
        <v>2.7789999999999999</v>
      </c>
      <c r="E93">
        <v>1.36</v>
      </c>
      <c r="F93">
        <v>-2.83</v>
      </c>
    </row>
    <row r="94" spans="1:6" x14ac:dyDescent="0.15">
      <c r="A94" t="s">
        <v>81</v>
      </c>
      <c r="B94">
        <v>37.93</v>
      </c>
      <c r="C94">
        <v>41.643000000000001</v>
      </c>
      <c r="D94">
        <v>45.526000000000003</v>
      </c>
      <c r="E94">
        <v>54.3</v>
      </c>
      <c r="F94">
        <v>49.744999999999997</v>
      </c>
    </row>
    <row r="95" spans="1:6" x14ac:dyDescent="0.15">
      <c r="A95" t="s">
        <v>82</v>
      </c>
      <c r="B95">
        <v>-9.4309999999999992</v>
      </c>
      <c r="C95">
        <v>-10.682</v>
      </c>
      <c r="D95">
        <v>-12.233000000000001</v>
      </c>
      <c r="E95">
        <v>-9.7949999999999999</v>
      </c>
      <c r="F95">
        <v>-9.6159999999999997</v>
      </c>
    </row>
    <row r="96" spans="1:6" x14ac:dyDescent="0.15">
      <c r="A96" t="s">
        <v>83</v>
      </c>
    </row>
    <row r="97" spans="1:6" x14ac:dyDescent="0.15">
      <c r="A97" t="s">
        <v>84</v>
      </c>
    </row>
    <row r="98" spans="1:6" x14ac:dyDescent="0.15">
      <c r="A98" t="s">
        <v>85</v>
      </c>
      <c r="B98">
        <v>0.81200000000000006</v>
      </c>
      <c r="C98">
        <v>1.2999999999999999E-2</v>
      </c>
      <c r="D98">
        <v>4.7E-2</v>
      </c>
      <c r="E98">
        <v>5.0999999999999997E-2</v>
      </c>
      <c r="F98">
        <v>0.16300000000000001</v>
      </c>
    </row>
    <row r="99" spans="1:6" x14ac:dyDescent="0.15">
      <c r="A99" t="s">
        <v>86</v>
      </c>
    </row>
    <row r="100" spans="1:6" x14ac:dyDescent="0.15">
      <c r="A100" t="s">
        <v>87</v>
      </c>
    </row>
    <row r="101" spans="1:6" x14ac:dyDescent="0.15">
      <c r="A101" t="s">
        <v>88</v>
      </c>
      <c r="B101">
        <v>0.81200000000000006</v>
      </c>
      <c r="C101">
        <v>1.2999999999999999E-2</v>
      </c>
      <c r="D101">
        <v>4.7E-2</v>
      </c>
      <c r="E101">
        <v>5.0999999999999997E-2</v>
      </c>
      <c r="F101">
        <v>0.16300000000000001</v>
      </c>
    </row>
    <row r="102" spans="1:6" x14ac:dyDescent="0.15">
      <c r="A102" t="s">
        <v>89</v>
      </c>
      <c r="B102">
        <v>-8.6189999999999998</v>
      </c>
      <c r="C102">
        <v>-10.669</v>
      </c>
      <c r="D102">
        <v>-12.186</v>
      </c>
      <c r="E102">
        <v>-9.7439999999999998</v>
      </c>
      <c r="F102">
        <v>-9.4529999999999994</v>
      </c>
    </row>
    <row r="103" spans="1:6" x14ac:dyDescent="0.15">
      <c r="A103" t="s">
        <v>90</v>
      </c>
    </row>
    <row r="104" spans="1:6" x14ac:dyDescent="0.15">
      <c r="A104" t="s">
        <v>91</v>
      </c>
      <c r="B104">
        <v>21.158999999999999</v>
      </c>
      <c r="C104">
        <v>24.614000000000001</v>
      </c>
      <c r="D104">
        <v>-32.734000000000002</v>
      </c>
      <c r="E104">
        <v>-48.817</v>
      </c>
      <c r="F104">
        <v>-39.847999999999999</v>
      </c>
    </row>
    <row r="105" spans="1:6" x14ac:dyDescent="0.15">
      <c r="A105" t="s">
        <v>92</v>
      </c>
      <c r="C105">
        <v>-0.17199999999999999</v>
      </c>
      <c r="D105">
        <v>0.33</v>
      </c>
      <c r="E105">
        <v>1.21</v>
      </c>
      <c r="F105">
        <v>0.45600000000000002</v>
      </c>
    </row>
    <row r="106" spans="1:6" x14ac:dyDescent="0.15">
      <c r="A106" t="s">
        <v>93</v>
      </c>
    </row>
    <row r="107" spans="1:6" x14ac:dyDescent="0.15">
      <c r="A107" t="s">
        <v>94</v>
      </c>
      <c r="B107">
        <v>-29.460999999999999</v>
      </c>
      <c r="C107">
        <v>-26.228999999999999</v>
      </c>
      <c r="D107">
        <v>-32.277999999999999</v>
      </c>
      <c r="E107">
        <v>-44.920999999999999</v>
      </c>
      <c r="F107">
        <v>-40.137999999999998</v>
      </c>
    </row>
    <row r="108" spans="1:6" x14ac:dyDescent="0.15">
      <c r="A108" t="s">
        <v>95</v>
      </c>
    </row>
    <row r="109" spans="1:6" x14ac:dyDescent="0.15">
      <c r="A109" t="s">
        <v>96</v>
      </c>
      <c r="B109">
        <v>-0.15</v>
      </c>
      <c r="C109">
        <v>4.7450000000000001</v>
      </c>
      <c r="D109">
        <v>1.0620000000000001</v>
      </c>
      <c r="E109">
        <v>-0.36499999999999999</v>
      </c>
      <c r="F109">
        <v>0.154</v>
      </c>
    </row>
    <row r="110" spans="1:6" x14ac:dyDescent="0.15">
      <c r="A110" t="s">
        <v>97</v>
      </c>
      <c r="B110">
        <v>8.6059999999999999</v>
      </c>
      <c r="C110">
        <v>8.4559999999999995</v>
      </c>
      <c r="D110">
        <v>13.201000000000001</v>
      </c>
      <c r="E110">
        <v>14.263</v>
      </c>
      <c r="F110">
        <v>13.898</v>
      </c>
    </row>
    <row r="111" spans="1:6" x14ac:dyDescent="0.15">
      <c r="A111" t="s">
        <v>98</v>
      </c>
      <c r="B111">
        <v>8.4559999999999995</v>
      </c>
      <c r="C111">
        <v>13.201000000000001</v>
      </c>
      <c r="D111">
        <v>14.263</v>
      </c>
      <c r="E111">
        <v>13.898</v>
      </c>
      <c r="F111">
        <v>14.052</v>
      </c>
    </row>
    <row r="114" spans="1:6" x14ac:dyDescent="0.15">
      <c r="A114" t="s">
        <v>168</v>
      </c>
    </row>
    <row r="115" spans="1:6" x14ac:dyDescent="0.15">
      <c r="A115" t="s">
        <v>99</v>
      </c>
    </row>
    <row r="116" spans="1:6" x14ac:dyDescent="0.15">
      <c r="A116" t="s">
        <v>1</v>
      </c>
      <c r="B116" s="1">
        <v>41639</v>
      </c>
      <c r="C116" s="1">
        <v>42004</v>
      </c>
      <c r="D116" s="1">
        <v>42369</v>
      </c>
      <c r="E116" s="1">
        <v>42735</v>
      </c>
      <c r="F116" s="1">
        <v>43100</v>
      </c>
    </row>
    <row r="117" spans="1:6" x14ac:dyDescent="0.15">
      <c r="A117" t="s">
        <v>2</v>
      </c>
    </row>
    <row r="118" spans="1:6" x14ac:dyDescent="0.15">
      <c r="A118" t="s">
        <v>4</v>
      </c>
    </row>
    <row r="119" spans="1:6" x14ac:dyDescent="0.15">
      <c r="A119" t="s">
        <v>100</v>
      </c>
    </row>
    <row r="120" spans="1:6" x14ac:dyDescent="0.15">
      <c r="A120" t="s">
        <v>101</v>
      </c>
      <c r="B120">
        <v>19.47</v>
      </c>
      <c r="C120">
        <v>20.11</v>
      </c>
      <c r="D120">
        <v>20.260000000000002</v>
      </c>
      <c r="E120">
        <v>20.57</v>
      </c>
      <c r="F120">
        <v>17.53</v>
      </c>
    </row>
    <row r="121" spans="1:6" x14ac:dyDescent="0.15">
      <c r="A121" t="s">
        <v>102</v>
      </c>
      <c r="B121">
        <v>11.55</v>
      </c>
      <c r="C121">
        <v>11.98</v>
      </c>
      <c r="D121">
        <v>10.59</v>
      </c>
      <c r="E121">
        <v>12.31</v>
      </c>
      <c r="F121">
        <v>9.67</v>
      </c>
    </row>
    <row r="122" spans="1:6" x14ac:dyDescent="0.15">
      <c r="A122" t="s">
        <v>103</v>
      </c>
      <c r="B122">
        <v>9.1300000000000008</v>
      </c>
      <c r="C122">
        <v>9.69</v>
      </c>
      <c r="D122">
        <v>8.7200000000000006</v>
      </c>
      <c r="E122">
        <v>10.76</v>
      </c>
      <c r="F122">
        <v>8.3800000000000008</v>
      </c>
    </row>
    <row r="123" spans="1:6" x14ac:dyDescent="0.15">
      <c r="A123" t="s">
        <v>104</v>
      </c>
      <c r="B123">
        <v>28.96</v>
      </c>
      <c r="C123">
        <v>37.380000000000003</v>
      </c>
      <c r="D123">
        <v>37.67</v>
      </c>
      <c r="E123">
        <v>34.119999999999997</v>
      </c>
      <c r="F123">
        <v>30.46</v>
      </c>
    </row>
    <row r="124" spans="1:6" x14ac:dyDescent="0.15">
      <c r="A124" t="s">
        <v>105</v>
      </c>
      <c r="B124">
        <v>6.48</v>
      </c>
      <c r="C124">
        <v>6.07</v>
      </c>
      <c r="D124">
        <v>5.43</v>
      </c>
      <c r="E124">
        <v>7.09</v>
      </c>
      <c r="F124">
        <v>5.83</v>
      </c>
    </row>
    <row r="125" spans="1:6" x14ac:dyDescent="0.15">
      <c r="A125" t="s">
        <v>106</v>
      </c>
      <c r="B125">
        <v>41.7</v>
      </c>
      <c r="C125">
        <v>52.2</v>
      </c>
      <c r="D125">
        <v>51.7</v>
      </c>
      <c r="E125">
        <v>66.099999999999994</v>
      </c>
      <c r="F125">
        <v>53.1</v>
      </c>
    </row>
    <row r="126" spans="1:6" x14ac:dyDescent="0.15">
      <c r="A126" t="s">
        <v>107</v>
      </c>
      <c r="B126">
        <v>52.9</v>
      </c>
      <c r="C126">
        <v>64.3</v>
      </c>
      <c r="D126">
        <v>66</v>
      </c>
      <c r="E126">
        <v>81.7</v>
      </c>
      <c r="F126">
        <v>69.7</v>
      </c>
    </row>
    <row r="127" spans="1:6" x14ac:dyDescent="0.15">
      <c r="A127" t="s">
        <v>108</v>
      </c>
      <c r="B127">
        <v>14.5</v>
      </c>
      <c r="C127">
        <v>14.8</v>
      </c>
      <c r="D127">
        <v>13.5</v>
      </c>
      <c r="E127">
        <v>15.3</v>
      </c>
      <c r="F127">
        <v>12.7</v>
      </c>
    </row>
    <row r="128" spans="1:6" x14ac:dyDescent="0.15">
      <c r="A128" t="s">
        <v>109</v>
      </c>
    </row>
    <row r="129" spans="1:6" x14ac:dyDescent="0.15">
      <c r="A129" t="s">
        <v>110</v>
      </c>
      <c r="C129">
        <v>18.5</v>
      </c>
      <c r="D129">
        <v>16.600000000000001</v>
      </c>
      <c r="E129">
        <v>19.100000000000001</v>
      </c>
      <c r="F129">
        <v>12.6</v>
      </c>
    </row>
    <row r="130" spans="1:6" x14ac:dyDescent="0.15">
      <c r="A130" t="s">
        <v>111</v>
      </c>
      <c r="D130">
        <v>6.9</v>
      </c>
      <c r="E130">
        <v>9.8000000000000007</v>
      </c>
      <c r="F130">
        <v>7.9</v>
      </c>
    </row>
    <row r="131" spans="1:6" x14ac:dyDescent="0.15">
      <c r="A131" t="s">
        <v>112</v>
      </c>
      <c r="C131">
        <v>4.8</v>
      </c>
      <c r="D131">
        <v>4.8</v>
      </c>
      <c r="E131">
        <v>6.8</v>
      </c>
      <c r="F131">
        <v>5.7</v>
      </c>
    </row>
    <row r="132" spans="1:6" x14ac:dyDescent="0.15">
      <c r="A132" t="s">
        <v>113</v>
      </c>
    </row>
    <row r="133" spans="1:6" x14ac:dyDescent="0.15">
      <c r="A133" t="s">
        <v>114</v>
      </c>
      <c r="B133">
        <v>13.3</v>
      </c>
      <c r="C133">
        <v>20.9</v>
      </c>
      <c r="D133">
        <v>25</v>
      </c>
      <c r="E133">
        <v>22.7</v>
      </c>
      <c r="F133">
        <v>22.9</v>
      </c>
    </row>
    <row r="134" spans="1:6" x14ac:dyDescent="0.15">
      <c r="A134" t="s">
        <v>115</v>
      </c>
      <c r="B134">
        <v>0.38</v>
      </c>
      <c r="C134">
        <v>0.52</v>
      </c>
      <c r="D134">
        <v>0.56000000000000005</v>
      </c>
      <c r="E134">
        <v>0.47</v>
      </c>
      <c r="F134">
        <v>0.56999999999999995</v>
      </c>
    </row>
    <row r="135" spans="1:6" x14ac:dyDescent="0.15">
      <c r="A135" t="s">
        <v>116</v>
      </c>
      <c r="B135">
        <v>0.45</v>
      </c>
      <c r="C135">
        <v>0.59</v>
      </c>
      <c r="D135">
        <v>0.62</v>
      </c>
      <c r="E135">
        <v>0.54</v>
      </c>
      <c r="F135">
        <v>0.66</v>
      </c>
    </row>
    <row r="136" spans="1:6" x14ac:dyDescent="0.15">
      <c r="A136" t="s">
        <v>117</v>
      </c>
      <c r="B136">
        <v>386.1</v>
      </c>
      <c r="C136">
        <v>412.2</v>
      </c>
      <c r="D136">
        <v>213.4</v>
      </c>
      <c r="E136">
        <v>171.7</v>
      </c>
      <c r="F136">
        <v>140.30000000000001</v>
      </c>
    </row>
    <row r="137" spans="1:6" x14ac:dyDescent="0.15">
      <c r="A137" t="s">
        <v>118</v>
      </c>
      <c r="C137">
        <v>100</v>
      </c>
      <c r="D137">
        <v>100</v>
      </c>
      <c r="E137">
        <v>83.6</v>
      </c>
      <c r="F137">
        <v>51.1</v>
      </c>
    </row>
    <row r="138" spans="1:6" x14ac:dyDescent="0.15">
      <c r="A138" t="s">
        <v>119</v>
      </c>
      <c r="B138">
        <v>135.69999999999999</v>
      </c>
      <c r="C138">
        <v>64.3</v>
      </c>
      <c r="D138">
        <v>57</v>
      </c>
      <c r="E138">
        <v>45.5</v>
      </c>
      <c r="F138">
        <v>33.799999999999997</v>
      </c>
    </row>
    <row r="139" spans="1:6" x14ac:dyDescent="0.15">
      <c r="A139" t="s">
        <v>120</v>
      </c>
      <c r="C139">
        <v>170.7</v>
      </c>
      <c r="D139">
        <v>124.1</v>
      </c>
      <c r="E139">
        <v>77</v>
      </c>
      <c r="F139">
        <v>46.2</v>
      </c>
    </row>
    <row r="140" spans="1:6" x14ac:dyDescent="0.15">
      <c r="A140" t="s">
        <v>121</v>
      </c>
    </row>
    <row r="141" spans="1:6" x14ac:dyDescent="0.15">
      <c r="A141" t="s">
        <v>122</v>
      </c>
      <c r="C141">
        <v>64.3</v>
      </c>
      <c r="D141">
        <v>57</v>
      </c>
      <c r="E141">
        <v>45.5</v>
      </c>
      <c r="F141">
        <v>33.799999999999997</v>
      </c>
    </row>
    <row r="142" spans="1:6" x14ac:dyDescent="0.15">
      <c r="A142" t="s">
        <v>123</v>
      </c>
      <c r="C142">
        <v>44.9</v>
      </c>
      <c r="D142">
        <v>39.5</v>
      </c>
      <c r="E142">
        <v>31.5</v>
      </c>
      <c r="F142">
        <v>26.2</v>
      </c>
    </row>
    <row r="143" spans="1:6" x14ac:dyDescent="0.15">
      <c r="A143" t="s">
        <v>124</v>
      </c>
    </row>
    <row r="144" spans="1:6" x14ac:dyDescent="0.15">
      <c r="A144" t="s">
        <v>125</v>
      </c>
      <c r="C144">
        <v>4</v>
      </c>
      <c r="D144">
        <v>3.4</v>
      </c>
      <c r="E144">
        <v>2.7</v>
      </c>
      <c r="F144">
        <v>2</v>
      </c>
    </row>
    <row r="145" spans="1:6" x14ac:dyDescent="0.15">
      <c r="A145" t="s">
        <v>126</v>
      </c>
    </row>
    <row r="146" spans="1:6" x14ac:dyDescent="0.15">
      <c r="A146" t="s">
        <v>127</v>
      </c>
      <c r="B146">
        <v>3</v>
      </c>
      <c r="C146">
        <v>3</v>
      </c>
      <c r="D146">
        <v>3</v>
      </c>
      <c r="E146">
        <v>3</v>
      </c>
      <c r="F146">
        <v>3</v>
      </c>
    </row>
    <row r="147" spans="1:6" x14ac:dyDescent="0.15">
      <c r="A147" t="s">
        <v>128</v>
      </c>
    </row>
    <row r="148" spans="1:6" x14ac:dyDescent="0.15">
      <c r="A148" t="s">
        <v>129</v>
      </c>
      <c r="B148">
        <v>15</v>
      </c>
      <c r="C148">
        <v>17</v>
      </c>
      <c r="D148">
        <v>17</v>
      </c>
      <c r="E148">
        <v>15</v>
      </c>
      <c r="F148">
        <v>10</v>
      </c>
    </row>
    <row r="149" spans="1:6" x14ac:dyDescent="0.15">
      <c r="A149" t="s">
        <v>130</v>
      </c>
    </row>
    <row r="150" spans="1:6" x14ac:dyDescent="0.15">
      <c r="A150" t="s">
        <v>131</v>
      </c>
      <c r="C150">
        <v>0.77900000000000003</v>
      </c>
      <c r="D150">
        <v>0.871</v>
      </c>
      <c r="E150">
        <v>0.95</v>
      </c>
      <c r="F150">
        <v>0.98599999999999999</v>
      </c>
    </row>
    <row r="151" spans="1:6" x14ac:dyDescent="0.15">
      <c r="A151" t="s">
        <v>132</v>
      </c>
    </row>
    <row r="152" spans="1:6" x14ac:dyDescent="0.15">
      <c r="A152" t="s">
        <v>133</v>
      </c>
      <c r="B152">
        <v>129.6</v>
      </c>
      <c r="C152">
        <v>125.4</v>
      </c>
      <c r="D152">
        <v>126.4</v>
      </c>
      <c r="E152">
        <v>127</v>
      </c>
      <c r="F152">
        <v>124.7</v>
      </c>
    </row>
    <row r="153" spans="1:6" x14ac:dyDescent="0.15">
      <c r="A153" t="s">
        <v>134</v>
      </c>
      <c r="B153">
        <v>23.9</v>
      </c>
      <c r="C153">
        <v>22</v>
      </c>
      <c r="D153">
        <v>21.8</v>
      </c>
      <c r="E153">
        <v>25.1</v>
      </c>
      <c r="F153">
        <v>34.799999999999997</v>
      </c>
    </row>
    <row r="154" spans="1:6" x14ac:dyDescent="0.15">
      <c r="A154" t="s">
        <v>135</v>
      </c>
      <c r="B154">
        <v>160.9</v>
      </c>
      <c r="C154">
        <v>156.9</v>
      </c>
      <c r="D154">
        <v>158.5</v>
      </c>
      <c r="E154">
        <v>159.9</v>
      </c>
      <c r="F154">
        <v>151.30000000000001</v>
      </c>
    </row>
    <row r="155" spans="1:6" x14ac:dyDescent="0.15">
      <c r="A155" t="s">
        <v>136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15">
      <c r="A156" t="s">
        <v>137</v>
      </c>
      <c r="B156">
        <v>44.4</v>
      </c>
      <c r="C156">
        <v>32.6</v>
      </c>
      <c r="D156">
        <v>34.200000000000003</v>
      </c>
      <c r="E156">
        <v>38.299999999999997</v>
      </c>
      <c r="F156">
        <v>39</v>
      </c>
    </row>
    <row r="157" spans="1:6" x14ac:dyDescent="0.15">
      <c r="A157" t="s">
        <v>138</v>
      </c>
      <c r="B157">
        <v>8.9</v>
      </c>
      <c r="C157">
        <v>10.1</v>
      </c>
      <c r="D157">
        <v>10.1</v>
      </c>
      <c r="E157">
        <v>10.199999999999999</v>
      </c>
      <c r="F157">
        <v>11.1</v>
      </c>
    </row>
    <row r="158" spans="1:6" x14ac:dyDescent="0.15">
      <c r="A158" t="s">
        <v>139</v>
      </c>
    </row>
    <row r="159" spans="1:6" x14ac:dyDescent="0.15">
      <c r="A159" t="s">
        <v>140</v>
      </c>
      <c r="B159">
        <v>28.498999999999999</v>
      </c>
      <c r="C159">
        <v>30.960999999999999</v>
      </c>
      <c r="D159">
        <v>33.292999999999999</v>
      </c>
      <c r="E159">
        <v>44.505000000000003</v>
      </c>
      <c r="F159">
        <v>40.128999999999998</v>
      </c>
    </row>
    <row r="160" spans="1:6" x14ac:dyDescent="0.15">
      <c r="A160" t="s">
        <v>141</v>
      </c>
      <c r="B160">
        <v>0.79</v>
      </c>
      <c r="C160">
        <v>0.86</v>
      </c>
      <c r="D160">
        <v>0.89</v>
      </c>
      <c r="E160">
        <v>1.18</v>
      </c>
      <c r="F160">
        <v>1.04</v>
      </c>
    </row>
    <row r="161" spans="1:6" x14ac:dyDescent="0.15">
      <c r="A161" t="s">
        <v>142</v>
      </c>
      <c r="C161">
        <v>3.84</v>
      </c>
      <c r="D161">
        <v>4.6399999999999997</v>
      </c>
      <c r="E161">
        <v>5.77</v>
      </c>
      <c r="F161">
        <v>7.73</v>
      </c>
    </row>
    <row r="162" spans="1:6" x14ac:dyDescent="0.15">
      <c r="A162" t="s">
        <v>143</v>
      </c>
      <c r="B162">
        <v>-490.1</v>
      </c>
      <c r="C162">
        <v>-514.9</v>
      </c>
      <c r="D162">
        <v>-311.3</v>
      </c>
      <c r="E162">
        <v>-266.10000000000002</v>
      </c>
      <c r="F162">
        <v>-190.4</v>
      </c>
    </row>
    <row r="163" spans="1:6" x14ac:dyDescent="0.15">
      <c r="A163" t="s">
        <v>144</v>
      </c>
      <c r="B163">
        <v>-13.65</v>
      </c>
      <c r="C163">
        <v>-14.342000000000001</v>
      </c>
      <c r="D163">
        <v>-8.6440000000000001</v>
      </c>
      <c r="E163">
        <v>-7.28</v>
      </c>
      <c r="F163">
        <v>-5.1589999999999998</v>
      </c>
    </row>
    <row r="164" spans="1:6" x14ac:dyDescent="0.15">
      <c r="A164" t="s">
        <v>145</v>
      </c>
    </row>
  </sheetData>
  <sortState xmlns:xlrd2="http://schemas.microsoft.com/office/spreadsheetml/2017/richdata2" columnSort="1" ref="B1:F166">
    <sortCondition descending="1" ref="B2:F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7B4A-ED13-CF49-80D1-2594179F7B63}">
  <dimension ref="A1:E164"/>
  <sheetViews>
    <sheetView workbookViewId="0">
      <selection activeCell="F35" sqref="F35"/>
    </sheetView>
  </sheetViews>
  <sheetFormatPr baseColWidth="10" defaultRowHeight="13" x14ac:dyDescent="0.15"/>
  <cols>
    <col min="1" max="1" width="41.83203125" bestFit="1" customWidth="1"/>
    <col min="2" max="5" width="8.1640625" bestFit="1" customWidth="1"/>
  </cols>
  <sheetData>
    <row r="1" spans="1:5" x14ac:dyDescent="0.15">
      <c r="A1" t="s">
        <v>170</v>
      </c>
    </row>
    <row r="2" spans="1:5" x14ac:dyDescent="0.15">
      <c r="A2" t="s">
        <v>0</v>
      </c>
    </row>
    <row r="3" spans="1:5" x14ac:dyDescent="0.15">
      <c r="A3" t="s">
        <v>1</v>
      </c>
      <c r="B3" s="1">
        <v>42092</v>
      </c>
      <c r="C3" s="1">
        <v>42372</v>
      </c>
      <c r="D3" s="1">
        <v>42736</v>
      </c>
      <c r="E3" s="1">
        <v>43100</v>
      </c>
    </row>
    <row r="4" spans="1:5" x14ac:dyDescent="0.15">
      <c r="A4" t="s">
        <v>2</v>
      </c>
      <c r="B4" t="s">
        <v>3</v>
      </c>
      <c r="C4" t="s">
        <v>3</v>
      </c>
      <c r="D4" t="s">
        <v>3</v>
      </c>
      <c r="E4" t="s">
        <v>3</v>
      </c>
    </row>
    <row r="5" spans="1:5" x14ac:dyDescent="0.15">
      <c r="A5" t="s">
        <v>4</v>
      </c>
      <c r="B5" t="s">
        <v>5</v>
      </c>
      <c r="C5" t="s">
        <v>5</v>
      </c>
      <c r="D5" t="s">
        <v>5</v>
      </c>
      <c r="E5" t="s">
        <v>5</v>
      </c>
    </row>
    <row r="6" spans="1:5" x14ac:dyDescent="0.15">
      <c r="A6" t="s">
        <v>6</v>
      </c>
      <c r="B6">
        <v>219.239</v>
      </c>
      <c r="C6">
        <v>271.63400000000001</v>
      </c>
      <c r="D6">
        <v>288.29599999999999</v>
      </c>
      <c r="E6">
        <v>314.35899999999998</v>
      </c>
    </row>
    <row r="7" spans="1:5" x14ac:dyDescent="0.15">
      <c r="A7" t="s">
        <v>7</v>
      </c>
      <c r="B7">
        <v>113.86199999999999</v>
      </c>
      <c r="C7">
        <v>140.286</v>
      </c>
      <c r="D7">
        <v>148.52099999999999</v>
      </c>
      <c r="E7">
        <v>164.83699999999999</v>
      </c>
    </row>
    <row r="8" spans="1:5" x14ac:dyDescent="0.15">
      <c r="A8" t="s">
        <v>8</v>
      </c>
      <c r="B8">
        <v>105.377</v>
      </c>
      <c r="C8">
        <v>131.34800000000001</v>
      </c>
      <c r="D8">
        <v>139.77500000000001</v>
      </c>
      <c r="E8">
        <v>149.52199999999999</v>
      </c>
    </row>
    <row r="9" spans="1:5" x14ac:dyDescent="0.15">
      <c r="A9" t="s">
        <v>9</v>
      </c>
      <c r="B9">
        <v>65.894000000000005</v>
      </c>
      <c r="C9">
        <v>90.194999999999993</v>
      </c>
      <c r="D9">
        <v>85.289000000000001</v>
      </c>
      <c r="E9">
        <v>96.483000000000004</v>
      </c>
    </row>
    <row r="10" spans="1:5" x14ac:dyDescent="0.15">
      <c r="A10" t="s">
        <v>10</v>
      </c>
    </row>
    <row r="11" spans="1:5" x14ac:dyDescent="0.15">
      <c r="A11" t="s">
        <v>11</v>
      </c>
      <c r="B11">
        <v>9</v>
      </c>
      <c r="C11">
        <v>12.5</v>
      </c>
      <c r="D11">
        <v>15.7</v>
      </c>
      <c r="E11">
        <v>19</v>
      </c>
    </row>
    <row r="12" spans="1:5" x14ac:dyDescent="0.15">
      <c r="A12" t="s">
        <v>12</v>
      </c>
    </row>
    <row r="13" spans="1:5" x14ac:dyDescent="0.15">
      <c r="A13" t="s">
        <v>13</v>
      </c>
      <c r="B13">
        <v>6.9</v>
      </c>
      <c r="C13">
        <v>6</v>
      </c>
      <c r="D13">
        <v>0.3</v>
      </c>
      <c r="E13">
        <v>4.2</v>
      </c>
    </row>
    <row r="14" spans="1:5" x14ac:dyDescent="0.15">
      <c r="A14" t="s">
        <v>14</v>
      </c>
      <c r="B14">
        <v>-0.4</v>
      </c>
      <c r="C14">
        <v>-0.3</v>
      </c>
      <c r="D14">
        <v>0</v>
      </c>
      <c r="E14">
        <v>0.3</v>
      </c>
    </row>
    <row r="15" spans="1:5" x14ac:dyDescent="0.15">
      <c r="A15" t="s">
        <v>15</v>
      </c>
      <c r="B15">
        <v>195.2</v>
      </c>
      <c r="C15">
        <v>248.7</v>
      </c>
      <c r="D15">
        <v>249.9</v>
      </c>
      <c r="E15">
        <v>284.89999999999998</v>
      </c>
    </row>
    <row r="16" spans="1:5" x14ac:dyDescent="0.15">
      <c r="A16" t="s">
        <v>16</v>
      </c>
      <c r="B16">
        <v>23.99</v>
      </c>
      <c r="C16">
        <v>22.981999999999999</v>
      </c>
      <c r="D16">
        <v>38.415999999999997</v>
      </c>
      <c r="E16">
        <v>29.484000000000002</v>
      </c>
    </row>
    <row r="17" spans="1:5" x14ac:dyDescent="0.15">
      <c r="A17" t="s">
        <v>17</v>
      </c>
      <c r="B17">
        <v>-22.4</v>
      </c>
      <c r="C17">
        <v>-9.1</v>
      </c>
      <c r="D17">
        <v>-2.2000000000000002</v>
      </c>
      <c r="E17">
        <v>-2.6</v>
      </c>
    </row>
    <row r="18" spans="1:5" x14ac:dyDescent="0.15">
      <c r="A18" t="s">
        <v>18</v>
      </c>
    </row>
    <row r="19" spans="1:5" x14ac:dyDescent="0.15">
      <c r="A19" t="s">
        <v>19</v>
      </c>
      <c r="B19">
        <v>-0.1</v>
      </c>
      <c r="C19">
        <v>0</v>
      </c>
      <c r="D19">
        <v>0</v>
      </c>
      <c r="E19">
        <v>0</v>
      </c>
    </row>
    <row r="20" spans="1:5" x14ac:dyDescent="0.15">
      <c r="A20" t="s">
        <v>20</v>
      </c>
      <c r="B20">
        <v>1.5349999999999999</v>
      </c>
      <c r="C20">
        <v>13.829000000000001</v>
      </c>
      <c r="D20">
        <v>36.219000000000001</v>
      </c>
      <c r="E20">
        <v>26.934999999999999</v>
      </c>
    </row>
    <row r="21" spans="1:5" x14ac:dyDescent="0.15">
      <c r="A21" t="s">
        <v>21</v>
      </c>
      <c r="B21">
        <v>2.472</v>
      </c>
      <c r="C21">
        <v>-14.167999999999999</v>
      </c>
      <c r="D21">
        <v>11.957000000000001</v>
      </c>
      <c r="E21">
        <v>7.0510000000000002</v>
      </c>
    </row>
    <row r="22" spans="1:5" x14ac:dyDescent="0.15">
      <c r="A22" t="s">
        <v>22</v>
      </c>
      <c r="B22">
        <v>-0.93700000000000006</v>
      </c>
      <c r="C22">
        <v>27.864999999999998</v>
      </c>
      <c r="D22">
        <v>24.437000000000001</v>
      </c>
      <c r="E22">
        <v>28.789000000000001</v>
      </c>
    </row>
    <row r="23" spans="1:5" x14ac:dyDescent="0.15">
      <c r="A23" t="s">
        <v>23</v>
      </c>
    </row>
    <row r="24" spans="1:5" x14ac:dyDescent="0.15">
      <c r="A24" t="s">
        <v>24</v>
      </c>
      <c r="B24">
        <v>-0.03</v>
      </c>
      <c r="C24">
        <v>1.0900000000000001</v>
      </c>
      <c r="D24">
        <v>0.87</v>
      </c>
      <c r="E24">
        <v>0.72</v>
      </c>
    </row>
    <row r="25" spans="1:5" x14ac:dyDescent="0.15">
      <c r="A25" t="s">
        <v>25</v>
      </c>
      <c r="B25">
        <v>-0.03</v>
      </c>
      <c r="C25">
        <v>1.0900000000000001</v>
      </c>
      <c r="D25">
        <v>0.87</v>
      </c>
      <c r="E25">
        <v>1.02</v>
      </c>
    </row>
    <row r="26" spans="1:5" x14ac:dyDescent="0.15">
      <c r="A26" t="s">
        <v>26</v>
      </c>
      <c r="B26">
        <v>0.13</v>
      </c>
      <c r="C26">
        <v>1.24</v>
      </c>
      <c r="D26">
        <v>0.88</v>
      </c>
      <c r="E26">
        <v>0.83</v>
      </c>
    </row>
    <row r="27" spans="1:5" x14ac:dyDescent="0.15">
      <c r="A27" t="s">
        <v>27</v>
      </c>
      <c r="B27">
        <v>27</v>
      </c>
      <c r="C27">
        <v>26</v>
      </c>
      <c r="D27">
        <v>28</v>
      </c>
      <c r="E27">
        <v>28</v>
      </c>
    </row>
    <row r="28" spans="1:5" x14ac:dyDescent="0.15">
      <c r="A28" t="s">
        <v>28</v>
      </c>
      <c r="B28">
        <v>-0.03</v>
      </c>
      <c r="C28">
        <v>1.06</v>
      </c>
      <c r="D28">
        <v>0.85</v>
      </c>
      <c r="E28">
        <v>0.7</v>
      </c>
    </row>
    <row r="29" spans="1:5" x14ac:dyDescent="0.15">
      <c r="A29" t="s">
        <v>29</v>
      </c>
      <c r="B29">
        <v>-0.03</v>
      </c>
      <c r="C29">
        <v>1.06</v>
      </c>
      <c r="D29">
        <v>0.85</v>
      </c>
      <c r="E29">
        <v>1</v>
      </c>
    </row>
    <row r="30" spans="1:5" x14ac:dyDescent="0.15">
      <c r="A30" t="s">
        <v>30</v>
      </c>
      <c r="B30">
        <v>0.13</v>
      </c>
      <c r="C30">
        <v>1.21</v>
      </c>
      <c r="D30">
        <v>0.86</v>
      </c>
      <c r="E30">
        <v>0.81</v>
      </c>
    </row>
    <row r="31" spans="1:5" x14ac:dyDescent="0.15">
      <c r="A31" t="s">
        <v>31</v>
      </c>
      <c r="B31">
        <v>27</v>
      </c>
      <c r="C31">
        <v>26</v>
      </c>
      <c r="D31">
        <v>29</v>
      </c>
      <c r="E31">
        <v>29</v>
      </c>
    </row>
    <row r="32" spans="1:5" x14ac:dyDescent="0.15">
      <c r="A32" t="s">
        <v>32</v>
      </c>
      <c r="B32">
        <v>0</v>
      </c>
      <c r="C32">
        <v>0</v>
      </c>
    </row>
    <row r="33" spans="1:5" x14ac:dyDescent="0.15">
      <c r="A33" t="s">
        <v>33</v>
      </c>
      <c r="C33">
        <v>2848</v>
      </c>
      <c r="D33">
        <v>3154</v>
      </c>
      <c r="E33">
        <v>3491</v>
      </c>
    </row>
    <row r="36" spans="1:5" x14ac:dyDescent="0.15">
      <c r="A36" t="s">
        <v>170</v>
      </c>
    </row>
    <row r="37" spans="1:5" x14ac:dyDescent="0.15">
      <c r="A37" t="s">
        <v>34</v>
      </c>
    </row>
    <row r="38" spans="1:5" x14ac:dyDescent="0.15">
      <c r="A38" t="s">
        <v>1</v>
      </c>
      <c r="B38" s="1">
        <v>42092</v>
      </c>
      <c r="C38" s="1">
        <v>42372</v>
      </c>
      <c r="D38" s="1">
        <v>42736</v>
      </c>
      <c r="E38" s="1">
        <v>43100</v>
      </c>
    </row>
    <row r="39" spans="1:5" x14ac:dyDescent="0.15">
      <c r="A39" t="s">
        <v>2</v>
      </c>
      <c r="B39" t="s">
        <v>3</v>
      </c>
      <c r="C39" t="s">
        <v>3</v>
      </c>
      <c r="D39" t="s">
        <v>3</v>
      </c>
      <c r="E39" t="s">
        <v>3</v>
      </c>
    </row>
    <row r="40" spans="1:5" x14ac:dyDescent="0.15">
      <c r="A40" t="s">
        <v>4</v>
      </c>
      <c r="B40" t="s">
        <v>5</v>
      </c>
      <c r="C40" t="s">
        <v>5</v>
      </c>
      <c r="D40" t="s">
        <v>5</v>
      </c>
      <c r="E40" t="s">
        <v>5</v>
      </c>
    </row>
    <row r="41" spans="1:5" x14ac:dyDescent="0.15">
      <c r="A41" t="s">
        <v>35</v>
      </c>
      <c r="B41">
        <v>16.010000000000002</v>
      </c>
      <c r="C41">
        <v>24.919</v>
      </c>
      <c r="D41">
        <v>31.274999999999999</v>
      </c>
      <c r="E41">
        <v>38.341999999999999</v>
      </c>
    </row>
    <row r="42" spans="1:5" x14ac:dyDescent="0.15">
      <c r="A42" t="s">
        <v>36</v>
      </c>
      <c r="B42">
        <v>16.010000000000002</v>
      </c>
      <c r="C42">
        <v>24.919</v>
      </c>
      <c r="D42">
        <v>31.274999999999999</v>
      </c>
      <c r="E42">
        <v>38.341999999999999</v>
      </c>
    </row>
    <row r="43" spans="1:5" x14ac:dyDescent="0.15">
      <c r="A43" t="s">
        <v>37</v>
      </c>
      <c r="B43">
        <v>11.105</v>
      </c>
      <c r="C43">
        <v>12.315</v>
      </c>
      <c r="D43">
        <v>11.542</v>
      </c>
      <c r="E43">
        <v>12.475</v>
      </c>
    </row>
    <row r="44" spans="1:5" x14ac:dyDescent="0.15">
      <c r="A44" t="s">
        <v>38</v>
      </c>
      <c r="B44">
        <v>6.4210000000000003</v>
      </c>
      <c r="C44">
        <v>4.5860000000000003</v>
      </c>
      <c r="D44">
        <v>4.6470000000000002</v>
      </c>
      <c r="E44">
        <v>5.0170000000000003</v>
      </c>
    </row>
    <row r="45" spans="1:5" x14ac:dyDescent="0.15">
      <c r="A45" t="s">
        <v>39</v>
      </c>
      <c r="B45">
        <v>3.6</v>
      </c>
      <c r="C45">
        <v>3</v>
      </c>
      <c r="D45">
        <v>3.8</v>
      </c>
      <c r="E45">
        <v>4.3</v>
      </c>
    </row>
    <row r="46" spans="1:5" x14ac:dyDescent="0.15">
      <c r="A46" t="s">
        <v>40</v>
      </c>
      <c r="B46">
        <v>1.1000000000000001</v>
      </c>
      <c r="C46">
        <v>2.9</v>
      </c>
    </row>
    <row r="47" spans="1:5" x14ac:dyDescent="0.15">
      <c r="A47" t="s">
        <v>41</v>
      </c>
      <c r="B47">
        <v>38.185000000000002</v>
      </c>
      <c r="C47">
        <v>47.761000000000003</v>
      </c>
      <c r="D47">
        <v>51.226999999999997</v>
      </c>
      <c r="E47">
        <v>60.164999999999999</v>
      </c>
    </row>
    <row r="48" spans="1:5" x14ac:dyDescent="0.15">
      <c r="A48" t="s">
        <v>42</v>
      </c>
      <c r="B48">
        <v>119.8</v>
      </c>
      <c r="C48">
        <v>169.6</v>
      </c>
      <c r="D48">
        <v>206.7</v>
      </c>
      <c r="E48">
        <v>238.3</v>
      </c>
    </row>
    <row r="49" spans="1:5" x14ac:dyDescent="0.15">
      <c r="A49" t="s">
        <v>43</v>
      </c>
      <c r="B49">
        <v>-11.837999999999999</v>
      </c>
      <c r="C49">
        <v>-32.908000000000001</v>
      </c>
      <c r="D49">
        <v>-47.874000000000002</v>
      </c>
      <c r="E49">
        <v>-64.751999999999995</v>
      </c>
    </row>
    <row r="50" spans="1:5" x14ac:dyDescent="0.15">
      <c r="A50" t="s">
        <v>44</v>
      </c>
      <c r="B50">
        <v>108</v>
      </c>
      <c r="C50">
        <v>136.69999999999999</v>
      </c>
      <c r="D50">
        <v>158.80000000000001</v>
      </c>
      <c r="E50">
        <v>173.5</v>
      </c>
    </row>
    <row r="51" spans="1:5" x14ac:dyDescent="0.15">
      <c r="A51" t="s">
        <v>45</v>
      </c>
      <c r="B51">
        <v>227.673</v>
      </c>
      <c r="C51">
        <v>205.34700000000001</v>
      </c>
      <c r="D51">
        <v>211.15</v>
      </c>
      <c r="E51">
        <v>208.291</v>
      </c>
    </row>
    <row r="52" spans="1:5" x14ac:dyDescent="0.15">
      <c r="A52" t="s">
        <v>46</v>
      </c>
      <c r="B52">
        <v>104.327</v>
      </c>
      <c r="C52">
        <v>93.721999999999994</v>
      </c>
      <c r="D52">
        <v>97.135000000000005</v>
      </c>
      <c r="E52">
        <v>96.847999999999999</v>
      </c>
    </row>
    <row r="53" spans="1:5" x14ac:dyDescent="0.15">
      <c r="A53" t="s">
        <v>47</v>
      </c>
    </row>
    <row r="54" spans="1:5" x14ac:dyDescent="0.15">
      <c r="A54" t="s">
        <v>48</v>
      </c>
    </row>
    <row r="55" spans="1:5" x14ac:dyDescent="0.15">
      <c r="A55" t="s">
        <v>49</v>
      </c>
      <c r="B55">
        <v>3.7</v>
      </c>
      <c r="C55">
        <v>4</v>
      </c>
      <c r="D55">
        <v>4</v>
      </c>
      <c r="E55">
        <v>3.8</v>
      </c>
    </row>
    <row r="56" spans="1:5" x14ac:dyDescent="0.15">
      <c r="A56" t="s">
        <v>50</v>
      </c>
    </row>
    <row r="57" spans="1:5" x14ac:dyDescent="0.15">
      <c r="A57" t="s">
        <v>51</v>
      </c>
      <c r="B57">
        <v>481.899</v>
      </c>
      <c r="C57">
        <v>487.495</v>
      </c>
      <c r="D57">
        <v>522.39499999999998</v>
      </c>
      <c r="E57">
        <v>542.61300000000006</v>
      </c>
    </row>
    <row r="58" spans="1:5" x14ac:dyDescent="0.15">
      <c r="A58" t="s">
        <v>52</v>
      </c>
      <c r="B58">
        <v>17.73</v>
      </c>
      <c r="C58">
        <v>14.948</v>
      </c>
      <c r="D58">
        <v>10.08</v>
      </c>
      <c r="E58">
        <v>11.44</v>
      </c>
    </row>
    <row r="59" spans="1:5" x14ac:dyDescent="0.15">
      <c r="A59" t="s">
        <v>53</v>
      </c>
    </row>
    <row r="60" spans="1:5" x14ac:dyDescent="0.15">
      <c r="A60" t="s">
        <v>54</v>
      </c>
      <c r="B60">
        <v>18.399999999999999</v>
      </c>
      <c r="C60">
        <v>11.6</v>
      </c>
      <c r="D60">
        <v>16.3</v>
      </c>
      <c r="E60">
        <v>20</v>
      </c>
    </row>
    <row r="61" spans="1:5" x14ac:dyDescent="0.15">
      <c r="A61" t="s">
        <v>55</v>
      </c>
      <c r="B61">
        <v>2.1</v>
      </c>
      <c r="C61">
        <v>0</v>
      </c>
      <c r="D61">
        <v>0</v>
      </c>
      <c r="E61">
        <v>0</v>
      </c>
    </row>
    <row r="62" spans="1:5" x14ac:dyDescent="0.15">
      <c r="A62" t="s">
        <v>56</v>
      </c>
      <c r="B62">
        <v>0</v>
      </c>
      <c r="C62">
        <v>0</v>
      </c>
      <c r="D62">
        <v>0</v>
      </c>
      <c r="E62">
        <v>0</v>
      </c>
    </row>
    <row r="63" spans="1:5" x14ac:dyDescent="0.15">
      <c r="A63" t="s">
        <v>57</v>
      </c>
      <c r="B63">
        <v>7.6</v>
      </c>
      <c r="C63">
        <v>7.6</v>
      </c>
      <c r="D63">
        <v>9.4</v>
      </c>
      <c r="E63">
        <v>11.5</v>
      </c>
    </row>
    <row r="64" spans="1:5" x14ac:dyDescent="0.15">
      <c r="A64" t="s">
        <v>58</v>
      </c>
      <c r="B64">
        <v>45.752000000000002</v>
      </c>
      <c r="C64">
        <v>34.070999999999998</v>
      </c>
      <c r="D64">
        <v>35.801000000000002</v>
      </c>
      <c r="E64">
        <v>43.015000000000001</v>
      </c>
    </row>
    <row r="65" spans="1:5" x14ac:dyDescent="0.15">
      <c r="A65" t="s">
        <v>59</v>
      </c>
      <c r="B65">
        <v>250.2</v>
      </c>
      <c r="C65">
        <v>165</v>
      </c>
      <c r="D65">
        <v>150</v>
      </c>
      <c r="E65">
        <v>138</v>
      </c>
    </row>
    <row r="66" spans="1:5" x14ac:dyDescent="0.15">
      <c r="A66" t="s">
        <v>60</v>
      </c>
    </row>
    <row r="67" spans="1:5" x14ac:dyDescent="0.15">
      <c r="A67" t="s">
        <v>61</v>
      </c>
      <c r="B67">
        <v>250.20599999999999</v>
      </c>
      <c r="C67">
        <v>165</v>
      </c>
      <c r="D67">
        <v>150</v>
      </c>
      <c r="E67">
        <v>138</v>
      </c>
    </row>
    <row r="68" spans="1:5" x14ac:dyDescent="0.15">
      <c r="A68" t="s">
        <v>62</v>
      </c>
      <c r="B68">
        <v>25.507999999999999</v>
      </c>
      <c r="C68">
        <v>15.951000000000001</v>
      </c>
      <c r="D68">
        <v>21.838000000000001</v>
      </c>
      <c r="E68">
        <v>14.244</v>
      </c>
    </row>
    <row r="69" spans="1:5" x14ac:dyDescent="0.15">
      <c r="A69" t="s">
        <v>63</v>
      </c>
      <c r="B69">
        <v>10.1</v>
      </c>
      <c r="C69">
        <v>19.899999999999999</v>
      </c>
      <c r="D69">
        <v>21.9</v>
      </c>
      <c r="E69">
        <v>26.6</v>
      </c>
    </row>
    <row r="70" spans="1:5" x14ac:dyDescent="0.15">
      <c r="A70" t="s">
        <v>64</v>
      </c>
      <c r="B70">
        <v>0</v>
      </c>
      <c r="C70">
        <v>1.9430000000000001</v>
      </c>
      <c r="D70">
        <v>2.2149999999999999</v>
      </c>
      <c r="E70">
        <v>1.7649999999999999</v>
      </c>
    </row>
    <row r="71" spans="1:5" x14ac:dyDescent="0.15">
      <c r="A71" t="s">
        <v>65</v>
      </c>
      <c r="B71">
        <v>331.577</v>
      </c>
      <c r="C71">
        <v>236.88399999999999</v>
      </c>
      <c r="D71">
        <v>231.751</v>
      </c>
      <c r="E71">
        <v>223.60400000000001</v>
      </c>
    </row>
    <row r="72" spans="1:5" x14ac:dyDescent="0.15">
      <c r="A72" t="s">
        <v>66</v>
      </c>
    </row>
    <row r="73" spans="1:5" x14ac:dyDescent="0.15">
      <c r="A73" t="s">
        <v>67</v>
      </c>
    </row>
    <row r="74" spans="1:5" x14ac:dyDescent="0.15">
      <c r="A74" t="s">
        <v>68</v>
      </c>
    </row>
    <row r="75" spans="1:5" x14ac:dyDescent="0.15">
      <c r="A75" t="s">
        <v>69</v>
      </c>
      <c r="B75">
        <v>0</v>
      </c>
      <c r="C75">
        <v>0.3</v>
      </c>
      <c r="D75">
        <v>0.3</v>
      </c>
      <c r="E75">
        <v>0.3</v>
      </c>
    </row>
    <row r="76" spans="1:5" x14ac:dyDescent="0.15">
      <c r="A76" t="s">
        <v>70</v>
      </c>
      <c r="B76">
        <v>175.441</v>
      </c>
      <c r="C76">
        <v>274.34399999999999</v>
      </c>
      <c r="D76">
        <v>275.23700000000002</v>
      </c>
      <c r="E76">
        <v>276.02100000000002</v>
      </c>
    </row>
    <row r="77" spans="1:5" x14ac:dyDescent="0.15">
      <c r="A77" t="s">
        <v>71</v>
      </c>
      <c r="B77">
        <v>-9.9689999999999994</v>
      </c>
      <c r="C77">
        <v>35.451000000000001</v>
      </c>
      <c r="D77">
        <v>59.887999999999998</v>
      </c>
      <c r="E77">
        <v>88.677000000000007</v>
      </c>
    </row>
    <row r="78" spans="1:5" x14ac:dyDescent="0.15">
      <c r="A78" t="s">
        <v>72</v>
      </c>
    </row>
    <row r="79" spans="1:5" x14ac:dyDescent="0.15">
      <c r="A79" t="s">
        <v>73</v>
      </c>
    </row>
    <row r="80" spans="1:5" x14ac:dyDescent="0.15">
      <c r="A80" t="s">
        <v>74</v>
      </c>
    </row>
    <row r="81" spans="1:5" x14ac:dyDescent="0.15">
      <c r="A81" t="s">
        <v>75</v>
      </c>
      <c r="B81">
        <v>-15.159000000000001</v>
      </c>
      <c r="C81">
        <v>-59.465000000000003</v>
      </c>
      <c r="D81">
        <v>-44.762999999999998</v>
      </c>
      <c r="E81">
        <v>-45.970999999999997</v>
      </c>
    </row>
    <row r="82" spans="1:5" x14ac:dyDescent="0.15">
      <c r="A82" t="s">
        <v>76</v>
      </c>
      <c r="B82">
        <v>150.322</v>
      </c>
      <c r="C82">
        <v>250.61099999999999</v>
      </c>
      <c r="D82">
        <v>290.64400000000001</v>
      </c>
      <c r="E82">
        <v>319.00900000000001</v>
      </c>
    </row>
    <row r="83" spans="1:5" x14ac:dyDescent="0.15">
      <c r="A83" t="s">
        <v>77</v>
      </c>
      <c r="B83">
        <v>481.899</v>
      </c>
      <c r="C83">
        <v>487.495</v>
      </c>
      <c r="D83">
        <v>522.39499999999998</v>
      </c>
      <c r="E83">
        <v>542.61300000000006</v>
      </c>
    </row>
    <row r="84" spans="1:5" x14ac:dyDescent="0.15">
      <c r="A84" t="s">
        <v>78</v>
      </c>
      <c r="B84">
        <v>27</v>
      </c>
      <c r="C84">
        <v>28</v>
      </c>
      <c r="D84">
        <v>28</v>
      </c>
      <c r="E84">
        <v>28</v>
      </c>
    </row>
    <row r="87" spans="1:5" x14ac:dyDescent="0.15">
      <c r="A87" t="s">
        <v>170</v>
      </c>
    </row>
    <row r="88" spans="1:5" x14ac:dyDescent="0.15">
      <c r="A88" t="s">
        <v>79</v>
      </c>
    </row>
    <row r="89" spans="1:5" x14ac:dyDescent="0.15">
      <c r="A89" t="s">
        <v>1</v>
      </c>
      <c r="B89" s="1">
        <v>42092</v>
      </c>
      <c r="C89" s="1">
        <v>42372</v>
      </c>
      <c r="D89" s="1">
        <v>42736</v>
      </c>
      <c r="E89" s="1">
        <v>43100</v>
      </c>
    </row>
    <row r="90" spans="1:5" x14ac:dyDescent="0.15">
      <c r="A90" t="s">
        <v>2</v>
      </c>
      <c r="B90" t="s">
        <v>3</v>
      </c>
      <c r="C90" t="s">
        <v>3</v>
      </c>
      <c r="D90" t="s">
        <v>3</v>
      </c>
      <c r="E90" t="s">
        <v>3</v>
      </c>
    </row>
    <row r="91" spans="1:5" x14ac:dyDescent="0.15">
      <c r="A91" t="s">
        <v>4</v>
      </c>
      <c r="B91" t="s">
        <v>5</v>
      </c>
      <c r="C91" t="s">
        <v>5</v>
      </c>
      <c r="D91" t="s">
        <v>5</v>
      </c>
      <c r="E91" t="s">
        <v>5</v>
      </c>
    </row>
    <row r="92" spans="1:5" x14ac:dyDescent="0.15">
      <c r="A92" t="s">
        <v>22</v>
      </c>
      <c r="B92">
        <v>-0.93700000000000006</v>
      </c>
      <c r="C92">
        <v>27.997</v>
      </c>
      <c r="D92">
        <v>24.262</v>
      </c>
      <c r="E92">
        <v>28.405000000000001</v>
      </c>
    </row>
    <row r="93" spans="1:5" x14ac:dyDescent="0.15">
      <c r="A93" t="s">
        <v>80</v>
      </c>
      <c r="B93">
        <v>13.601000000000001</v>
      </c>
      <c r="C93">
        <v>-0.45600000000000002</v>
      </c>
      <c r="D93">
        <v>5.5949999999999998</v>
      </c>
      <c r="E93">
        <v>7.407</v>
      </c>
    </row>
    <row r="94" spans="1:5" x14ac:dyDescent="0.15">
      <c r="A94" t="s">
        <v>81</v>
      </c>
      <c r="B94">
        <v>32.340000000000003</v>
      </c>
      <c r="C94">
        <v>37.360999999999997</v>
      </c>
      <c r="D94">
        <v>56.093000000000004</v>
      </c>
      <c r="E94">
        <v>55.441000000000003</v>
      </c>
    </row>
    <row r="95" spans="1:5" x14ac:dyDescent="0.15">
      <c r="A95" t="s">
        <v>82</v>
      </c>
      <c r="B95">
        <v>-30.943999999999999</v>
      </c>
      <c r="C95">
        <v>-35.423000000000002</v>
      </c>
      <c r="D95">
        <v>-38.353000000000002</v>
      </c>
      <c r="E95">
        <v>-35.948999999999998</v>
      </c>
    </row>
    <row r="96" spans="1:5" x14ac:dyDescent="0.15">
      <c r="A96" t="s">
        <v>83</v>
      </c>
    </row>
    <row r="97" spans="1:5" x14ac:dyDescent="0.15">
      <c r="A97" t="s">
        <v>84</v>
      </c>
    </row>
    <row r="98" spans="1:5" x14ac:dyDescent="0.15">
      <c r="A98" t="s">
        <v>85</v>
      </c>
      <c r="E98">
        <v>0.08</v>
      </c>
    </row>
    <row r="99" spans="1:5" x14ac:dyDescent="0.15">
      <c r="A99" t="s">
        <v>86</v>
      </c>
    </row>
    <row r="100" spans="1:5" x14ac:dyDescent="0.15">
      <c r="A100" t="s">
        <v>87</v>
      </c>
    </row>
    <row r="101" spans="1:5" x14ac:dyDescent="0.15">
      <c r="A101" t="s">
        <v>88</v>
      </c>
      <c r="B101">
        <v>1.4</v>
      </c>
      <c r="E101">
        <v>0.08</v>
      </c>
    </row>
    <row r="102" spans="1:5" x14ac:dyDescent="0.15">
      <c r="A102" t="s">
        <v>89</v>
      </c>
      <c r="B102">
        <v>-29.544</v>
      </c>
      <c r="C102">
        <v>-35.423000000000002</v>
      </c>
      <c r="D102">
        <v>-38.353000000000002</v>
      </c>
      <c r="E102">
        <v>-35.869</v>
      </c>
    </row>
    <row r="103" spans="1:5" x14ac:dyDescent="0.15">
      <c r="A103" t="s">
        <v>90</v>
      </c>
    </row>
    <row r="104" spans="1:5" x14ac:dyDescent="0.15">
      <c r="A104" t="s">
        <v>91</v>
      </c>
      <c r="B104">
        <v>4.5339999999999998</v>
      </c>
      <c r="C104">
        <v>-83.76</v>
      </c>
      <c r="D104">
        <v>-15</v>
      </c>
      <c r="E104">
        <v>-12</v>
      </c>
    </row>
    <row r="105" spans="1:5" x14ac:dyDescent="0.15">
      <c r="A105" t="s">
        <v>92</v>
      </c>
      <c r="C105">
        <v>94.668999999999997</v>
      </c>
      <c r="D105">
        <v>0.10100000000000001</v>
      </c>
      <c r="E105">
        <v>0.219</v>
      </c>
    </row>
    <row r="106" spans="1:5" x14ac:dyDescent="0.15">
      <c r="A106" t="s">
        <v>93</v>
      </c>
    </row>
    <row r="107" spans="1:5" x14ac:dyDescent="0.15">
      <c r="A107" t="s">
        <v>94</v>
      </c>
      <c r="B107">
        <v>4.4210000000000003</v>
      </c>
      <c r="C107">
        <v>5.8339999999999996</v>
      </c>
      <c r="D107">
        <v>-14.010999999999999</v>
      </c>
      <c r="E107">
        <v>-11.99</v>
      </c>
    </row>
    <row r="108" spans="1:5" x14ac:dyDescent="0.15">
      <c r="A108" t="s">
        <v>95</v>
      </c>
      <c r="B108">
        <v>-0.78900000000000003</v>
      </c>
      <c r="C108">
        <v>-2.2400000000000002</v>
      </c>
      <c r="D108">
        <v>2.6269999999999998</v>
      </c>
      <c r="E108">
        <v>-0.51500000000000001</v>
      </c>
    </row>
    <row r="109" spans="1:5" x14ac:dyDescent="0.15">
      <c r="A109" t="s">
        <v>96</v>
      </c>
      <c r="B109">
        <v>6.4279999999999999</v>
      </c>
      <c r="C109">
        <v>5.532</v>
      </c>
      <c r="D109">
        <v>6.3559999999999999</v>
      </c>
      <c r="E109">
        <v>7.0670000000000002</v>
      </c>
    </row>
    <row r="110" spans="1:5" x14ac:dyDescent="0.15">
      <c r="A110" t="s">
        <v>97</v>
      </c>
      <c r="B110">
        <v>9.5820000000000007</v>
      </c>
      <c r="C110">
        <v>19.387</v>
      </c>
      <c r="D110">
        <v>24.919</v>
      </c>
      <c r="E110">
        <v>31.274999999999999</v>
      </c>
    </row>
    <row r="111" spans="1:5" x14ac:dyDescent="0.15">
      <c r="A111" t="s">
        <v>98</v>
      </c>
      <c r="B111">
        <v>16.010000000000002</v>
      </c>
      <c r="C111">
        <v>24.919</v>
      </c>
      <c r="D111">
        <v>31.274999999999999</v>
      </c>
      <c r="E111">
        <v>38.341999999999999</v>
      </c>
    </row>
    <row r="114" spans="1:5" x14ac:dyDescent="0.15">
      <c r="A114" t="s">
        <v>170</v>
      </c>
    </row>
    <row r="115" spans="1:5" x14ac:dyDescent="0.15">
      <c r="A115" t="s">
        <v>99</v>
      </c>
    </row>
    <row r="116" spans="1:5" x14ac:dyDescent="0.15">
      <c r="A116" t="s">
        <v>1</v>
      </c>
      <c r="B116" s="1">
        <v>41639</v>
      </c>
      <c r="C116" s="1">
        <v>42369</v>
      </c>
      <c r="D116" s="1">
        <v>42735</v>
      </c>
      <c r="E116" s="1">
        <v>43100</v>
      </c>
    </row>
    <row r="117" spans="1:5" x14ac:dyDescent="0.15">
      <c r="A117" t="s">
        <v>2</v>
      </c>
    </row>
    <row r="118" spans="1:5" x14ac:dyDescent="0.15">
      <c r="A118" t="s">
        <v>4</v>
      </c>
    </row>
    <row r="119" spans="1:5" x14ac:dyDescent="0.15">
      <c r="A119" t="s">
        <v>100</v>
      </c>
    </row>
    <row r="120" spans="1:5" x14ac:dyDescent="0.15">
      <c r="A120" t="s">
        <v>101</v>
      </c>
      <c r="B120">
        <v>48.06</v>
      </c>
      <c r="C120">
        <v>48.35</v>
      </c>
      <c r="D120">
        <v>48.48</v>
      </c>
      <c r="E120">
        <v>47.56</v>
      </c>
    </row>
    <row r="121" spans="1:5" x14ac:dyDescent="0.15">
      <c r="A121" t="s">
        <v>102</v>
      </c>
      <c r="B121">
        <v>10.94</v>
      </c>
      <c r="C121">
        <v>8.4600000000000009</v>
      </c>
      <c r="D121">
        <v>13.33</v>
      </c>
      <c r="E121">
        <v>9.3800000000000008</v>
      </c>
    </row>
    <row r="122" spans="1:5" x14ac:dyDescent="0.15">
      <c r="A122" t="s">
        <v>103</v>
      </c>
      <c r="B122">
        <v>0.7</v>
      </c>
      <c r="C122">
        <v>5.09</v>
      </c>
      <c r="D122">
        <v>12.56</v>
      </c>
      <c r="E122">
        <v>8.57</v>
      </c>
    </row>
    <row r="123" spans="1:5" x14ac:dyDescent="0.15">
      <c r="A123" t="s">
        <v>104</v>
      </c>
      <c r="B123">
        <v>161.04</v>
      </c>
      <c r="C123">
        <v>-102.45</v>
      </c>
      <c r="D123">
        <v>33.01</v>
      </c>
      <c r="E123">
        <v>26.18</v>
      </c>
    </row>
    <row r="124" spans="1:5" x14ac:dyDescent="0.15">
      <c r="A124" t="s">
        <v>105</v>
      </c>
      <c r="B124">
        <v>-0.43</v>
      </c>
      <c r="C124">
        <v>10.26</v>
      </c>
      <c r="D124">
        <v>8.48</v>
      </c>
      <c r="E124">
        <v>6.45</v>
      </c>
    </row>
    <row r="125" spans="1:5" x14ac:dyDescent="0.15">
      <c r="A125" t="s">
        <v>106</v>
      </c>
      <c r="B125">
        <v>30.9</v>
      </c>
      <c r="C125">
        <v>29</v>
      </c>
      <c r="D125">
        <v>38.700000000000003</v>
      </c>
      <c r="E125">
        <v>33.700000000000003</v>
      </c>
    </row>
    <row r="126" spans="1:5" x14ac:dyDescent="0.15">
      <c r="A126" t="s">
        <v>107</v>
      </c>
      <c r="B126">
        <v>39.9</v>
      </c>
      <c r="C126">
        <v>41.4</v>
      </c>
      <c r="D126">
        <v>54.5</v>
      </c>
      <c r="E126">
        <v>52.7</v>
      </c>
    </row>
    <row r="127" spans="1:5" x14ac:dyDescent="0.15">
      <c r="A127" t="s">
        <v>108</v>
      </c>
      <c r="B127">
        <v>12</v>
      </c>
      <c r="C127">
        <v>13.1</v>
      </c>
      <c r="D127">
        <v>18.8</v>
      </c>
      <c r="E127">
        <v>15.4</v>
      </c>
    </row>
    <row r="128" spans="1:5" x14ac:dyDescent="0.15">
      <c r="A128" t="s">
        <v>109</v>
      </c>
    </row>
    <row r="129" spans="1:5" x14ac:dyDescent="0.15">
      <c r="A129" t="s">
        <v>110</v>
      </c>
      <c r="C129">
        <v>14.6</v>
      </c>
      <c r="D129">
        <v>8.6</v>
      </c>
      <c r="E129">
        <v>7.7</v>
      </c>
    </row>
    <row r="130" spans="1:5" x14ac:dyDescent="0.15">
      <c r="A130" t="s">
        <v>111</v>
      </c>
      <c r="C130">
        <v>7.8</v>
      </c>
      <c r="D130">
        <v>5.7</v>
      </c>
      <c r="E130">
        <v>5.3</v>
      </c>
    </row>
    <row r="131" spans="1:5" x14ac:dyDescent="0.15">
      <c r="A131" t="s">
        <v>112</v>
      </c>
      <c r="C131">
        <v>6.7</v>
      </c>
      <c r="D131">
        <v>4.9000000000000004</v>
      </c>
      <c r="E131">
        <v>4.5</v>
      </c>
    </row>
    <row r="132" spans="1:5" x14ac:dyDescent="0.15">
      <c r="A132" t="s">
        <v>113</v>
      </c>
    </row>
    <row r="133" spans="1:5" x14ac:dyDescent="0.15">
      <c r="A133" t="s">
        <v>114</v>
      </c>
      <c r="B133">
        <v>31.8</v>
      </c>
      <c r="C133">
        <v>43.2</v>
      </c>
      <c r="D133">
        <v>46.6</v>
      </c>
      <c r="E133">
        <v>55.1</v>
      </c>
    </row>
    <row r="134" spans="1:5" x14ac:dyDescent="0.15">
      <c r="A134" t="s">
        <v>115</v>
      </c>
      <c r="B134">
        <v>0.69</v>
      </c>
      <c r="C134">
        <v>1.27</v>
      </c>
      <c r="D134">
        <v>1.3</v>
      </c>
      <c r="E134">
        <v>1.28</v>
      </c>
    </row>
    <row r="135" spans="1:5" x14ac:dyDescent="0.15">
      <c r="A135" t="s">
        <v>116</v>
      </c>
      <c r="B135">
        <v>0.83</v>
      </c>
      <c r="C135">
        <v>1.4</v>
      </c>
      <c r="D135">
        <v>1.43</v>
      </c>
      <c r="E135">
        <v>1.4</v>
      </c>
    </row>
    <row r="136" spans="1:5" x14ac:dyDescent="0.15">
      <c r="A136" t="s">
        <v>117</v>
      </c>
      <c r="B136">
        <v>236.3</v>
      </c>
      <c r="C136">
        <v>142</v>
      </c>
      <c r="D136">
        <v>120.9</v>
      </c>
      <c r="E136">
        <v>101.4</v>
      </c>
    </row>
    <row r="137" spans="1:5" x14ac:dyDescent="0.15">
      <c r="A137" t="s">
        <v>118</v>
      </c>
      <c r="C137">
        <v>65.8</v>
      </c>
      <c r="D137">
        <v>51.6</v>
      </c>
      <c r="E137">
        <v>43.3</v>
      </c>
    </row>
    <row r="138" spans="1:5" x14ac:dyDescent="0.15">
      <c r="A138" t="s">
        <v>119</v>
      </c>
      <c r="B138">
        <v>166.4</v>
      </c>
      <c r="C138">
        <v>39.5</v>
      </c>
      <c r="D138">
        <v>33.9</v>
      </c>
      <c r="E138">
        <v>30.1</v>
      </c>
    </row>
    <row r="139" spans="1:5" x14ac:dyDescent="0.15">
      <c r="A139" t="s">
        <v>120</v>
      </c>
      <c r="C139">
        <v>55.9</v>
      </c>
      <c r="D139">
        <v>40.799999999999997</v>
      </c>
      <c r="E139">
        <v>31.2</v>
      </c>
    </row>
    <row r="140" spans="1:5" x14ac:dyDescent="0.15">
      <c r="A140" t="s">
        <v>121</v>
      </c>
    </row>
    <row r="141" spans="1:5" x14ac:dyDescent="0.15">
      <c r="A141" t="s">
        <v>122</v>
      </c>
      <c r="C141">
        <v>39.5</v>
      </c>
      <c r="D141">
        <v>33.9</v>
      </c>
      <c r="E141">
        <v>30.1</v>
      </c>
    </row>
    <row r="142" spans="1:5" x14ac:dyDescent="0.15">
      <c r="A142" t="s">
        <v>123</v>
      </c>
      <c r="C142">
        <v>33.799999999999997</v>
      </c>
      <c r="D142">
        <v>28.7</v>
      </c>
      <c r="E142">
        <v>25.4</v>
      </c>
    </row>
    <row r="143" spans="1:5" x14ac:dyDescent="0.15">
      <c r="A143" t="s">
        <v>124</v>
      </c>
    </row>
    <row r="144" spans="1:5" x14ac:dyDescent="0.15">
      <c r="A144" t="s">
        <v>125</v>
      </c>
      <c r="C144">
        <v>2</v>
      </c>
      <c r="D144">
        <v>1.8</v>
      </c>
      <c r="E144">
        <v>1.7</v>
      </c>
    </row>
    <row r="145" spans="1:5" x14ac:dyDescent="0.15">
      <c r="A145" t="s">
        <v>126</v>
      </c>
    </row>
    <row r="146" spans="1:5" x14ac:dyDescent="0.15">
      <c r="A146" t="s">
        <v>127</v>
      </c>
      <c r="B146">
        <v>21</v>
      </c>
      <c r="C146">
        <v>12</v>
      </c>
      <c r="D146">
        <v>11</v>
      </c>
      <c r="E146">
        <v>11</v>
      </c>
    </row>
    <row r="147" spans="1:5" x14ac:dyDescent="0.15">
      <c r="A147" t="s">
        <v>128</v>
      </c>
    </row>
    <row r="148" spans="1:5" x14ac:dyDescent="0.15">
      <c r="A148" t="s">
        <v>129</v>
      </c>
      <c r="B148">
        <v>57</v>
      </c>
      <c r="C148">
        <v>39</v>
      </c>
      <c r="D148">
        <v>25</v>
      </c>
      <c r="E148">
        <v>25</v>
      </c>
    </row>
    <row r="149" spans="1:5" x14ac:dyDescent="0.15">
      <c r="A149" t="s">
        <v>130</v>
      </c>
    </row>
    <row r="150" spans="1:5" x14ac:dyDescent="0.15">
      <c r="A150" t="s">
        <v>131</v>
      </c>
      <c r="C150">
        <v>0.55700000000000005</v>
      </c>
      <c r="D150">
        <v>0.55200000000000005</v>
      </c>
      <c r="E150">
        <v>0.57899999999999996</v>
      </c>
    </row>
    <row r="151" spans="1:5" x14ac:dyDescent="0.15">
      <c r="A151" t="s">
        <v>132</v>
      </c>
    </row>
    <row r="152" spans="1:5" x14ac:dyDescent="0.15">
      <c r="A152" t="s">
        <v>133</v>
      </c>
      <c r="B152">
        <v>17.7</v>
      </c>
      <c r="C152">
        <v>30.6</v>
      </c>
      <c r="D152">
        <v>32</v>
      </c>
      <c r="E152">
        <v>32.9</v>
      </c>
    </row>
    <row r="153" spans="1:5" x14ac:dyDescent="0.15">
      <c r="A153" t="s">
        <v>134</v>
      </c>
      <c r="B153">
        <v>6.4</v>
      </c>
      <c r="C153">
        <v>9.4</v>
      </c>
      <c r="D153">
        <v>14.7</v>
      </c>
      <c r="E153">
        <v>14.4</v>
      </c>
    </row>
    <row r="154" spans="1:5" x14ac:dyDescent="0.15">
      <c r="A154" t="s">
        <v>135</v>
      </c>
      <c r="B154">
        <v>34.1</v>
      </c>
      <c r="C154">
        <v>59.2</v>
      </c>
      <c r="D154">
        <v>62</v>
      </c>
      <c r="E154">
        <v>62.7</v>
      </c>
    </row>
    <row r="155" spans="1:5" x14ac:dyDescent="0.15">
      <c r="A155" t="s">
        <v>136</v>
      </c>
      <c r="B155">
        <v>0</v>
      </c>
      <c r="C155">
        <v>19.8</v>
      </c>
      <c r="D155">
        <v>18.7</v>
      </c>
      <c r="E155">
        <v>18.3</v>
      </c>
    </row>
    <row r="156" spans="1:5" x14ac:dyDescent="0.15">
      <c r="A156" t="s">
        <v>137</v>
      </c>
      <c r="B156">
        <v>13.7</v>
      </c>
      <c r="C156">
        <v>10.9</v>
      </c>
      <c r="D156">
        <v>9.1999999999999993</v>
      </c>
      <c r="E156">
        <v>8.1999999999999993</v>
      </c>
    </row>
    <row r="157" spans="1:5" x14ac:dyDescent="0.15">
      <c r="A157" t="s">
        <v>138</v>
      </c>
      <c r="B157">
        <v>2</v>
      </c>
      <c r="C157">
        <v>2</v>
      </c>
      <c r="D157">
        <v>1.8</v>
      </c>
      <c r="E157">
        <v>1.8</v>
      </c>
    </row>
    <row r="158" spans="1:5" x14ac:dyDescent="0.15">
      <c r="A158" t="s">
        <v>139</v>
      </c>
    </row>
    <row r="159" spans="1:5" x14ac:dyDescent="0.15">
      <c r="A159" t="s">
        <v>140</v>
      </c>
      <c r="B159">
        <v>1.3959999999999999</v>
      </c>
      <c r="C159">
        <v>1.9379999999999999</v>
      </c>
      <c r="D159">
        <v>17.739999999999998</v>
      </c>
      <c r="E159">
        <v>19.492000000000001</v>
      </c>
    </row>
    <row r="160" spans="1:5" x14ac:dyDescent="0.15">
      <c r="A160" t="s">
        <v>141</v>
      </c>
      <c r="B160">
        <v>0.05</v>
      </c>
      <c r="C160">
        <v>7.0000000000000007E-2</v>
      </c>
      <c r="D160">
        <v>0.62</v>
      </c>
      <c r="E160">
        <v>0.68</v>
      </c>
    </row>
    <row r="161" spans="1:5" x14ac:dyDescent="0.15">
      <c r="A161" t="s">
        <v>142</v>
      </c>
      <c r="C161">
        <v>8.93</v>
      </c>
      <c r="D161">
        <v>10.3</v>
      </c>
      <c r="E161">
        <v>11.29</v>
      </c>
    </row>
    <row r="162" spans="1:5" x14ac:dyDescent="0.15">
      <c r="A162" t="s">
        <v>143</v>
      </c>
      <c r="B162">
        <v>-181.7</v>
      </c>
      <c r="C162">
        <v>-48.5</v>
      </c>
      <c r="D162">
        <v>-17.600000000000001</v>
      </c>
      <c r="E162">
        <v>13.9</v>
      </c>
    </row>
    <row r="163" spans="1:5" x14ac:dyDescent="0.15">
      <c r="A163" t="s">
        <v>144</v>
      </c>
      <c r="B163">
        <v>-6.6660000000000004</v>
      </c>
      <c r="C163">
        <v>-1.726</v>
      </c>
      <c r="D163">
        <v>-0.625</v>
      </c>
      <c r="E163">
        <v>0.49099999999999999</v>
      </c>
    </row>
    <row r="164" spans="1:5" x14ac:dyDescent="0.15">
      <c r="A164" t="s">
        <v>145</v>
      </c>
    </row>
  </sheetData>
  <sortState xmlns:xlrd2="http://schemas.microsoft.com/office/spreadsheetml/2017/richdata2" columnSort="1" ref="B1:E166">
    <sortCondition ref="B3:E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Bojangles Financials</vt:lpstr>
      <vt:lpstr>Fogo De Chao Financials</vt:lpstr>
      <vt:lpstr>LBO</vt:lpstr>
      <vt:lpstr>Bojales Raw</vt:lpstr>
      <vt:lpstr>Fogo De Chao</vt:lpstr>
      <vt:lpstr>'Bojales Raw'!BOJA___AllReports</vt:lpstr>
      <vt:lpstr>'Fogo De Chao'!FOGO___AllReports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Hassan</dc:creator>
  <cp:lastModifiedBy>Evan Hassan</cp:lastModifiedBy>
  <dcterms:created xsi:type="dcterms:W3CDTF">2026-08-04T05:02:37Z</dcterms:created>
  <dcterms:modified xsi:type="dcterms:W3CDTF">2026-08-05T07:00:53Z</dcterms:modified>
</cp:coreProperties>
</file>