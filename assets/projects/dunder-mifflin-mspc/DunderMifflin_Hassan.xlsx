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vanhassan/Downloads/"/>
    </mc:Choice>
  </mc:AlternateContent>
  <xr:revisionPtr revIDLastSave="0" documentId="13_ncr:1_{070F32B6-1582-7841-A9F2-5C537E354945}" xr6:coauthVersionLast="47" xr6:coauthVersionMax="47" xr10:uidLastSave="{00000000-0000-0000-0000-000000000000}"/>
  <bookViews>
    <workbookView xWindow="0" yWindow="760" windowWidth="30240" windowHeight="18880" activeTab="1" xr2:uid="{6FB5AB50-036A-2445-A09B-A9EF63823A68}"/>
  </bookViews>
  <sheets>
    <sheet name="Sheet3" sheetId="3" r:id="rId1"/>
    <sheet name="Sheet1" sheetId="1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C10" i="1"/>
  <c r="D5" i="1"/>
  <c r="E5" i="1"/>
  <c r="F5" i="1"/>
  <c r="G5" i="1"/>
  <c r="C5" i="1"/>
  <c r="D4" i="1"/>
  <c r="E4" i="1"/>
  <c r="F4" i="1"/>
  <c r="G4" i="1"/>
  <c r="C4" i="1"/>
  <c r="C25" i="1"/>
  <c r="D8" i="1" s="1"/>
  <c r="D17" i="3"/>
  <c r="E17" i="3"/>
  <c r="F17" i="3"/>
  <c r="G17" i="3"/>
  <c r="H17" i="3"/>
  <c r="C17" i="3"/>
  <c r="D14" i="3"/>
  <c r="E14" i="3"/>
  <c r="F14" i="3"/>
  <c r="G14" i="3"/>
  <c r="H14" i="3"/>
  <c r="D13" i="3"/>
  <c r="E13" i="3"/>
  <c r="F13" i="3"/>
  <c r="G13" i="3"/>
  <c r="H13" i="3"/>
  <c r="D12" i="3"/>
  <c r="E12" i="3"/>
  <c r="F12" i="3"/>
  <c r="G12" i="3"/>
  <c r="H12" i="3"/>
  <c r="D7" i="3"/>
  <c r="E7" i="3"/>
  <c r="F7" i="3"/>
  <c r="G7" i="3"/>
  <c r="H7" i="3"/>
  <c r="C13" i="3"/>
  <c r="C14" i="3"/>
  <c r="C12" i="3"/>
  <c r="C7" i="3"/>
  <c r="C10" i="3" s="1"/>
  <c r="F6" i="1" l="1"/>
  <c r="E6" i="1"/>
  <c r="D6" i="1"/>
  <c r="D9" i="1" s="1"/>
  <c r="D11" i="1" s="1"/>
  <c r="C8" i="1"/>
  <c r="G8" i="1"/>
  <c r="F8" i="1"/>
  <c r="F9" i="1" s="1"/>
  <c r="F11" i="1" s="1"/>
  <c r="E8" i="1"/>
  <c r="E9" i="1" s="1"/>
  <c r="E11" i="1" s="1"/>
  <c r="C6" i="1"/>
  <c r="G6" i="1"/>
  <c r="C22" i="1"/>
  <c r="F10" i="3"/>
  <c r="D10" i="3"/>
  <c r="H10" i="3"/>
  <c r="G10" i="3"/>
  <c r="H8" i="3"/>
  <c r="F8" i="3"/>
  <c r="G8" i="3"/>
  <c r="D8" i="3"/>
  <c r="E8" i="3"/>
  <c r="E10" i="3"/>
  <c r="E11" i="3" s="1"/>
  <c r="E15" i="3" s="1"/>
  <c r="C11" i="3"/>
  <c r="C15" i="3" s="1"/>
  <c r="C9" i="1" l="1"/>
  <c r="C11" i="1" s="1"/>
  <c r="G9" i="1"/>
  <c r="G11" i="1" s="1"/>
  <c r="C23" i="1"/>
  <c r="C26" i="1" s="1"/>
  <c r="C28" i="1" s="1"/>
  <c r="E16" i="3"/>
  <c r="E18" i="3"/>
  <c r="C16" i="3"/>
  <c r="C18" i="3"/>
  <c r="C19" i="3" s="1"/>
  <c r="G11" i="3"/>
  <c r="D11" i="3"/>
  <c r="G13" i="1" l="1"/>
  <c r="C29" i="1" s="1"/>
  <c r="D15" i="3"/>
  <c r="G15" i="3"/>
  <c r="F11" i="3"/>
  <c r="H11" i="3"/>
  <c r="E19" i="3"/>
  <c r="C31" i="1" l="1"/>
  <c r="C34" i="1" s="1"/>
  <c r="G16" i="3"/>
  <c r="G18" i="3"/>
  <c r="D16" i="3"/>
  <c r="D18" i="3"/>
  <c r="H15" i="3"/>
  <c r="F15" i="3"/>
  <c r="G19" i="3"/>
  <c r="D19" i="3"/>
  <c r="H16" i="3" l="1"/>
  <c r="H18" i="3"/>
  <c r="H19" i="3" s="1"/>
  <c r="F16" i="3"/>
  <c r="F18" i="3"/>
  <c r="F19" i="3" s="1"/>
</calcChain>
</file>

<file path=xl/sharedStrings.xml><?xml version="1.0" encoding="utf-8"?>
<sst xmlns="http://schemas.openxmlformats.org/spreadsheetml/2006/main" count="116" uniqueCount="69">
  <si>
    <t>Revenue Build</t>
  </si>
  <si>
    <t>Actual</t>
  </si>
  <si>
    <t>Forecast</t>
  </si>
  <si>
    <t>FYE December</t>
  </si>
  <si>
    <t>Currency</t>
  </si>
  <si>
    <t>USD</t>
  </si>
  <si>
    <t>Scale</t>
  </si>
  <si>
    <t>Million</t>
  </si>
  <si>
    <t>Year-over-year growth(%)</t>
  </si>
  <si>
    <t>Total Revenue</t>
  </si>
  <si>
    <t>Year-over-year Growth</t>
  </si>
  <si>
    <t>Year-over-year growth</t>
  </si>
  <si>
    <t>Gross Profit</t>
  </si>
  <si>
    <t>Operating Income</t>
  </si>
  <si>
    <t>Operating Margin</t>
  </si>
  <si>
    <t>EBITDA</t>
  </si>
  <si>
    <t>EBITDA Margin</t>
  </si>
  <si>
    <t>Key Model Drivers</t>
  </si>
  <si>
    <t>Michael Scott's Paper Company</t>
  </si>
  <si>
    <t>Clients</t>
  </si>
  <si>
    <t>Orders Per Clients</t>
  </si>
  <si>
    <t>Boxes Per Order</t>
  </si>
  <si>
    <t>Price Per Box</t>
  </si>
  <si>
    <t>k</t>
  </si>
  <si>
    <t xml:space="preserve">    Cost of Revenue</t>
  </si>
  <si>
    <t>Rent and Occupancy</t>
  </si>
  <si>
    <t>Delivery and Vehicle Expense</t>
  </si>
  <si>
    <t>Major Clients</t>
  </si>
  <si>
    <t>Average Boxes per Order</t>
  </si>
  <si>
    <t>Orders per Client per year</t>
  </si>
  <si>
    <t>Rent and occupancy</t>
  </si>
  <si>
    <t>Operating Drivers(k)</t>
  </si>
  <si>
    <t>Cost of Revenue (% revenue)</t>
  </si>
  <si>
    <t>Standalone Financials</t>
  </si>
  <si>
    <t>2009A Annuaized</t>
  </si>
  <si>
    <t>2010E</t>
  </si>
  <si>
    <t>2011E</t>
  </si>
  <si>
    <t>2012E</t>
  </si>
  <si>
    <t>2013E</t>
  </si>
  <si>
    <t>2014E</t>
  </si>
  <si>
    <t>D&amp;A (for a $3,000 van)</t>
  </si>
  <si>
    <t>D&amp;A(van)</t>
  </si>
  <si>
    <t>Revenue Drivers(k)</t>
  </si>
  <si>
    <t>Cash Compensation &amp; Benefits</t>
  </si>
  <si>
    <t>Cash Compensation &amp; benefits</t>
  </si>
  <si>
    <t>Strategic Value Build</t>
  </si>
  <si>
    <t>Dunder Mifflin Gross Margin</t>
  </si>
  <si>
    <t>($k)</t>
  </si>
  <si>
    <t>Notes</t>
  </si>
  <si>
    <t>Total Strategic Benefit</t>
  </si>
  <si>
    <t xml:space="preserve">linked </t>
  </si>
  <si>
    <t>Dunder Miffin's Gross Margin</t>
  </si>
  <si>
    <t>Revenue per Client($k)</t>
  </si>
  <si>
    <t>Discount Rate</t>
  </si>
  <si>
    <t>PV of Recovered Gross Profit</t>
  </si>
  <si>
    <t>New Clients Retained</t>
  </si>
  <si>
    <t>Revenue Retained</t>
  </si>
  <si>
    <t>PV of Future Client Retention</t>
  </si>
  <si>
    <t>Gross Margin</t>
  </si>
  <si>
    <t>Gross Profit Retained</t>
  </si>
  <si>
    <t>PV of Retained Gross Profit</t>
  </si>
  <si>
    <t>Total PV off Future Client Retention</t>
  </si>
  <si>
    <t>Existing Clients Recovered</t>
  </si>
  <si>
    <t>Annual Revenue Per Client</t>
  </si>
  <si>
    <t>Annual Revenue Recovered</t>
  </si>
  <si>
    <t>Annual Gross Profit Recovered</t>
  </si>
  <si>
    <t>Net Value to Dunder Mifflin</t>
  </si>
  <si>
    <t>Less: Proposed Cash Consideration</t>
  </si>
  <si>
    <t>csi paper company market data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</si>
</sst>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;[Red]\(\$#,##0.0\);\-"/>
    <numFmt numFmtId="165" formatCode="0.0\x;[Red]\(0.0\x\);\-"/>
    <numFmt numFmtId="166" formatCode="#,##0;[Red]\(#,##0\);\-"/>
    <numFmt numFmtId="171" formatCode="0.0"/>
    <numFmt numFmtId="172" formatCode="0.0%"/>
    <numFmt numFmtId="176" formatCode="#,##0.0_);[Red]\(#,##0.0\)"/>
  </numFmts>
  <fonts count="27" x14ac:knownFonts="1">
    <font>
      <sz val="10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2D3D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b/>
      <sz val="11"/>
      <color rgb="FF1F2D3D"/>
      <name val="Arial"/>
      <family val="2"/>
    </font>
    <font>
      <b/>
      <sz val="16"/>
      <color rgb="FF1F2D3D"/>
      <name val="Arial"/>
      <family val="2"/>
    </font>
    <font>
      <sz val="10"/>
      <name val="Arial"/>
      <family val="2"/>
    </font>
    <font>
      <b/>
      <sz val="10"/>
      <color rgb="FF202124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2"/>
      <color rgb="FFFFFFFF"/>
      <name val="Arial"/>
      <family val="2"/>
    </font>
    <font>
      <sz val="10"/>
      <color rgb="FF202024"/>
      <name val="Arial"/>
      <family val="2"/>
    </font>
    <font>
      <b/>
      <sz val="10"/>
      <color rgb="FF202024"/>
      <name val="Arial"/>
      <family val="2"/>
    </font>
    <font>
      <i/>
      <sz val="10"/>
      <color rgb="FF202024"/>
      <name val="Arial"/>
      <family val="2"/>
    </font>
    <font>
      <i/>
      <sz val="10"/>
      <color rgb="FF0000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6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rgb="FF1F2D3D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3EFD8"/>
      </patternFill>
    </fill>
    <fill>
      <patternFill patternType="solid">
        <fgColor rgb="FFEAF2F8"/>
      </patternFill>
    </fill>
    <fill>
      <patternFill patternType="solid">
        <fgColor rgb="FFDDE5EB"/>
      </patternFill>
    </fill>
    <fill>
      <patternFill patternType="solid">
        <fgColor rgb="FF1F2D3D"/>
      </patternFill>
    </fill>
    <fill>
      <patternFill patternType="solid">
        <fgColor rgb="FF1F2D3D"/>
        <bgColor rgb="FF000000"/>
      </patternFill>
    </fill>
    <fill>
      <patternFill patternType="solid">
        <fgColor rgb="FFDDE5EB"/>
        <bgColor rgb="FF000000"/>
      </patternFill>
    </fill>
    <fill>
      <patternFill patternType="solid">
        <fgColor rgb="FF91B9D5"/>
        <bgColor rgb="FF000000"/>
      </patternFill>
    </fill>
    <fill>
      <patternFill patternType="solid">
        <fgColor rgb="FFEAF2F8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A7A7A3"/>
      </bottom>
      <diagonal/>
    </border>
    <border>
      <left/>
      <right/>
      <top style="thin">
        <color rgb="FF20212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8">
    <xf numFmtId="0" fontId="0" fillId="0" borderId="0"/>
    <xf numFmtId="164" fontId="1" fillId="0" borderId="0">
      <alignment vertical="center"/>
    </xf>
    <xf numFmtId="164" fontId="2" fillId="0" borderId="0">
      <alignment vertical="center"/>
    </xf>
    <xf numFmtId="0" fontId="3" fillId="0" borderId="1">
      <alignment horizontal="left" vertical="center"/>
    </xf>
    <xf numFmtId="0" fontId="3" fillId="0" borderId="2" applyAlignment="0">
      <alignment horizontal="left" vertical="center"/>
    </xf>
    <xf numFmtId="164" fontId="4" fillId="0" borderId="0">
      <alignment vertical="center"/>
    </xf>
    <xf numFmtId="164" fontId="5" fillId="2" borderId="0" applyNumberFormat="0">
      <alignment vertical="center"/>
    </xf>
    <xf numFmtId="164" fontId="5" fillId="2" borderId="0">
      <alignment vertical="center"/>
    </xf>
    <xf numFmtId="0" fontId="6" fillId="3" borderId="3"/>
    <xf numFmtId="0" fontId="7" fillId="0" borderId="0">
      <alignment horizontal="left"/>
    </xf>
    <xf numFmtId="0" fontId="8" fillId="0" borderId="0">
      <alignment horizontal="left"/>
    </xf>
    <xf numFmtId="165" fontId="9" fillId="3" borderId="4">
      <alignment vertical="center"/>
    </xf>
    <xf numFmtId="0" fontId="10" fillId="0" borderId="5">
      <alignment vertical="center"/>
    </xf>
    <xf numFmtId="0" fontId="11" fillId="0" borderId="0"/>
    <xf numFmtId="0" fontId="12" fillId="4" borderId="6">
      <alignment vertical="center"/>
    </xf>
    <xf numFmtId="0" fontId="13" fillId="5" borderId="0">
      <alignment vertical="center"/>
    </xf>
    <xf numFmtId="0" fontId="3" fillId="0" borderId="7">
      <alignment horizontal="left" vertical="center"/>
    </xf>
    <xf numFmtId="166" fontId="14" fillId="0" borderId="8">
      <alignment vertical="center"/>
    </xf>
  </cellStyleXfs>
  <cellXfs count="137">
    <xf numFmtId="0" fontId="0" fillId="0" borderId="0" xfId="0"/>
    <xf numFmtId="0" fontId="15" fillId="6" borderId="9" xfId="0" applyFont="1" applyFill="1" applyBorder="1" applyAlignment="1">
      <alignment vertical="center"/>
    </xf>
    <xf numFmtId="0" fontId="13" fillId="6" borderId="10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0" fontId="16" fillId="0" borderId="0" xfId="0" applyFont="1"/>
    <xf numFmtId="0" fontId="13" fillId="7" borderId="12" xfId="0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14" fontId="12" fillId="7" borderId="15" xfId="0" applyNumberFormat="1" applyFont="1" applyFill="1" applyBorder="1" applyAlignment="1">
      <alignment vertical="center"/>
    </xf>
    <xf numFmtId="14" fontId="17" fillId="7" borderId="14" xfId="0" applyNumberFormat="1" applyFont="1" applyFill="1" applyBorder="1"/>
    <xf numFmtId="14" fontId="17" fillId="7" borderId="15" xfId="0" applyNumberFormat="1" applyFont="1" applyFill="1" applyBorder="1"/>
    <xf numFmtId="14" fontId="17" fillId="7" borderId="16" xfId="0" applyNumberFormat="1" applyFont="1" applyFill="1" applyBorder="1"/>
    <xf numFmtId="0" fontId="16" fillId="0" borderId="12" xfId="0" applyFont="1" applyBorder="1"/>
    <xf numFmtId="0" fontId="16" fillId="0" borderId="17" xfId="0" applyFont="1" applyBorder="1"/>
    <xf numFmtId="171" fontId="0" fillId="0" borderId="12" xfId="0" applyNumberFormat="1" applyBorder="1"/>
    <xf numFmtId="171" fontId="16" fillId="0" borderId="12" xfId="0" applyNumberFormat="1" applyFont="1" applyBorder="1"/>
    <xf numFmtId="171" fontId="0" fillId="0" borderId="0" xfId="0" applyNumberFormat="1"/>
    <xf numFmtId="171" fontId="16" fillId="0" borderId="0" xfId="0" applyNumberFormat="1" applyFont="1"/>
    <xf numFmtId="171" fontId="0" fillId="0" borderId="17" xfId="0" applyNumberFormat="1" applyBorder="1"/>
    <xf numFmtId="171" fontId="16" fillId="0" borderId="17" xfId="0" applyNumberFormat="1" applyFont="1" applyBorder="1"/>
    <xf numFmtId="10" fontId="0" fillId="0" borderId="0" xfId="0" applyNumberFormat="1"/>
    <xf numFmtId="172" fontId="0" fillId="0" borderId="0" xfId="0" applyNumberFormat="1"/>
    <xf numFmtId="172" fontId="18" fillId="0" borderId="0" xfId="0" applyNumberFormat="1" applyFont="1"/>
    <xf numFmtId="172" fontId="19" fillId="0" borderId="12" xfId="0" applyNumberFormat="1" applyFont="1" applyBorder="1" applyAlignment="1">
      <alignment vertical="center"/>
    </xf>
    <xf numFmtId="172" fontId="19" fillId="0" borderId="0" xfId="0" applyNumberFormat="1" applyFont="1" applyAlignment="1">
      <alignment vertical="center"/>
    </xf>
    <xf numFmtId="172" fontId="19" fillId="0" borderId="17" xfId="0" applyNumberFormat="1" applyFont="1" applyBorder="1" applyAlignment="1">
      <alignment vertical="center"/>
    </xf>
    <xf numFmtId="0" fontId="18" fillId="0" borderId="12" xfId="0" applyFont="1" applyBorder="1" applyAlignment="1">
      <alignment horizontal="left" indent="1"/>
    </xf>
    <xf numFmtId="0" fontId="20" fillId="0" borderId="12" xfId="0" applyFont="1" applyBorder="1"/>
    <xf numFmtId="0" fontId="20" fillId="0" borderId="0" xfId="0" applyFont="1"/>
    <xf numFmtId="171" fontId="20" fillId="0" borderId="12" xfId="0" applyNumberFormat="1" applyFont="1" applyBorder="1"/>
    <xf numFmtId="171" fontId="20" fillId="0" borderId="0" xfId="0" applyNumberFormat="1" applyFont="1"/>
    <xf numFmtId="171" fontId="20" fillId="0" borderId="17" xfId="0" applyNumberFormat="1" applyFont="1" applyBorder="1"/>
    <xf numFmtId="0" fontId="6" fillId="9" borderId="18" xfId="0" applyFont="1" applyFill="1" applyBorder="1"/>
    <xf numFmtId="10" fontId="6" fillId="9" borderId="19" xfId="0" applyNumberFormat="1" applyFont="1" applyFill="1" applyBorder="1"/>
    <xf numFmtId="10" fontId="6" fillId="9" borderId="18" xfId="0" applyNumberFormat="1" applyFont="1" applyFill="1" applyBorder="1"/>
    <xf numFmtId="10" fontId="6" fillId="9" borderId="20" xfId="0" applyNumberFormat="1" applyFont="1" applyFill="1" applyBorder="1"/>
    <xf numFmtId="0" fontId="21" fillId="0" borderId="0" xfId="0" applyFont="1"/>
    <xf numFmtId="10" fontId="21" fillId="0" borderId="0" xfId="0" applyNumberFormat="1" applyFont="1"/>
    <xf numFmtId="0" fontId="17" fillId="8" borderId="12" xfId="0" applyFont="1" applyFill="1" applyBorder="1" applyAlignment="1">
      <alignment horizontal="center"/>
    </xf>
    <xf numFmtId="0" fontId="17" fillId="8" borderId="0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22" fillId="0" borderId="0" xfId="0" applyFont="1"/>
    <xf numFmtId="0" fontId="11" fillId="0" borderId="0" xfId="0" applyFont="1"/>
    <xf numFmtId="0" fontId="15" fillId="5" borderId="0" xfId="15" applyFont="1">
      <alignment vertical="center"/>
    </xf>
    <xf numFmtId="0" fontId="13" fillId="5" borderId="0" xfId="15">
      <alignment vertical="center"/>
    </xf>
    <xf numFmtId="0" fontId="15" fillId="10" borderId="0" xfId="15" applyFont="1" applyFill="1">
      <alignment vertical="center"/>
    </xf>
    <xf numFmtId="0" fontId="23" fillId="11" borderId="12" xfId="15" applyFont="1" applyFill="1" applyBorder="1" applyAlignment="1">
      <alignment horizontal="center" vertical="center"/>
    </xf>
    <xf numFmtId="0" fontId="12" fillId="4" borderId="15" xfId="14" applyBorder="1">
      <alignment vertical="center"/>
    </xf>
    <xf numFmtId="14" fontId="12" fillId="4" borderId="15" xfId="14" applyNumberFormat="1" applyBorder="1">
      <alignment vertical="center"/>
    </xf>
    <xf numFmtId="14" fontId="12" fillId="4" borderId="14" xfId="14" applyNumberFormat="1" applyBorder="1">
      <alignment vertical="center"/>
    </xf>
    <xf numFmtId="0" fontId="11" fillId="0" borderId="9" xfId="0" applyFont="1" applyBorder="1"/>
    <xf numFmtId="0" fontId="11" fillId="0" borderId="11" xfId="0" applyFont="1" applyBorder="1"/>
    <xf numFmtId="171" fontId="11" fillId="0" borderId="0" xfId="0" applyNumberFormat="1" applyFont="1"/>
    <xf numFmtId="0" fontId="24" fillId="3" borderId="18" xfId="8" applyFont="1" applyBorder="1"/>
    <xf numFmtId="172" fontId="24" fillId="3" borderId="19" xfId="8" applyNumberFormat="1" applyFont="1" applyBorder="1"/>
    <xf numFmtId="172" fontId="24" fillId="3" borderId="18" xfId="8" applyNumberFormat="1" applyFont="1" applyBorder="1"/>
    <xf numFmtId="0" fontId="11" fillId="0" borderId="12" xfId="0" applyFont="1" applyBorder="1"/>
    <xf numFmtId="0" fontId="11" fillId="0" borderId="17" xfId="0" applyFont="1" applyBorder="1"/>
    <xf numFmtId="171" fontId="11" fillId="0" borderId="12" xfId="0" applyNumberFormat="1" applyFont="1" applyBorder="1"/>
    <xf numFmtId="171" fontId="11" fillId="0" borderId="17" xfId="0" applyNumberFormat="1" applyFont="1" applyBorder="1"/>
    <xf numFmtId="0" fontId="3" fillId="0" borderId="10" xfId="16" applyBorder="1">
      <alignment horizontal="left" vertical="center"/>
    </xf>
    <xf numFmtId="171" fontId="3" fillId="0" borderId="10" xfId="16" applyNumberFormat="1" applyBorder="1" applyAlignment="1">
      <alignment horizontal="right" vertical="center"/>
    </xf>
    <xf numFmtId="171" fontId="3" fillId="0" borderId="9" xfId="16" applyNumberFormat="1" applyBorder="1" applyAlignment="1">
      <alignment horizontal="right" vertical="center"/>
    </xf>
    <xf numFmtId="171" fontId="3" fillId="0" borderId="11" xfId="16" applyNumberFormat="1" applyBorder="1" applyAlignment="1">
      <alignment horizontal="right" vertical="center"/>
    </xf>
    <xf numFmtId="0" fontId="25" fillId="0" borderId="0" xfId="16" applyFont="1" applyBorder="1" applyAlignment="1">
      <alignment horizontal="left" vertical="center" indent="1"/>
    </xf>
    <xf numFmtId="172" fontId="25" fillId="0" borderId="0" xfId="16" applyNumberFormat="1" applyFont="1" applyBorder="1" applyAlignment="1">
      <alignment horizontal="right" vertical="center"/>
    </xf>
    <xf numFmtId="172" fontId="25" fillId="0" borderId="12" xfId="16" applyNumberFormat="1" applyFont="1" applyBorder="1" applyAlignment="1">
      <alignment horizontal="right" vertical="center"/>
    </xf>
    <xf numFmtId="172" fontId="25" fillId="0" borderId="17" xfId="16" applyNumberFormat="1" applyFont="1" applyBorder="1" applyAlignment="1">
      <alignment horizontal="right" vertical="center"/>
    </xf>
    <xf numFmtId="0" fontId="3" fillId="0" borderId="0" xfId="16" applyBorder="1">
      <alignment horizontal="left" vertical="center"/>
    </xf>
    <xf numFmtId="0" fontId="3" fillId="0" borderId="0" xfId="16" applyBorder="1" applyAlignment="1">
      <alignment horizontal="right" vertical="center"/>
    </xf>
    <xf numFmtId="2" fontId="3" fillId="0" borderId="0" xfId="16" applyNumberFormat="1" applyBorder="1" applyAlignment="1">
      <alignment horizontal="right" vertical="center"/>
    </xf>
    <xf numFmtId="0" fontId="12" fillId="4" borderId="6" xfId="14">
      <alignment vertical="center"/>
    </xf>
    <xf numFmtId="0" fontId="12" fillId="4" borderId="0" xfId="14" applyBorder="1">
      <alignment vertical="center"/>
    </xf>
    <xf numFmtId="172" fontId="11" fillId="0" borderId="0" xfId="0" applyNumberFormat="1" applyFont="1"/>
    <xf numFmtId="0" fontId="11" fillId="0" borderId="0" xfId="13"/>
    <xf numFmtId="172" fontId="5" fillId="2" borderId="14" xfId="7" applyNumberFormat="1" applyBorder="1">
      <alignment vertical="center"/>
    </xf>
    <xf numFmtId="172" fontId="5" fillId="2" borderId="15" xfId="7" applyNumberFormat="1" applyBorder="1">
      <alignment vertical="center"/>
    </xf>
    <xf numFmtId="172" fontId="5" fillId="2" borderId="16" xfId="7" applyNumberFormat="1" applyBorder="1">
      <alignment vertical="center"/>
    </xf>
    <xf numFmtId="0" fontId="23" fillId="10" borderId="0" xfId="15" applyFont="1" applyFill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1" fontId="11" fillId="0" borderId="0" xfId="0" applyNumberFormat="1" applyFont="1"/>
    <xf numFmtId="0" fontId="11" fillId="0" borderId="0" xfId="0" applyFont="1" applyAlignment="1">
      <alignment horizontal="left" indent="1"/>
    </xf>
    <xf numFmtId="171" fontId="0" fillId="0" borderId="0" xfId="0" applyNumberFormat="1" applyFont="1"/>
    <xf numFmtId="0" fontId="0" fillId="0" borderId="0" xfId="0" applyFont="1" applyAlignment="1">
      <alignment horizontal="left"/>
    </xf>
    <xf numFmtId="0" fontId="7" fillId="4" borderId="6" xfId="14" applyFont="1">
      <alignment vertical="center"/>
    </xf>
    <xf numFmtId="171" fontId="5" fillId="2" borderId="9" xfId="7" applyNumberFormat="1" applyBorder="1">
      <alignment vertical="center"/>
    </xf>
    <xf numFmtId="171" fontId="5" fillId="2" borderId="10" xfId="7" applyNumberFormat="1" applyBorder="1">
      <alignment vertical="center"/>
    </xf>
    <xf numFmtId="171" fontId="5" fillId="2" borderId="11" xfId="7" applyNumberFormat="1" applyBorder="1">
      <alignment vertical="center"/>
    </xf>
    <xf numFmtId="171" fontId="5" fillId="2" borderId="12" xfId="7" applyNumberFormat="1" applyBorder="1">
      <alignment vertical="center"/>
    </xf>
    <xf numFmtId="171" fontId="5" fillId="2" borderId="17" xfId="7" applyNumberFormat="1" applyBorder="1">
      <alignment vertical="center"/>
    </xf>
    <xf numFmtId="171" fontId="5" fillId="2" borderId="0" xfId="7" applyNumberFormat="1" applyBorder="1">
      <alignment vertical="center"/>
    </xf>
    <xf numFmtId="0" fontId="23" fillId="11" borderId="0" xfId="15" applyFont="1" applyFill="1" applyBorder="1" applyAlignment="1">
      <alignment horizontal="center" vertical="center"/>
    </xf>
    <xf numFmtId="171" fontId="4" fillId="0" borderId="0" xfId="16" applyNumberFormat="1" applyFont="1" applyBorder="1" applyAlignment="1">
      <alignment horizontal="right" vertical="center"/>
    </xf>
    <xf numFmtId="0" fontId="26" fillId="0" borderId="0" xfId="0" applyFont="1"/>
    <xf numFmtId="0" fontId="26" fillId="0" borderId="0" xfId="0" applyFont="1" applyAlignment="1">
      <alignment horizontal="left" indent="1"/>
    </xf>
    <xf numFmtId="171" fontId="5" fillId="2" borderId="9" xfId="6" applyNumberFormat="1" applyBorder="1">
      <alignment vertical="center"/>
    </xf>
    <xf numFmtId="171" fontId="5" fillId="2" borderId="10" xfId="6" applyNumberFormat="1" applyBorder="1">
      <alignment vertical="center"/>
    </xf>
    <xf numFmtId="171" fontId="5" fillId="2" borderId="11" xfId="6" applyNumberFormat="1" applyBorder="1">
      <alignment vertical="center"/>
    </xf>
    <xf numFmtId="0" fontId="5" fillId="2" borderId="12" xfId="6" applyNumberFormat="1" applyBorder="1">
      <alignment vertical="center"/>
    </xf>
    <xf numFmtId="171" fontId="5" fillId="2" borderId="0" xfId="6" applyNumberFormat="1" applyBorder="1">
      <alignment vertical="center"/>
    </xf>
    <xf numFmtId="171" fontId="5" fillId="2" borderId="17" xfId="6" applyNumberFormat="1" applyBorder="1">
      <alignment vertical="center"/>
    </xf>
    <xf numFmtId="171" fontId="5" fillId="2" borderId="14" xfId="6" applyNumberFormat="1" applyBorder="1">
      <alignment vertical="center"/>
    </xf>
    <xf numFmtId="171" fontId="5" fillId="2" borderId="15" xfId="6" applyNumberFormat="1" applyBorder="1">
      <alignment vertical="center"/>
    </xf>
    <xf numFmtId="171" fontId="5" fillId="2" borderId="16" xfId="6" applyNumberFormat="1" applyBorder="1">
      <alignment vertical="center"/>
    </xf>
    <xf numFmtId="172" fontId="3" fillId="0" borderId="0" xfId="16" applyNumberFormat="1" applyBorder="1" applyAlignment="1">
      <alignment horizontal="right" vertical="center"/>
    </xf>
    <xf numFmtId="0" fontId="0" fillId="0" borderId="0" xfId="0" applyBorder="1"/>
    <xf numFmtId="0" fontId="0" fillId="0" borderId="10" xfId="0" applyBorder="1"/>
    <xf numFmtId="172" fontId="24" fillId="3" borderId="21" xfId="8" applyNumberFormat="1" applyFont="1" applyBorder="1"/>
    <xf numFmtId="0" fontId="11" fillId="0" borderId="10" xfId="0" applyFont="1" applyBorder="1"/>
    <xf numFmtId="0" fontId="11" fillId="0" borderId="0" xfId="0" applyFont="1" applyBorder="1"/>
    <xf numFmtId="1" fontId="11" fillId="0" borderId="12" xfId="0" applyNumberFormat="1" applyFont="1" applyBorder="1"/>
    <xf numFmtId="1" fontId="11" fillId="0" borderId="0" xfId="0" applyNumberFormat="1" applyFont="1" applyBorder="1"/>
    <xf numFmtId="171" fontId="11" fillId="0" borderId="0" xfId="0" applyNumberFormat="1" applyFont="1" applyBorder="1"/>
    <xf numFmtId="171" fontId="0" fillId="0" borderId="0" xfId="0" applyNumberFormat="1" applyBorder="1"/>
    <xf numFmtId="172" fontId="0" fillId="0" borderId="12" xfId="0" applyNumberFormat="1" applyBorder="1"/>
    <xf numFmtId="172" fontId="0" fillId="0" borderId="0" xfId="0" applyNumberFormat="1" applyBorder="1"/>
    <xf numFmtId="171" fontId="4" fillId="0" borderId="12" xfId="16" applyNumberFormat="1" applyFont="1" applyBorder="1" applyAlignment="1">
      <alignment horizontal="right" vertical="center"/>
    </xf>
    <xf numFmtId="1" fontId="11" fillId="0" borderId="17" xfId="0" applyNumberFormat="1" applyFont="1" applyBorder="1"/>
    <xf numFmtId="172" fontId="24" fillId="3" borderId="22" xfId="8" applyNumberFormat="1" applyFont="1" applyBorder="1"/>
    <xf numFmtId="172" fontId="0" fillId="0" borderId="17" xfId="0" applyNumberFormat="1" applyBorder="1"/>
    <xf numFmtId="171" fontId="4" fillId="0" borderId="17" xfId="16" applyNumberFormat="1" applyFont="1" applyBorder="1" applyAlignment="1">
      <alignment horizontal="right" vertical="center"/>
    </xf>
    <xf numFmtId="176" fontId="0" fillId="0" borderId="0" xfId="0" applyNumberFormat="1"/>
    <xf numFmtId="171" fontId="0" fillId="0" borderId="10" xfId="0" applyNumberFormat="1" applyBorder="1"/>
    <xf numFmtId="0" fontId="21" fillId="0" borderId="10" xfId="0" applyFont="1" applyBorder="1"/>
    <xf numFmtId="171" fontId="21" fillId="0" borderId="10" xfId="0" applyNumberFormat="1" applyFont="1" applyBorder="1"/>
    <xf numFmtId="0" fontId="0" fillId="0" borderId="18" xfId="0" applyBorder="1"/>
    <xf numFmtId="172" fontId="5" fillId="2" borderId="22" xfId="6" applyNumberFormat="1" applyBorder="1">
      <alignment vertical="center"/>
    </xf>
    <xf numFmtId="0" fontId="3" fillId="0" borderId="7" xfId="16">
      <alignment horizontal="left" vertical="center"/>
    </xf>
    <xf numFmtId="172" fontId="26" fillId="0" borderId="0" xfId="0" applyNumberFormat="1" applyFont="1"/>
    <xf numFmtId="0" fontId="21" fillId="0" borderId="0" xfId="0" applyFont="1" applyBorder="1"/>
    <xf numFmtId="171" fontId="21" fillId="0" borderId="0" xfId="0" applyNumberFormat="1" applyFont="1" applyBorder="1"/>
    <xf numFmtId="171" fontId="3" fillId="0" borderId="7" xfId="16" applyNumberFormat="1" applyAlignment="1">
      <alignment horizontal="right" vertical="center"/>
    </xf>
    <xf numFmtId="0" fontId="21" fillId="0" borderId="23" xfId="0" applyFont="1" applyBorder="1"/>
    <xf numFmtId="171" fontId="21" fillId="0" borderId="23" xfId="0" applyNumberFormat="1" applyFont="1" applyBorder="1"/>
    <xf numFmtId="0" fontId="0" fillId="0" borderId="0" xfId="0" applyFont="1" applyBorder="1"/>
    <xf numFmtId="176" fontId="0" fillId="0" borderId="0" xfId="0" applyNumberFormat="1" applyFont="1" applyBorder="1"/>
    <xf numFmtId="0" fontId="0" fillId="0" borderId="23" xfId="0" applyBorder="1"/>
    <xf numFmtId="0" fontId="21" fillId="0" borderId="0" xfId="0" applyFont="1" applyFill="1" applyBorder="1"/>
  </cellXfs>
  <cellStyles count="18">
    <cellStyle name="Cross-sheet link" xfId="1" xr:uid="{91B9B8E2-AE7E-BA4E-87BD-148C2B2B5AA7}"/>
    <cellStyle name="External link" xfId="2" xr:uid="{476A162E-75EB-E444-BBC0-EA71DB0A9DF9}"/>
    <cellStyle name="Final total" xfId="3" xr:uid="{F9119983-1D3A-8345-A476-716D3D1D6E35}"/>
    <cellStyle name="Final total 2" xfId="4" xr:uid="{5726F679-4ADA-B940-B0E0-EC3ECD597483}"/>
    <cellStyle name="Formula" xfId="5" xr:uid="{5339182F-D39F-0349-BA56-2256325D0E45}"/>
    <cellStyle name="hardcode2" xfId="6" xr:uid="{965C7A6E-9143-AB4A-BC15-6060E16999AF}"/>
    <cellStyle name="Hardcoded Input" xfId="7" xr:uid="{7C9E1A1C-65CC-BF42-9259-A0CE93A78465}"/>
    <cellStyle name="Highlighted row" xfId="8" xr:uid="{E00CC178-1DD3-EF40-90C7-3A18E8C9F0B5}"/>
    <cellStyle name="Indented row label" xfId="9" xr:uid="{DC46CF4B-44A8-6640-B2C7-79C23A6DDDFB}"/>
    <cellStyle name="indented submetric" xfId="10" xr:uid="{84F1BD3A-527C-2548-8EB5-EDE600C4BB3C}"/>
    <cellStyle name="Key Output" xfId="11" xr:uid="{6FE0D312-42CC-8540-9BCA-9BBD468DF5D9}"/>
    <cellStyle name="Main Title" xfId="12" xr:uid="{87603C7A-87E4-3941-B759-AFC080295059}"/>
    <cellStyle name="Normal" xfId="0" builtinId="0" customBuiltin="1"/>
    <cellStyle name="Normal 2" xfId="13" xr:uid="{3871498A-3DCF-E64C-89A6-D36840294205}"/>
    <cellStyle name="Section Header" xfId="14" xr:uid="{AE6479CB-D5A9-BC44-AA81-3B196C57F8E0}"/>
    <cellStyle name="SECTIONHEADER" xfId="15" xr:uid="{B2861717-BC95-AB46-B3FD-9D7630CD4EB3}"/>
    <cellStyle name="Subtotal" xfId="16" xr:uid="{36F22F74-D8F0-064B-B329-99D30A62025E}"/>
    <cellStyle name="Warning check" xfId="17" xr:uid="{F82F56CB-758E-D241-AB31-5F4D2AA41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1B51-7F2B-D546-8005-23E767981EFE}">
  <dimension ref="B1:I36"/>
  <sheetViews>
    <sheetView showGridLines="0" workbookViewId="0">
      <selection activeCell="C37" sqref="C37"/>
    </sheetView>
  </sheetViews>
  <sheetFormatPr baseColWidth="10" defaultRowHeight="13" x14ac:dyDescent="0.15"/>
  <cols>
    <col min="1" max="1" width="5.1640625" customWidth="1"/>
    <col min="2" max="2" width="30.6640625" customWidth="1"/>
    <col min="3" max="3" width="17.83203125" customWidth="1"/>
  </cols>
  <sheetData>
    <row r="1" spans="2:9" ht="22" x14ac:dyDescent="0.3">
      <c r="B1" s="40" t="s">
        <v>18</v>
      </c>
      <c r="D1" s="41"/>
      <c r="E1" s="41"/>
      <c r="F1" s="41"/>
      <c r="G1" s="41"/>
      <c r="H1" s="41"/>
    </row>
    <row r="2" spans="2:9" ht="16" x14ac:dyDescent="0.15">
      <c r="B2" s="42" t="s">
        <v>33</v>
      </c>
      <c r="C2" s="43"/>
      <c r="D2" s="43"/>
      <c r="E2" s="43"/>
      <c r="F2" s="43"/>
      <c r="G2" s="43"/>
      <c r="H2" s="43"/>
    </row>
    <row r="3" spans="2:9" ht="16" x14ac:dyDescent="0.15">
      <c r="B3" s="44"/>
      <c r="C3" s="77" t="s">
        <v>1</v>
      </c>
      <c r="D3" s="45" t="s">
        <v>2</v>
      </c>
      <c r="E3" s="90"/>
      <c r="F3" s="90"/>
      <c r="G3" s="90"/>
      <c r="H3" s="90"/>
    </row>
    <row r="4" spans="2:9" x14ac:dyDescent="0.15">
      <c r="B4" s="46" t="s">
        <v>3</v>
      </c>
      <c r="C4" s="47" t="s">
        <v>34</v>
      </c>
      <c r="D4" s="48" t="s">
        <v>35</v>
      </c>
      <c r="E4" s="47" t="s">
        <v>36</v>
      </c>
      <c r="F4" s="47" t="s">
        <v>37</v>
      </c>
      <c r="G4" s="47" t="s">
        <v>38</v>
      </c>
      <c r="H4" s="47" t="s">
        <v>39</v>
      </c>
    </row>
    <row r="5" spans="2:9" x14ac:dyDescent="0.15">
      <c r="B5" s="41" t="s">
        <v>4</v>
      </c>
      <c r="C5" s="41" t="s">
        <v>5</v>
      </c>
      <c r="D5" s="49" t="s">
        <v>5</v>
      </c>
      <c r="E5" s="107" t="s">
        <v>5</v>
      </c>
      <c r="F5" s="107" t="s">
        <v>5</v>
      </c>
      <c r="G5" s="107" t="s">
        <v>5</v>
      </c>
      <c r="H5" s="50" t="s">
        <v>5</v>
      </c>
    </row>
    <row r="6" spans="2:9" x14ac:dyDescent="0.15">
      <c r="B6" s="41" t="s">
        <v>6</v>
      </c>
      <c r="C6" s="41" t="s">
        <v>23</v>
      </c>
      <c r="D6" s="55" t="s">
        <v>23</v>
      </c>
      <c r="E6" s="108" t="s">
        <v>23</v>
      </c>
      <c r="F6" s="108" t="s">
        <v>23</v>
      </c>
      <c r="G6" s="108" t="s">
        <v>23</v>
      </c>
      <c r="H6" s="56" t="s">
        <v>23</v>
      </c>
    </row>
    <row r="7" spans="2:9" x14ac:dyDescent="0.15">
      <c r="B7" s="41" t="s">
        <v>9</v>
      </c>
      <c r="C7" s="79">
        <f>C22*C23*C24*C25 / 1000</f>
        <v>144</v>
      </c>
      <c r="D7" s="109">
        <f t="shared" ref="D7:H7" si="0">D22*D23*D24*D25 / 1000</f>
        <v>275.18400000000003</v>
      </c>
      <c r="E7" s="110">
        <f t="shared" si="0"/>
        <v>405</v>
      </c>
      <c r="F7" s="110">
        <f t="shared" si="0"/>
        <v>514.08000000000004</v>
      </c>
      <c r="G7" s="110">
        <f t="shared" si="0"/>
        <v>615.26400000000001</v>
      </c>
      <c r="H7" s="116">
        <f t="shared" si="0"/>
        <v>686.88</v>
      </c>
    </row>
    <row r="8" spans="2:9" x14ac:dyDescent="0.15">
      <c r="B8" s="52" t="s">
        <v>11</v>
      </c>
      <c r="C8" s="53"/>
      <c r="D8" s="54">
        <f>D7/C7 -1</f>
        <v>0.91100000000000025</v>
      </c>
      <c r="E8" s="106">
        <f t="shared" ref="E8:H8" si="1">E7/D7 -1</f>
        <v>0.47174254317111441</v>
      </c>
      <c r="F8" s="106">
        <f t="shared" si="1"/>
        <v>0.26933333333333342</v>
      </c>
      <c r="G8" s="106">
        <f t="shared" si="1"/>
        <v>0.19682539682539679</v>
      </c>
      <c r="H8" s="117">
        <f t="shared" si="1"/>
        <v>0.11639881416757691</v>
      </c>
      <c r="I8" s="104"/>
    </row>
    <row r="9" spans="2:9" x14ac:dyDescent="0.15">
      <c r="B9" s="41"/>
      <c r="C9" s="41"/>
      <c r="D9" s="55"/>
      <c r="E9" s="108"/>
      <c r="F9" s="108"/>
      <c r="G9" s="108"/>
      <c r="H9" s="56"/>
    </row>
    <row r="10" spans="2:9" x14ac:dyDescent="0.15">
      <c r="B10" s="41" t="s">
        <v>24</v>
      </c>
      <c r="C10" s="51">
        <f>C7*C26</f>
        <v>144</v>
      </c>
      <c r="D10" s="57">
        <f>D7*D26</f>
        <v>266.92848000000004</v>
      </c>
      <c r="E10" s="111">
        <f>E7*E26</f>
        <v>380.7</v>
      </c>
      <c r="F10" s="111">
        <f>F7*F26</f>
        <v>472.95360000000005</v>
      </c>
      <c r="G10" s="111">
        <f>G7*G26</f>
        <v>553.73760000000004</v>
      </c>
      <c r="H10" s="58">
        <f>H7*H26</f>
        <v>604.45439999999996</v>
      </c>
    </row>
    <row r="11" spans="2:9" x14ac:dyDescent="0.15">
      <c r="B11" s="41" t="s">
        <v>12</v>
      </c>
      <c r="C11" s="51">
        <f>C7-C10</f>
        <v>0</v>
      </c>
      <c r="D11" s="13">
        <f>D7-D10</f>
        <v>8.25551999999999</v>
      </c>
      <c r="E11" s="112">
        <f t="shared" ref="E11:H11" si="2">E7-E10</f>
        <v>24.300000000000011</v>
      </c>
      <c r="F11" s="112">
        <f t="shared" si="2"/>
        <v>41.12639999999999</v>
      </c>
      <c r="G11" s="112">
        <f t="shared" si="2"/>
        <v>61.526399999999967</v>
      </c>
      <c r="H11" s="17">
        <f t="shared" si="2"/>
        <v>82.425600000000031</v>
      </c>
    </row>
    <row r="12" spans="2:9" x14ac:dyDescent="0.15">
      <c r="B12" s="80" t="s">
        <v>43</v>
      </c>
      <c r="C12" s="51">
        <f>C29</f>
        <v>0</v>
      </c>
      <c r="D12" s="57">
        <f t="shared" ref="D12:H12" si="3">D29</f>
        <v>20</v>
      </c>
      <c r="E12" s="111">
        <f t="shared" si="3"/>
        <v>40</v>
      </c>
      <c r="F12" s="111">
        <f t="shared" si="3"/>
        <v>60</v>
      </c>
      <c r="G12" s="111">
        <f t="shared" si="3"/>
        <v>75</v>
      </c>
      <c r="H12" s="58">
        <f t="shared" si="3"/>
        <v>90</v>
      </c>
    </row>
    <row r="13" spans="2:9" x14ac:dyDescent="0.15">
      <c r="B13" s="80" t="s">
        <v>25</v>
      </c>
      <c r="C13" s="51">
        <f>C30</f>
        <v>3</v>
      </c>
      <c r="D13" s="57">
        <f t="shared" ref="D13:H13" si="4">D30</f>
        <v>3</v>
      </c>
      <c r="E13" s="111">
        <f t="shared" si="4"/>
        <v>3.1</v>
      </c>
      <c r="F13" s="111">
        <f t="shared" si="4"/>
        <v>3.1</v>
      </c>
      <c r="G13" s="111">
        <f t="shared" si="4"/>
        <v>3.2</v>
      </c>
      <c r="H13" s="58">
        <f t="shared" si="4"/>
        <v>3.2</v>
      </c>
    </row>
    <row r="14" spans="2:9" x14ac:dyDescent="0.15">
      <c r="B14" s="80" t="s">
        <v>26</v>
      </c>
      <c r="C14" s="51">
        <f>C31</f>
        <v>2</v>
      </c>
      <c r="D14" s="57">
        <f t="shared" ref="D14:H14" si="5">D31</f>
        <v>2.4</v>
      </c>
      <c r="E14" s="111">
        <f t="shared" si="5"/>
        <v>2.7</v>
      </c>
      <c r="F14" s="111">
        <f t="shared" si="5"/>
        <v>2.8</v>
      </c>
      <c r="G14" s="111">
        <f t="shared" si="5"/>
        <v>2.9</v>
      </c>
      <c r="H14" s="58">
        <f t="shared" si="5"/>
        <v>3</v>
      </c>
    </row>
    <row r="15" spans="2:9" x14ac:dyDescent="0.15">
      <c r="B15" s="35" t="s">
        <v>15</v>
      </c>
      <c r="C15" s="51">
        <f>C11-SUM(C12:C14)</f>
        <v>-5</v>
      </c>
      <c r="D15" s="57">
        <f t="shared" ref="D15:H15" si="6">D11-SUM(D12:D14)</f>
        <v>-17.144480000000009</v>
      </c>
      <c r="E15" s="111">
        <f t="shared" si="6"/>
        <v>-21.499999999999993</v>
      </c>
      <c r="F15" s="111">
        <f t="shared" si="6"/>
        <v>-24.773600000000016</v>
      </c>
      <c r="G15" s="111">
        <f t="shared" si="6"/>
        <v>-19.573600000000042</v>
      </c>
      <c r="H15" s="58">
        <f t="shared" si="6"/>
        <v>-13.774399999999972</v>
      </c>
    </row>
    <row r="16" spans="2:9" x14ac:dyDescent="0.15">
      <c r="B16" s="93" t="s">
        <v>16</v>
      </c>
      <c r="C16" s="20">
        <f>C15/C7</f>
        <v>-3.4722222222222224E-2</v>
      </c>
      <c r="D16" s="113">
        <f t="shared" ref="D16:H16" si="7">D15/D7</f>
        <v>-6.2301878016163756E-2</v>
      </c>
      <c r="E16" s="114">
        <f t="shared" si="7"/>
        <v>-5.3086419753086402E-2</v>
      </c>
      <c r="F16" s="114">
        <f t="shared" si="7"/>
        <v>-4.8190164954870864E-2</v>
      </c>
      <c r="G16" s="114">
        <f t="shared" si="7"/>
        <v>-3.1813335413741158E-2</v>
      </c>
      <c r="H16" s="118">
        <f t="shared" si="7"/>
        <v>-2.0053575588166742E-2</v>
      </c>
    </row>
    <row r="17" spans="2:8" x14ac:dyDescent="0.15">
      <c r="B17" s="82" t="s">
        <v>41</v>
      </c>
      <c r="C17" s="91">
        <f>C32</f>
        <v>0.6</v>
      </c>
      <c r="D17" s="115">
        <f>D32</f>
        <v>0.6</v>
      </c>
      <c r="E17" s="91">
        <f>E32</f>
        <v>0.6</v>
      </c>
      <c r="F17" s="91">
        <f>F32</f>
        <v>0.6</v>
      </c>
      <c r="G17" s="91">
        <f>G32</f>
        <v>0.6</v>
      </c>
      <c r="H17" s="119">
        <f>H32</f>
        <v>0</v>
      </c>
    </row>
    <row r="18" spans="2:8" x14ac:dyDescent="0.15">
      <c r="B18" s="59" t="s">
        <v>13</v>
      </c>
      <c r="C18" s="60">
        <f>C15-C17</f>
        <v>-5.6</v>
      </c>
      <c r="D18" s="61">
        <f t="shared" ref="D18:H18" si="8">D15-D17</f>
        <v>-17.74448000000001</v>
      </c>
      <c r="E18" s="60">
        <f t="shared" si="8"/>
        <v>-22.099999999999994</v>
      </c>
      <c r="F18" s="60">
        <f t="shared" si="8"/>
        <v>-25.373600000000017</v>
      </c>
      <c r="G18" s="60">
        <f t="shared" si="8"/>
        <v>-20.173600000000043</v>
      </c>
      <c r="H18" s="62">
        <f t="shared" si="8"/>
        <v>-13.774399999999972</v>
      </c>
    </row>
    <row r="19" spans="2:8" x14ac:dyDescent="0.15">
      <c r="B19" s="63" t="s">
        <v>14</v>
      </c>
      <c r="C19" s="103">
        <f>C18/C7</f>
        <v>-3.888888888888889E-2</v>
      </c>
      <c r="D19" s="65">
        <f>D18/D7</f>
        <v>-6.448223733938023E-2</v>
      </c>
      <c r="E19" s="64">
        <f>E18/E7</f>
        <v>-5.4567901234567888E-2</v>
      </c>
      <c r="F19" s="64">
        <f>F18/F7</f>
        <v>-4.9357298474945563E-2</v>
      </c>
      <c r="G19" s="64">
        <f>G18/G7</f>
        <v>-3.2788526551204109E-2</v>
      </c>
      <c r="H19" s="66">
        <f>H18/H7</f>
        <v>-2.0053575588166742E-2</v>
      </c>
    </row>
    <row r="20" spans="2:8" ht="16" x14ac:dyDescent="0.15">
      <c r="B20" s="42" t="s">
        <v>17</v>
      </c>
      <c r="C20" s="43"/>
      <c r="D20" s="43"/>
      <c r="E20" s="43"/>
      <c r="F20" s="43"/>
      <c r="G20" s="43"/>
      <c r="H20" s="43"/>
    </row>
    <row r="21" spans="2:8" x14ac:dyDescent="0.15">
      <c r="B21" s="70" t="s">
        <v>42</v>
      </c>
      <c r="C21" s="70"/>
      <c r="D21" s="70"/>
      <c r="E21" s="70"/>
      <c r="F21" s="70"/>
      <c r="G21" s="70"/>
      <c r="H21" s="70"/>
    </row>
    <row r="22" spans="2:8" x14ac:dyDescent="0.15">
      <c r="B22" s="41" t="s">
        <v>27</v>
      </c>
      <c r="C22" s="51">
        <v>10</v>
      </c>
      <c r="D22" s="84">
        <v>18</v>
      </c>
      <c r="E22" s="85">
        <v>25</v>
      </c>
      <c r="F22" s="85">
        <v>30</v>
      </c>
      <c r="G22" s="85">
        <v>34</v>
      </c>
      <c r="H22" s="86">
        <v>36</v>
      </c>
    </row>
    <row r="23" spans="2:8" x14ac:dyDescent="0.15">
      <c r="B23" s="73" t="s">
        <v>28</v>
      </c>
      <c r="C23" s="51">
        <v>25</v>
      </c>
      <c r="D23" s="87">
        <v>26</v>
      </c>
      <c r="E23" s="89">
        <v>27</v>
      </c>
      <c r="F23" s="89">
        <v>28</v>
      </c>
      <c r="G23" s="89">
        <v>29</v>
      </c>
      <c r="H23" s="88">
        <v>30</v>
      </c>
    </row>
    <row r="24" spans="2:8" x14ac:dyDescent="0.15">
      <c r="B24" s="73" t="s">
        <v>29</v>
      </c>
      <c r="C24" s="51">
        <v>12</v>
      </c>
      <c r="D24" s="87">
        <v>12</v>
      </c>
      <c r="E24" s="89">
        <v>12</v>
      </c>
      <c r="F24" s="89">
        <v>12</v>
      </c>
      <c r="G24" s="89">
        <v>12</v>
      </c>
      <c r="H24" s="88">
        <v>12</v>
      </c>
    </row>
    <row r="25" spans="2:8" x14ac:dyDescent="0.15">
      <c r="B25" s="73" t="s">
        <v>22</v>
      </c>
      <c r="C25" s="51">
        <v>48</v>
      </c>
      <c r="D25" s="87">
        <v>49</v>
      </c>
      <c r="E25" s="89">
        <v>50</v>
      </c>
      <c r="F25" s="89">
        <v>51</v>
      </c>
      <c r="G25" s="89">
        <v>52</v>
      </c>
      <c r="H25" s="88">
        <v>53</v>
      </c>
    </row>
    <row r="26" spans="2:8" x14ac:dyDescent="0.15">
      <c r="B26" s="73" t="s">
        <v>32</v>
      </c>
      <c r="C26" s="72">
        <v>1</v>
      </c>
      <c r="D26" s="74">
        <v>0.97</v>
      </c>
      <c r="E26" s="75">
        <v>0.94</v>
      </c>
      <c r="F26" s="75">
        <v>0.92</v>
      </c>
      <c r="G26" s="75">
        <v>0.9</v>
      </c>
      <c r="H26" s="76">
        <v>0.88</v>
      </c>
    </row>
    <row r="28" spans="2:8" x14ac:dyDescent="0.15">
      <c r="B28" s="70" t="s">
        <v>31</v>
      </c>
      <c r="C28" s="83"/>
      <c r="D28" s="71"/>
      <c r="E28" s="71"/>
      <c r="F28" s="71"/>
      <c r="G28" s="71"/>
      <c r="H28" s="71"/>
    </row>
    <row r="29" spans="2:8" x14ac:dyDescent="0.15">
      <c r="B29" t="s">
        <v>44</v>
      </c>
      <c r="C29" s="51">
        <v>0</v>
      </c>
      <c r="D29" s="94">
        <v>20</v>
      </c>
      <c r="E29" s="95">
        <v>40</v>
      </c>
      <c r="F29" s="95">
        <v>60</v>
      </c>
      <c r="G29" s="95">
        <v>75</v>
      </c>
      <c r="H29" s="96">
        <v>90</v>
      </c>
    </row>
    <row r="30" spans="2:8" x14ac:dyDescent="0.15">
      <c r="B30" t="s">
        <v>30</v>
      </c>
      <c r="C30" s="51">
        <v>3</v>
      </c>
      <c r="D30" s="97">
        <v>3</v>
      </c>
      <c r="E30" s="98">
        <v>3.1</v>
      </c>
      <c r="F30" s="98">
        <v>3.1</v>
      </c>
      <c r="G30" s="98">
        <v>3.2</v>
      </c>
      <c r="H30" s="99">
        <v>3.2</v>
      </c>
    </row>
    <row r="31" spans="2:8" x14ac:dyDescent="0.15">
      <c r="B31" t="s">
        <v>26</v>
      </c>
      <c r="C31" s="51">
        <v>2</v>
      </c>
      <c r="D31" s="97">
        <v>2.4</v>
      </c>
      <c r="E31" s="98">
        <v>2.7</v>
      </c>
      <c r="F31" s="98">
        <v>2.8</v>
      </c>
      <c r="G31" s="98">
        <v>2.9</v>
      </c>
      <c r="H31" s="99">
        <v>3</v>
      </c>
    </row>
    <row r="32" spans="2:8" x14ac:dyDescent="0.15">
      <c r="B32" t="s">
        <v>40</v>
      </c>
      <c r="C32" s="81">
        <v>0.6</v>
      </c>
      <c r="D32" s="100">
        <v>0.6</v>
      </c>
      <c r="E32" s="101">
        <v>0.6</v>
      </c>
      <c r="F32" s="101">
        <v>0.6</v>
      </c>
      <c r="G32" s="101">
        <v>0.6</v>
      </c>
      <c r="H32" s="102">
        <v>0</v>
      </c>
    </row>
    <row r="33" spans="2:8" x14ac:dyDescent="0.15">
      <c r="B33" s="67"/>
      <c r="C33" s="68"/>
      <c r="D33" s="69"/>
      <c r="E33" s="69"/>
      <c r="F33" s="69"/>
      <c r="G33" s="69"/>
      <c r="H33" s="69"/>
    </row>
    <row r="35" spans="2:8" x14ac:dyDescent="0.15">
      <c r="B35" s="124" t="s">
        <v>51</v>
      </c>
      <c r="C35" s="125">
        <v>0.45</v>
      </c>
    </row>
    <row r="36" spans="2:8" x14ac:dyDescent="0.15">
      <c r="B36" s="124" t="s">
        <v>53</v>
      </c>
      <c r="C36" s="125">
        <v>0.15</v>
      </c>
    </row>
  </sheetData>
  <mergeCells count="1"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306D-2BED-CD42-A7A3-9977AF3B7150}">
  <dimension ref="B2:G35"/>
  <sheetViews>
    <sheetView showGridLines="0" tabSelected="1" workbookViewId="0">
      <selection activeCell="C43" sqref="C43"/>
    </sheetView>
  </sheetViews>
  <sheetFormatPr baseColWidth="10" defaultRowHeight="13" x14ac:dyDescent="0.15"/>
  <cols>
    <col min="2" max="2" width="40" customWidth="1"/>
    <col min="3" max="3" width="10.33203125" customWidth="1"/>
    <col min="4" max="4" width="8.5" customWidth="1"/>
    <col min="5" max="6" width="10.33203125" customWidth="1"/>
    <col min="10" max="10" width="32" customWidth="1"/>
    <col min="11" max="11" width="16" customWidth="1"/>
  </cols>
  <sheetData>
    <row r="2" spans="2:7" x14ac:dyDescent="0.15">
      <c r="B2" s="43" t="s">
        <v>57</v>
      </c>
      <c r="C2" s="43"/>
      <c r="D2" s="43"/>
      <c r="E2" s="43"/>
      <c r="F2" s="43"/>
      <c r="G2" s="43"/>
    </row>
    <row r="3" spans="2:7" x14ac:dyDescent="0.15">
      <c r="B3" s="70"/>
      <c r="C3" s="70" t="s">
        <v>35</v>
      </c>
      <c r="D3" s="70" t="s">
        <v>36</v>
      </c>
      <c r="E3" s="70" t="s">
        <v>37</v>
      </c>
      <c r="F3" s="70" t="s">
        <v>38</v>
      </c>
      <c r="G3" s="70" t="s">
        <v>39</v>
      </c>
    </row>
    <row r="4" spans="2:7" x14ac:dyDescent="0.15">
      <c r="B4" t="s">
        <v>55</v>
      </c>
      <c r="C4">
        <f>Sheet3!D22-Sheet3!C22</f>
        <v>8</v>
      </c>
      <c r="D4">
        <f>Sheet3!E22-Sheet3!D22</f>
        <v>7</v>
      </c>
      <c r="E4">
        <f>Sheet3!F22-Sheet3!E22</f>
        <v>5</v>
      </c>
      <c r="F4">
        <f>Sheet3!G22-Sheet3!F22</f>
        <v>4</v>
      </c>
      <c r="G4">
        <f>Sheet3!H22-Sheet3!G22</f>
        <v>2</v>
      </c>
    </row>
    <row r="5" spans="2:7" x14ac:dyDescent="0.15">
      <c r="B5" t="s">
        <v>52</v>
      </c>
      <c r="C5" s="15">
        <f>Sheet3!C7/Sheet3!C22</f>
        <v>14.4</v>
      </c>
      <c r="D5" s="15">
        <f>Sheet3!D7/Sheet3!D22</f>
        <v>15.288000000000002</v>
      </c>
      <c r="E5" s="15">
        <f>Sheet3!E7/Sheet3!E22</f>
        <v>16.2</v>
      </c>
      <c r="F5" s="15">
        <f>Sheet3!F7/Sheet3!F22</f>
        <v>17.136000000000003</v>
      </c>
      <c r="G5" s="15">
        <f>Sheet3!G7/Sheet3!G22</f>
        <v>18.096</v>
      </c>
    </row>
    <row r="6" spans="2:7" x14ac:dyDescent="0.15">
      <c r="B6" s="105" t="s">
        <v>56</v>
      </c>
      <c r="C6" s="121">
        <f>C5*C4</f>
        <v>115.2</v>
      </c>
      <c r="D6" s="121">
        <f>D5*D4</f>
        <v>107.01600000000002</v>
      </c>
      <c r="E6" s="121">
        <f>E5*E4</f>
        <v>81</v>
      </c>
      <c r="F6" s="121">
        <f>F5*F4</f>
        <v>68.544000000000011</v>
      </c>
      <c r="G6" s="121">
        <f>G5*G4</f>
        <v>36.192</v>
      </c>
    </row>
    <row r="7" spans="2:7" ht="7" customHeight="1" x14ac:dyDescent="0.15">
      <c r="B7" s="104"/>
      <c r="C7" s="112"/>
      <c r="D7" s="112"/>
      <c r="E7" s="112"/>
      <c r="F7" s="112"/>
      <c r="G7" s="112"/>
    </row>
    <row r="8" spans="2:7" x14ac:dyDescent="0.15">
      <c r="B8" s="92" t="s">
        <v>58</v>
      </c>
      <c r="C8" s="127">
        <f>$C$25</f>
        <v>0.45</v>
      </c>
      <c r="D8" s="127">
        <f>$C$25</f>
        <v>0.45</v>
      </c>
      <c r="E8" s="127">
        <f>$C$25</f>
        <v>0.45</v>
      </c>
      <c r="F8" s="127">
        <f>$C$25</f>
        <v>0.45</v>
      </c>
      <c r="G8" s="127">
        <f>$C$25</f>
        <v>0.45</v>
      </c>
    </row>
    <row r="9" spans="2:7" x14ac:dyDescent="0.15">
      <c r="B9" s="122" t="s">
        <v>59</v>
      </c>
      <c r="C9" s="123">
        <f>C8*C6</f>
        <v>51.84</v>
      </c>
      <c r="D9" s="123">
        <f t="shared" ref="D9:G9" si="0">D8*D6</f>
        <v>48.15720000000001</v>
      </c>
      <c r="E9" s="123">
        <f t="shared" si="0"/>
        <v>36.450000000000003</v>
      </c>
      <c r="F9" s="123">
        <f t="shared" si="0"/>
        <v>30.844800000000006</v>
      </c>
      <c r="G9" s="123">
        <f t="shared" si="0"/>
        <v>16.2864</v>
      </c>
    </row>
    <row r="10" spans="2:7" x14ac:dyDescent="0.15">
      <c r="B10" t="s">
        <v>53</v>
      </c>
      <c r="C10" s="20">
        <f>Sheet3!C36</f>
        <v>0.15</v>
      </c>
      <c r="D10" s="20">
        <f>Sheet3!D36</f>
        <v>0</v>
      </c>
      <c r="E10" s="20">
        <f>Sheet3!E36</f>
        <v>0</v>
      </c>
      <c r="F10" s="20">
        <f>Sheet3!F36</f>
        <v>0</v>
      </c>
      <c r="G10" s="20">
        <f>Sheet3!G36</f>
        <v>0</v>
      </c>
    </row>
    <row r="11" spans="2:7" x14ac:dyDescent="0.15">
      <c r="B11" s="126" t="s">
        <v>60</v>
      </c>
      <c r="C11" s="130">
        <f>C9/(1+C10)</f>
        <v>45.078260869565227</v>
      </c>
      <c r="D11" s="130">
        <f>D9/(1+D10)^2</f>
        <v>48.15720000000001</v>
      </c>
      <c r="E11" s="130">
        <f>E9/(1+E10)^3</f>
        <v>36.450000000000003</v>
      </c>
      <c r="F11" s="130">
        <f>F9/(1+F10)^4</f>
        <v>30.844800000000006</v>
      </c>
      <c r="G11" s="130">
        <f>G9/(1+G10)^5</f>
        <v>16.2864</v>
      </c>
    </row>
    <row r="13" spans="2:7" ht="14" thickBot="1" x14ac:dyDescent="0.2">
      <c r="B13" s="131" t="s">
        <v>61</v>
      </c>
      <c r="C13" s="131"/>
      <c r="D13" s="131"/>
      <c r="E13" s="131"/>
      <c r="F13" s="131"/>
      <c r="G13" s="132">
        <f>SUM(C11:G11)</f>
        <v>176.81666086956528</v>
      </c>
    </row>
    <row r="14" spans="2:7" ht="14" thickTop="1" x14ac:dyDescent="0.15">
      <c r="B14" s="128"/>
      <c r="C14" s="128"/>
      <c r="D14" s="128"/>
      <c r="E14" s="128"/>
      <c r="F14" s="128"/>
      <c r="G14" s="129"/>
    </row>
    <row r="15" spans="2:7" x14ac:dyDescent="0.15">
      <c r="B15" s="128"/>
      <c r="C15" s="128"/>
      <c r="D15" s="128"/>
      <c r="E15" s="128"/>
      <c r="F15" s="128"/>
      <c r="G15" s="129"/>
    </row>
    <row r="16" spans="2:7" x14ac:dyDescent="0.15">
      <c r="B16" s="128"/>
      <c r="C16" s="128"/>
      <c r="D16" s="128"/>
      <c r="E16" s="128"/>
      <c r="F16" s="128"/>
      <c r="G16" s="129"/>
    </row>
    <row r="17" spans="2:7" x14ac:dyDescent="0.15">
      <c r="B17" s="128"/>
      <c r="C17" s="128"/>
      <c r="D17" s="128"/>
      <c r="E17" s="128"/>
      <c r="F17" s="128"/>
      <c r="G17" s="129"/>
    </row>
    <row r="19" spans="2:7" x14ac:dyDescent="0.15">
      <c r="B19" s="43" t="s">
        <v>45</v>
      </c>
      <c r="C19" s="43"/>
      <c r="D19" s="43"/>
      <c r="E19" s="43"/>
      <c r="F19" s="43"/>
      <c r="G19" s="43"/>
    </row>
    <row r="20" spans="2:7" x14ac:dyDescent="0.15">
      <c r="B20" s="70"/>
      <c r="C20" s="70" t="s">
        <v>47</v>
      </c>
      <c r="D20" s="70" t="s">
        <v>48</v>
      </c>
      <c r="E20" s="70"/>
      <c r="F20" s="70"/>
      <c r="G20" s="70"/>
    </row>
    <row r="21" spans="2:7" x14ac:dyDescent="0.15">
      <c r="B21" t="s">
        <v>62</v>
      </c>
      <c r="C21">
        <v>10</v>
      </c>
      <c r="D21" t="s">
        <v>50</v>
      </c>
    </row>
    <row r="22" spans="2:7" x14ac:dyDescent="0.15">
      <c r="B22" t="s">
        <v>63</v>
      </c>
      <c r="C22" s="15">
        <f>Sheet3!C7/10</f>
        <v>14.4</v>
      </c>
      <c r="D22" t="s">
        <v>50</v>
      </c>
    </row>
    <row r="23" spans="2:7" x14ac:dyDescent="0.15">
      <c r="B23" s="133" t="s">
        <v>64</v>
      </c>
      <c r="C23" s="134">
        <f>C22*C21</f>
        <v>144</v>
      </c>
      <c r="D23" s="133"/>
      <c r="E23" s="133"/>
      <c r="F23" s="133"/>
      <c r="G23" s="133"/>
    </row>
    <row r="24" spans="2:7" x14ac:dyDescent="0.15">
      <c r="B24" s="133"/>
      <c r="C24" s="134"/>
      <c r="D24" s="133"/>
      <c r="E24" s="133"/>
      <c r="F24" s="133"/>
      <c r="G24" s="133"/>
    </row>
    <row r="25" spans="2:7" x14ac:dyDescent="0.15">
      <c r="B25" s="92" t="s">
        <v>46</v>
      </c>
      <c r="C25" s="127">
        <f>Sheet3!C35</f>
        <v>0.45</v>
      </c>
      <c r="D25" t="s">
        <v>68</v>
      </c>
    </row>
    <row r="26" spans="2:7" x14ac:dyDescent="0.15">
      <c r="B26" s="105" t="s">
        <v>65</v>
      </c>
      <c r="C26" s="121">
        <f>C25*C23</f>
        <v>64.8</v>
      </c>
      <c r="D26" s="105"/>
      <c r="E26" s="105"/>
      <c r="F26" s="105"/>
      <c r="G26" s="105"/>
    </row>
    <row r="27" spans="2:7" x14ac:dyDescent="0.15">
      <c r="B27" s="104"/>
      <c r="C27" s="112"/>
      <c r="D27" s="104"/>
      <c r="E27" s="104"/>
      <c r="F27" s="104"/>
      <c r="G27" s="104"/>
    </row>
    <row r="28" spans="2:7" x14ac:dyDescent="0.15">
      <c r="B28" s="136" t="s">
        <v>54</v>
      </c>
      <c r="C28" s="120">
        <f>PV(Sheet3!C36, 5, -C26)</f>
        <v>217.21965035113874</v>
      </c>
      <c r="D28" s="104"/>
      <c r="E28" s="104"/>
      <c r="F28" s="104"/>
      <c r="G28" s="104"/>
    </row>
    <row r="29" spans="2:7" x14ac:dyDescent="0.15">
      <c r="B29" s="35" t="s">
        <v>57</v>
      </c>
      <c r="C29" s="15">
        <f>G13</f>
        <v>176.81666086956528</v>
      </c>
    </row>
    <row r="30" spans="2:7" x14ac:dyDescent="0.15">
      <c r="B30" s="35"/>
      <c r="C30" s="15"/>
    </row>
    <row r="31" spans="2:7" x14ac:dyDescent="0.15">
      <c r="B31" s="122" t="s">
        <v>49</v>
      </c>
      <c r="C31" s="121">
        <f>C29+C28</f>
        <v>394.03631122070402</v>
      </c>
      <c r="D31" s="105"/>
      <c r="E31" s="105"/>
      <c r="F31" s="105"/>
      <c r="G31" s="105"/>
    </row>
    <row r="32" spans="2:7" x14ac:dyDescent="0.15">
      <c r="B32" t="s">
        <v>67</v>
      </c>
      <c r="C32">
        <v>60</v>
      </c>
    </row>
    <row r="34" spans="2:7" ht="14" thickBot="1" x14ac:dyDescent="0.2">
      <c r="B34" s="131" t="s">
        <v>66</v>
      </c>
      <c r="C34" s="132">
        <f>C31-C32</f>
        <v>334.03631122070402</v>
      </c>
      <c r="D34" s="135"/>
      <c r="E34" s="135"/>
      <c r="F34" s="135"/>
      <c r="G34" s="135"/>
    </row>
    <row r="35" spans="2:7" ht="14" thickTop="1" x14ac:dyDescent="0.15"/>
  </sheetData>
  <pageMargins left="0.7" right="0.7" top="0.75" bottom="0.75" header="0.3" footer="0.3"/>
  <ignoredErrors>
    <ignoredError sqref="C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5496-3D47-0745-9EBB-88244443315D}">
  <dimension ref="A1:W29"/>
  <sheetViews>
    <sheetView workbookViewId="0">
      <selection activeCell="C26" sqref="C26"/>
    </sheetView>
  </sheetViews>
  <sheetFormatPr baseColWidth="10" defaultRowHeight="13" x14ac:dyDescent="0.15"/>
  <cols>
    <col min="1" max="1" width="50.33203125" customWidth="1"/>
  </cols>
  <sheetData>
    <row r="1" spans="1:23" ht="16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15">
      <c r="A2" s="5"/>
      <c r="B2" s="78" t="s">
        <v>1</v>
      </c>
      <c r="C2" s="37" t="s">
        <v>2</v>
      </c>
      <c r="D2" s="38"/>
      <c r="E2" s="38"/>
      <c r="F2" s="38"/>
      <c r="G2" s="38"/>
      <c r="H2" s="38"/>
      <c r="I2" s="38"/>
      <c r="J2" s="38"/>
      <c r="K2" s="38"/>
      <c r="L2" s="39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15">
      <c r="A3" s="6" t="s">
        <v>3</v>
      </c>
      <c r="B3" s="7"/>
      <c r="C3" s="8">
        <v>45657</v>
      </c>
      <c r="D3" s="9">
        <v>46022</v>
      </c>
      <c r="E3" s="9">
        <v>46387</v>
      </c>
      <c r="F3" s="9">
        <v>46752</v>
      </c>
      <c r="G3" s="9">
        <v>47118</v>
      </c>
      <c r="H3" s="9">
        <v>47483</v>
      </c>
      <c r="I3" s="9">
        <v>11323</v>
      </c>
      <c r="J3" s="9">
        <v>11688</v>
      </c>
      <c r="K3" s="9">
        <v>12054</v>
      </c>
      <c r="L3" s="10">
        <v>12419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15">
      <c r="A4" s="11" t="s">
        <v>4</v>
      </c>
      <c r="B4" s="4" t="s">
        <v>5</v>
      </c>
      <c r="C4" s="11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12" t="s">
        <v>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15">
      <c r="A5" s="11" t="s">
        <v>6</v>
      </c>
      <c r="B5" s="4" t="s">
        <v>7</v>
      </c>
      <c r="C5" s="11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12" t="s">
        <v>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15">
      <c r="A6" s="11" t="s">
        <v>19</v>
      </c>
      <c r="B6" s="4">
        <v>10</v>
      </c>
      <c r="C6" s="11"/>
      <c r="D6" s="4"/>
      <c r="E6" s="4"/>
      <c r="F6" s="4"/>
      <c r="G6" s="4"/>
      <c r="H6" s="4"/>
      <c r="I6" s="4"/>
      <c r="J6" s="4"/>
      <c r="K6" s="4"/>
      <c r="L6" s="12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15">
      <c r="A7" s="11" t="s">
        <v>20</v>
      </c>
      <c r="B7" s="4">
        <v>10</v>
      </c>
      <c r="C7" s="11"/>
      <c r="D7" s="4"/>
      <c r="E7" s="4"/>
      <c r="F7" s="4"/>
      <c r="G7" s="4"/>
      <c r="H7" s="4"/>
      <c r="I7" s="4"/>
      <c r="J7" s="4"/>
      <c r="K7" s="4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15">
      <c r="A8" s="11" t="s">
        <v>21</v>
      </c>
      <c r="B8">
        <v>20</v>
      </c>
      <c r="C8" s="14">
        <v>439.2</v>
      </c>
      <c r="D8" s="16">
        <v>474.4</v>
      </c>
      <c r="E8" s="16">
        <v>512.29999999999995</v>
      </c>
      <c r="F8" s="16">
        <v>548.20000000000005</v>
      </c>
      <c r="G8" s="16">
        <v>583.79999999999995</v>
      </c>
      <c r="H8" s="16">
        <v>618.79999999999995</v>
      </c>
      <c r="I8" s="16">
        <v>643.6</v>
      </c>
      <c r="J8" s="16">
        <v>667.4</v>
      </c>
      <c r="K8" s="16">
        <v>690.8</v>
      </c>
      <c r="L8" s="18">
        <v>708.7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15">
      <c r="A9" s="11" t="s">
        <v>22</v>
      </c>
      <c r="B9">
        <v>43</v>
      </c>
      <c r="C9" s="14">
        <v>36.4</v>
      </c>
      <c r="D9" s="16">
        <v>37.1</v>
      </c>
      <c r="E9" s="16">
        <v>38.200000000000003</v>
      </c>
      <c r="F9" s="16">
        <v>39.4</v>
      </c>
      <c r="G9" s="16">
        <v>40.6</v>
      </c>
      <c r="H9" s="16">
        <v>41.8</v>
      </c>
      <c r="I9" s="16">
        <v>43</v>
      </c>
      <c r="J9" s="16">
        <v>44.3</v>
      </c>
      <c r="K9" s="16">
        <v>45.6</v>
      </c>
      <c r="L9" s="18">
        <v>47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15">
      <c r="A10" s="25" t="s">
        <v>8</v>
      </c>
      <c r="B10" s="21">
        <v>-0.19</v>
      </c>
      <c r="C10" s="22">
        <v>-0.05</v>
      </c>
      <c r="D10" s="23">
        <v>0.02</v>
      </c>
      <c r="E10" s="23">
        <v>0.03</v>
      </c>
      <c r="F10" s="23">
        <v>0.03</v>
      </c>
      <c r="G10" s="23">
        <v>0.03</v>
      </c>
      <c r="H10" s="23">
        <v>0.03</v>
      </c>
      <c r="I10" s="23">
        <v>0.03</v>
      </c>
      <c r="J10" s="23">
        <v>0.03</v>
      </c>
      <c r="K10" s="23">
        <v>0.03</v>
      </c>
      <c r="L10" s="24">
        <v>0.03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4" x14ac:dyDescent="0.15">
      <c r="A11" s="26" t="s">
        <v>9</v>
      </c>
      <c r="B11" s="27">
        <v>448.8</v>
      </c>
      <c r="C11" s="28">
        <v>475.6</v>
      </c>
      <c r="D11" s="29">
        <v>511.5</v>
      </c>
      <c r="E11" s="29">
        <v>550.5</v>
      </c>
      <c r="F11" s="29">
        <v>587.6</v>
      </c>
      <c r="G11" s="29">
        <v>624.4</v>
      </c>
      <c r="H11" s="29">
        <v>660.6</v>
      </c>
      <c r="I11" s="29">
        <v>686.6</v>
      </c>
      <c r="J11" s="29">
        <v>711.7</v>
      </c>
      <c r="K11" s="29">
        <v>736.4</v>
      </c>
      <c r="L11" s="30">
        <v>755.7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15">
      <c r="A12" s="31" t="s">
        <v>10</v>
      </c>
      <c r="B12" s="32">
        <v>3.9100000000000003E-2</v>
      </c>
      <c r="C12" s="33">
        <v>5.9799999999999999E-2</v>
      </c>
      <c r="D12" s="32">
        <v>7.5399999999999995E-2</v>
      </c>
      <c r="E12" s="32">
        <v>7.6399999999999996E-2</v>
      </c>
      <c r="F12" s="32">
        <v>6.7199999999999996E-2</v>
      </c>
      <c r="G12" s="32">
        <v>6.2700000000000006E-2</v>
      </c>
      <c r="H12" s="32">
        <v>5.8099999999999999E-2</v>
      </c>
      <c r="I12" s="32">
        <v>3.9399999999999998E-2</v>
      </c>
      <c r="J12" s="32">
        <v>3.6600000000000001E-2</v>
      </c>
      <c r="K12" s="32">
        <v>3.4700000000000002E-2</v>
      </c>
      <c r="L12" s="34">
        <v>2.6200000000000001E-2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15">
      <c r="A20" s="4"/>
      <c r="B20" s="4"/>
      <c r="C20" s="4"/>
      <c r="D20" s="4"/>
      <c r="E20" s="4"/>
      <c r="F20" s="4"/>
      <c r="G20" s="4"/>
      <c r="H20" s="35"/>
      <c r="I20" s="35"/>
      <c r="J20" s="35"/>
      <c r="K20" s="35"/>
      <c r="L20" s="35"/>
      <c r="M20" s="35"/>
      <c r="N20" s="35"/>
      <c r="O20" s="35"/>
      <c r="P20" s="4"/>
      <c r="Q20" s="4"/>
      <c r="R20" s="4"/>
      <c r="S20" s="4"/>
      <c r="T20" s="4"/>
      <c r="U20" s="4"/>
      <c r="V20" s="4"/>
      <c r="W20" s="4"/>
    </row>
    <row r="21" spans="1:23" x14ac:dyDescent="0.15">
      <c r="A21" s="4"/>
      <c r="B21" s="4"/>
      <c r="C21" s="4"/>
      <c r="D21" s="4"/>
      <c r="E21" s="4"/>
      <c r="F21" s="4"/>
      <c r="G21" s="4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15">
      <c r="A22" s="4"/>
      <c r="B22" s="4"/>
      <c r="C22" s="4"/>
      <c r="D22" s="4"/>
      <c r="E22" s="4"/>
      <c r="F22" s="4"/>
      <c r="G22" s="4"/>
      <c r="H22" s="35"/>
      <c r="L22" s="19"/>
      <c r="M22" s="19"/>
      <c r="N22" s="19"/>
      <c r="O22" s="19"/>
      <c r="P22" s="4"/>
      <c r="Q22" s="4"/>
      <c r="R22" s="4"/>
      <c r="S22" s="4"/>
      <c r="T22" s="4"/>
      <c r="U22" s="4"/>
      <c r="V22" s="4"/>
      <c r="W22" s="4"/>
    </row>
    <row r="23" spans="1:23" x14ac:dyDescent="0.15">
      <c r="A23" s="4"/>
      <c r="B23" s="4"/>
      <c r="C23" s="4"/>
      <c r="D23" s="4"/>
      <c r="E23" s="4"/>
      <c r="F23" s="4"/>
      <c r="G23" s="4"/>
      <c r="H23" s="35"/>
      <c r="I23" s="4"/>
      <c r="J23" s="4"/>
      <c r="K23" s="4"/>
      <c r="L23" s="4"/>
      <c r="M23" s="4"/>
      <c r="N23" s="4"/>
      <c r="O23" s="35"/>
      <c r="P23" s="35"/>
      <c r="Q23" s="35"/>
      <c r="R23" s="35"/>
      <c r="S23" s="35"/>
      <c r="T23" s="35"/>
      <c r="U23" s="35"/>
      <c r="V23" s="35"/>
      <c r="W23" s="35"/>
    </row>
    <row r="24" spans="1:23" x14ac:dyDescent="0.15">
      <c r="A24" s="4"/>
      <c r="B24" s="4"/>
      <c r="C24" s="4"/>
      <c r="D24" s="4"/>
      <c r="E24" s="4"/>
      <c r="F24" s="4"/>
      <c r="G24" s="4"/>
      <c r="H24" s="35"/>
      <c r="L24" s="19"/>
      <c r="M24" s="19"/>
      <c r="N24" s="19"/>
      <c r="O24" s="35"/>
    </row>
    <row r="25" spans="1:23" x14ac:dyDescent="0.15">
      <c r="A25" s="4"/>
      <c r="B25" s="4"/>
      <c r="C25" s="4"/>
      <c r="D25" s="4"/>
      <c r="E25" s="4"/>
      <c r="F25" s="4"/>
      <c r="G25" s="4"/>
      <c r="H25" s="35"/>
      <c r="O25" s="35"/>
      <c r="P25" s="19"/>
      <c r="Q25" s="19"/>
      <c r="R25" s="19"/>
      <c r="S25" s="19"/>
      <c r="T25" s="19"/>
      <c r="U25" s="19"/>
      <c r="V25" s="19"/>
      <c r="W25" s="19"/>
    </row>
    <row r="26" spans="1:23" x14ac:dyDescent="0.15">
      <c r="A26" s="4"/>
      <c r="B26" s="4"/>
      <c r="C26" s="4"/>
      <c r="D26" s="4"/>
      <c r="E26" s="4"/>
      <c r="F26" s="4"/>
      <c r="G26" s="4"/>
      <c r="H26" s="35"/>
      <c r="L26" s="19"/>
      <c r="M26" s="19"/>
      <c r="N26" s="19"/>
      <c r="O26" s="35"/>
    </row>
    <row r="27" spans="1:23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5"/>
      <c r="P27" s="19"/>
      <c r="Q27" s="19"/>
      <c r="R27" s="19"/>
      <c r="S27" s="19"/>
      <c r="T27" s="19"/>
      <c r="U27" s="19"/>
      <c r="V27" s="19"/>
      <c r="W27" s="19"/>
    </row>
    <row r="28" spans="1:23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35"/>
      <c r="P28" s="35"/>
      <c r="Q28" s="35"/>
      <c r="R28" s="35"/>
      <c r="S28" s="35"/>
      <c r="T28" s="35"/>
      <c r="U28" s="35"/>
      <c r="V28" s="35"/>
      <c r="W28" s="35"/>
    </row>
    <row r="29" spans="1:23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35"/>
      <c r="P29" s="36"/>
      <c r="Q29" s="36"/>
      <c r="R29" s="36"/>
      <c r="S29" s="36"/>
      <c r="T29" s="36"/>
      <c r="U29" s="36"/>
      <c r="V29" s="36"/>
      <c r="W29" s="36"/>
    </row>
  </sheetData>
  <mergeCells count="1"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Hassan</dc:creator>
  <cp:lastModifiedBy>Evan Hassan</cp:lastModifiedBy>
  <dcterms:created xsi:type="dcterms:W3CDTF">2026-07-19T20:56:53Z</dcterms:created>
  <dcterms:modified xsi:type="dcterms:W3CDTF">2026-07-20T00:00:31Z</dcterms:modified>
</cp:coreProperties>
</file>