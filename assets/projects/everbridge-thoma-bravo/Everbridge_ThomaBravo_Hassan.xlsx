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Investment_Banking_Projects/"/>
    </mc:Choice>
  </mc:AlternateContent>
  <xr:revisionPtr revIDLastSave="0" documentId="8_{CEAF4A8B-3200-CA49-8E0D-75A7CEE36143}" xr6:coauthVersionLast="47" xr6:coauthVersionMax="47" xr10:uidLastSave="{00000000-0000-0000-0000-000000000000}"/>
  <bookViews>
    <workbookView xWindow="0" yWindow="760" windowWidth="30240" windowHeight="18880" activeTab="4" xr2:uid="{D36273C3-985A-5746-8C86-AC65FAB014BE}"/>
  </bookViews>
  <sheets>
    <sheet name="Consolidated Financials" sheetId="2" r:id="rId1"/>
    <sheet name="Revenue Build" sheetId="3" r:id="rId2"/>
    <sheet name="DCF Valuation" sheetId="6" r:id="rId3"/>
    <sheet name="LBO Assumptions" sheetId="7" r:id="rId4"/>
    <sheet name="LBO Model" sheetId="9" r:id="rId5"/>
    <sheet name="raw financials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J4" i="2"/>
  <c r="K4" i="2"/>
  <c r="L4" i="2" s="1"/>
  <c r="M4" i="2" s="1"/>
  <c r="N4" i="2" s="1"/>
  <c r="O4" i="2" s="1"/>
  <c r="P4" i="2" s="1"/>
  <c r="I4" i="2"/>
  <c r="H4" i="2"/>
  <c r="C10" i="9"/>
  <c r="C34" i="9"/>
  <c r="F7" i="9"/>
  <c r="M2" i="9"/>
  <c r="N2" i="9" s="1"/>
  <c r="O2" i="9" s="1"/>
  <c r="P2" i="9" s="1"/>
  <c r="K4" i="9"/>
  <c r="K5" i="9" s="1"/>
  <c r="K6" i="9" s="1"/>
  <c r="K7" i="9" s="1"/>
  <c r="K8" i="9" s="1"/>
  <c r="K9" i="9" s="1"/>
  <c r="C7" i="9"/>
  <c r="C8" i="9" s="1"/>
  <c r="I7" i="9" s="1"/>
  <c r="D19" i="7"/>
  <c r="D19" i="9" s="1"/>
  <c r="E19" i="7"/>
  <c r="E19" i="9" s="1"/>
  <c r="F19" i="7"/>
  <c r="F19" i="9" s="1"/>
  <c r="G19" i="7"/>
  <c r="G19" i="9" s="1"/>
  <c r="C19" i="7"/>
  <c r="C19" i="9" s="1"/>
  <c r="D21" i="7"/>
  <c r="D21" i="9" s="1"/>
  <c r="E21" i="7"/>
  <c r="E21" i="9" s="1"/>
  <c r="F21" i="7"/>
  <c r="F21" i="9" s="1"/>
  <c r="G21" i="7"/>
  <c r="G21" i="9" s="1"/>
  <c r="C21" i="7"/>
  <c r="C21" i="9" s="1"/>
  <c r="D24" i="9"/>
  <c r="E24" i="9"/>
  <c r="F24" i="9"/>
  <c r="G24" i="9"/>
  <c r="D25" i="9"/>
  <c r="E25" i="9"/>
  <c r="F25" i="9"/>
  <c r="G25" i="9"/>
  <c r="C24" i="9"/>
  <c r="C25" i="9"/>
  <c r="D16" i="9"/>
  <c r="E16" i="9" s="1"/>
  <c r="F16" i="9" s="1"/>
  <c r="G16" i="9" s="1"/>
  <c r="D23" i="7"/>
  <c r="D23" i="9" s="1"/>
  <c r="E23" i="7"/>
  <c r="E23" i="9" s="1"/>
  <c r="F23" i="7"/>
  <c r="F23" i="9" s="1"/>
  <c r="G23" i="7"/>
  <c r="G23" i="9" s="1"/>
  <c r="C23" i="7"/>
  <c r="C23" i="9" s="1"/>
  <c r="D20" i="7"/>
  <c r="D20" i="9" s="1"/>
  <c r="E20" i="7"/>
  <c r="E20" i="9" s="1"/>
  <c r="F20" i="7"/>
  <c r="F20" i="9" s="1"/>
  <c r="G20" i="7"/>
  <c r="G20" i="9" s="1"/>
  <c r="C20" i="7"/>
  <c r="C20" i="9" s="1"/>
  <c r="D18" i="7"/>
  <c r="D18" i="9" s="1"/>
  <c r="E18" i="7"/>
  <c r="E22" i="7" s="1"/>
  <c r="E22" i="9" s="1"/>
  <c r="F18" i="7"/>
  <c r="F18" i="9" s="1"/>
  <c r="G18" i="7"/>
  <c r="G22" i="7" s="1"/>
  <c r="G22" i="9" s="1"/>
  <c r="C18" i="7"/>
  <c r="C22" i="7" s="1"/>
  <c r="C22" i="9" s="1"/>
  <c r="C12" i="7"/>
  <c r="L20" i="6"/>
  <c r="K20" i="6"/>
  <c r="J20" i="6"/>
  <c r="I20" i="6"/>
  <c r="H20" i="6"/>
  <c r="G20" i="6"/>
  <c r="F20" i="6"/>
  <c r="E20" i="6"/>
  <c r="D20" i="6"/>
  <c r="C20" i="6"/>
  <c r="D23" i="6"/>
  <c r="E23" i="6" s="1"/>
  <c r="F23" i="6" s="1"/>
  <c r="G23" i="6" s="1"/>
  <c r="H23" i="6" s="1"/>
  <c r="I23" i="6" s="1"/>
  <c r="J23" i="6" s="1"/>
  <c r="K23" i="6" s="1"/>
  <c r="L23" i="6" s="1"/>
  <c r="F22" i="7" l="1"/>
  <c r="F22" i="9" s="1"/>
  <c r="G18" i="9"/>
  <c r="E18" i="9"/>
  <c r="C9" i="9"/>
  <c r="D22" i="7"/>
  <c r="D22" i="9" s="1"/>
  <c r="C18" i="9"/>
  <c r="I8" i="9"/>
  <c r="D28" i="2"/>
  <c r="E28" i="2"/>
  <c r="F28" i="2"/>
  <c r="G28" i="2"/>
  <c r="C28" i="2"/>
  <c r="D26" i="2"/>
  <c r="C29" i="2"/>
  <c r="O8" i="6"/>
  <c r="D12" i="6"/>
  <c r="E12" i="6"/>
  <c r="F12" i="6"/>
  <c r="G12" i="6"/>
  <c r="H12" i="6"/>
  <c r="I12" i="6"/>
  <c r="J12" i="6"/>
  <c r="K12" i="6"/>
  <c r="L12" i="6"/>
  <c r="C12" i="6"/>
  <c r="D6" i="6"/>
  <c r="E6" i="6"/>
  <c r="F6" i="6"/>
  <c r="G6" i="6"/>
  <c r="H6" i="6"/>
  <c r="I6" i="6"/>
  <c r="J6" i="6"/>
  <c r="K6" i="6"/>
  <c r="L6" i="6"/>
  <c r="C6" i="6"/>
  <c r="D29" i="2"/>
  <c r="D27" i="2"/>
  <c r="E24" i="2" s="1"/>
  <c r="E26" i="2" s="1"/>
  <c r="E29" i="2" s="1"/>
  <c r="D24" i="2"/>
  <c r="D48" i="2"/>
  <c r="E48" i="2" s="1"/>
  <c r="F48" i="2" s="1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D5" i="6"/>
  <c r="E5" i="6" s="1"/>
  <c r="F5" i="6" s="1"/>
  <c r="G5" i="6" s="1"/>
  <c r="H5" i="6" s="1"/>
  <c r="I5" i="6" s="1"/>
  <c r="J5" i="6" s="1"/>
  <c r="K5" i="6" s="1"/>
  <c r="L5" i="6" s="1"/>
  <c r="O11" i="6" s="1"/>
  <c r="P46" i="2"/>
  <c r="Q46" i="2"/>
  <c r="O7" i="2"/>
  <c r="P7" i="2"/>
  <c r="Q7" i="2"/>
  <c r="O46" i="2"/>
  <c r="H7" i="2"/>
  <c r="C17" i="6" s="1"/>
  <c r="I7" i="2"/>
  <c r="I13" i="2" s="1"/>
  <c r="J7" i="2"/>
  <c r="J12" i="2" s="1"/>
  <c r="K7" i="2"/>
  <c r="K12" i="2" s="1"/>
  <c r="L7" i="2"/>
  <c r="G17" i="6" s="1"/>
  <c r="M7" i="2"/>
  <c r="N7" i="2"/>
  <c r="I46" i="2"/>
  <c r="J46" i="2"/>
  <c r="K46" i="2"/>
  <c r="L46" i="2"/>
  <c r="M46" i="2"/>
  <c r="N46" i="2"/>
  <c r="H46" i="2"/>
  <c r="C95" i="1"/>
  <c r="D95" i="1"/>
  <c r="E95" i="1"/>
  <c r="F95" i="1"/>
  <c r="B95" i="1"/>
  <c r="C98" i="1"/>
  <c r="D98" i="1"/>
  <c r="E98" i="1"/>
  <c r="F98" i="1"/>
  <c r="B98" i="1"/>
  <c r="D41" i="2"/>
  <c r="E41" i="2"/>
  <c r="F41" i="2"/>
  <c r="G41" i="2"/>
  <c r="C41" i="2"/>
  <c r="D40" i="2"/>
  <c r="E40" i="2"/>
  <c r="F40" i="2"/>
  <c r="G40" i="2"/>
  <c r="C40" i="2"/>
  <c r="D39" i="2"/>
  <c r="E39" i="2"/>
  <c r="F39" i="2"/>
  <c r="G39" i="2"/>
  <c r="C39" i="2"/>
  <c r="H8" i="3"/>
  <c r="I8" i="3" s="1"/>
  <c r="J8" i="3" s="1"/>
  <c r="K8" i="3" s="1"/>
  <c r="L8" i="3" s="1"/>
  <c r="M8" i="3" s="1"/>
  <c r="N8" i="3" s="1"/>
  <c r="O8" i="3" s="1"/>
  <c r="P8" i="3" s="1"/>
  <c r="Q8" i="3" s="1"/>
  <c r="H6" i="3"/>
  <c r="I6" i="3" s="1"/>
  <c r="J6" i="3" s="1"/>
  <c r="K6" i="3" s="1"/>
  <c r="L6" i="3" s="1"/>
  <c r="M6" i="3" s="1"/>
  <c r="N6" i="3" s="1"/>
  <c r="O6" i="3" s="1"/>
  <c r="P6" i="3" s="1"/>
  <c r="Q6" i="3" s="1"/>
  <c r="E7" i="3"/>
  <c r="F7" i="3"/>
  <c r="G7" i="3"/>
  <c r="D7" i="3"/>
  <c r="E9" i="3"/>
  <c r="F9" i="3"/>
  <c r="G9" i="3"/>
  <c r="D9" i="3"/>
  <c r="D11" i="3"/>
  <c r="G10" i="3"/>
  <c r="G11" i="3" s="1"/>
  <c r="F10" i="3"/>
  <c r="F11" i="3" s="1"/>
  <c r="E10" i="3"/>
  <c r="E11" i="3" s="1"/>
  <c r="D10" i="3"/>
  <c r="C10" i="3"/>
  <c r="H3" i="3"/>
  <c r="I3" i="3" s="1"/>
  <c r="J3" i="3" s="1"/>
  <c r="K3" i="3" s="1"/>
  <c r="L3" i="3" s="1"/>
  <c r="M3" i="3" s="1"/>
  <c r="N3" i="3" s="1"/>
  <c r="O3" i="3" s="1"/>
  <c r="P3" i="3" s="1"/>
  <c r="Q3" i="3" s="1"/>
  <c r="D42" i="2"/>
  <c r="E42" i="2"/>
  <c r="F42" i="2"/>
  <c r="G42" i="2"/>
  <c r="C42" i="2"/>
  <c r="D38" i="2"/>
  <c r="E38" i="2"/>
  <c r="F38" i="2"/>
  <c r="G38" i="2"/>
  <c r="C38" i="2"/>
  <c r="D19" i="2"/>
  <c r="D21" i="2" s="1"/>
  <c r="D22" i="2" s="1"/>
  <c r="E19" i="2"/>
  <c r="E20" i="2" s="1"/>
  <c r="F19" i="2"/>
  <c r="F20" i="2" s="1"/>
  <c r="G19" i="2"/>
  <c r="G20" i="2" s="1"/>
  <c r="C19" i="2"/>
  <c r="C20" i="2" s="1"/>
  <c r="E8" i="2"/>
  <c r="F8" i="2"/>
  <c r="G8" i="2"/>
  <c r="D8" i="2"/>
  <c r="E27" i="2" l="1"/>
  <c r="F24" i="2" s="1"/>
  <c r="G25" i="2"/>
  <c r="F25" i="2"/>
  <c r="C25" i="2"/>
  <c r="M8" i="2"/>
  <c r="C26" i="2"/>
  <c r="E25" i="2"/>
  <c r="D25" i="2"/>
  <c r="P8" i="2"/>
  <c r="H8" i="2"/>
  <c r="O16" i="2"/>
  <c r="N8" i="2"/>
  <c r="H13" i="2"/>
  <c r="O41" i="2"/>
  <c r="O14" i="2" s="1"/>
  <c r="J19" i="6" s="1"/>
  <c r="Q8" i="2"/>
  <c r="H12" i="2"/>
  <c r="P41" i="2"/>
  <c r="P14" i="2" s="1"/>
  <c r="K19" i="6" s="1"/>
  <c r="P16" i="2"/>
  <c r="L11" i="6"/>
  <c r="H11" i="6"/>
  <c r="H17" i="6"/>
  <c r="L17" i="6"/>
  <c r="K17" i="6"/>
  <c r="J11" i="6"/>
  <c r="Q41" i="2"/>
  <c r="I11" i="6"/>
  <c r="L8" i="2"/>
  <c r="F11" i="6"/>
  <c r="K8" i="2"/>
  <c r="E11" i="6"/>
  <c r="E17" i="6"/>
  <c r="O13" i="2"/>
  <c r="J8" i="2"/>
  <c r="D11" i="6"/>
  <c r="D17" i="6"/>
  <c r="P13" i="2"/>
  <c r="K11" i="6"/>
  <c r="P12" i="2"/>
  <c r="J17" i="6"/>
  <c r="O8" i="2"/>
  <c r="I17" i="6"/>
  <c r="G11" i="6"/>
  <c r="F17" i="6"/>
  <c r="O12" i="2"/>
  <c r="P10" i="2"/>
  <c r="P11" i="2" s="1"/>
  <c r="C11" i="6"/>
  <c r="O10" i="2"/>
  <c r="I12" i="2"/>
  <c r="L41" i="2"/>
  <c r="K13" i="2"/>
  <c r="J13" i="2"/>
  <c r="H41" i="2"/>
  <c r="H14" i="2" s="1"/>
  <c r="C19" i="6" s="1"/>
  <c r="K41" i="2"/>
  <c r="K14" i="2" s="1"/>
  <c r="F19" i="6" s="1"/>
  <c r="M41" i="2"/>
  <c r="J41" i="2"/>
  <c r="J14" i="2" s="1"/>
  <c r="E19" i="6" s="1"/>
  <c r="I41" i="2"/>
  <c r="I14" i="2" s="1"/>
  <c r="D19" i="6" s="1"/>
  <c r="N41" i="2"/>
  <c r="I8" i="2"/>
  <c r="D20" i="2"/>
  <c r="C21" i="2"/>
  <c r="C22" i="2" s="1"/>
  <c r="H38" i="2"/>
  <c r="H10" i="2" s="1"/>
  <c r="H11" i="2" s="1"/>
  <c r="G21" i="2"/>
  <c r="G22" i="2" s="1"/>
  <c r="F21" i="2"/>
  <c r="F22" i="2" s="1"/>
  <c r="H42" i="2"/>
  <c r="I16" i="2"/>
  <c r="J16" i="2"/>
  <c r="K16" i="2"/>
  <c r="E21" i="2"/>
  <c r="E22" i="2" s="1"/>
  <c r="N10" i="3"/>
  <c r="M10" i="3"/>
  <c r="J10" i="3"/>
  <c r="I10" i="3"/>
  <c r="L10" i="3"/>
  <c r="K10" i="3"/>
  <c r="K11" i="3" s="1"/>
  <c r="H10" i="3"/>
  <c r="H11" i="3" s="1"/>
  <c r="Q10" i="3"/>
  <c r="P10" i="3"/>
  <c r="O10" i="3"/>
  <c r="D30" i="9" l="1"/>
  <c r="G30" i="9"/>
  <c r="E30" i="9"/>
  <c r="C29" i="9"/>
  <c r="C26" i="9" s="1"/>
  <c r="C27" i="9" s="1"/>
  <c r="F30" i="9"/>
  <c r="I9" i="9"/>
  <c r="I11" i="9" s="1"/>
  <c r="F11" i="9" s="1"/>
  <c r="C30" i="9"/>
  <c r="F26" i="2"/>
  <c r="F27" i="2" s="1"/>
  <c r="G24" i="2" s="1"/>
  <c r="C27" i="2"/>
  <c r="P18" i="2"/>
  <c r="P19" i="2" s="1"/>
  <c r="K13" i="6" s="1"/>
  <c r="O18" i="2"/>
  <c r="O19" i="2" s="1"/>
  <c r="J13" i="6" s="1"/>
  <c r="O11" i="2"/>
  <c r="H18" i="2"/>
  <c r="H19" i="2" s="1"/>
  <c r="M16" i="2"/>
  <c r="N10" i="2"/>
  <c r="N11" i="2" s="1"/>
  <c r="N14" i="2"/>
  <c r="I19" i="6" s="1"/>
  <c r="N13" i="2"/>
  <c r="N12" i="2"/>
  <c r="L13" i="2"/>
  <c r="L12" i="2"/>
  <c r="L14" i="2"/>
  <c r="G19" i="6" s="1"/>
  <c r="O11" i="3"/>
  <c r="Q16" i="2"/>
  <c r="L16" i="2"/>
  <c r="N16" i="2"/>
  <c r="M10" i="2"/>
  <c r="M11" i="2" s="1"/>
  <c r="M14" i="2"/>
  <c r="H19" i="6" s="1"/>
  <c r="M13" i="2"/>
  <c r="M12" i="2"/>
  <c r="H16" i="2"/>
  <c r="I38" i="2"/>
  <c r="I10" i="2" s="1"/>
  <c r="L11" i="3"/>
  <c r="I11" i="3"/>
  <c r="J11" i="3"/>
  <c r="M11" i="3"/>
  <c r="N11" i="3"/>
  <c r="P11" i="3"/>
  <c r="Q11" i="3"/>
  <c r="C31" i="9" l="1"/>
  <c r="C32" i="9" s="1"/>
  <c r="D29" i="9" s="1"/>
  <c r="D26" i="9" s="1"/>
  <c r="D27" i="9" s="1"/>
  <c r="D31" i="9" s="1"/>
  <c r="D32" i="9" s="1"/>
  <c r="E29" i="9" s="1"/>
  <c r="E26" i="9" s="1"/>
  <c r="E27" i="9" s="1"/>
  <c r="E31" i="9" s="1"/>
  <c r="E32" i="9" s="1"/>
  <c r="F29" i="9" s="1"/>
  <c r="F26" i="9" s="1"/>
  <c r="F27" i="9" s="1"/>
  <c r="F31" i="9" s="1"/>
  <c r="F32" i="9" s="1"/>
  <c r="G29" i="9" s="1"/>
  <c r="G26" i="9" s="1"/>
  <c r="G27" i="9" s="1"/>
  <c r="G31" i="9" s="1"/>
  <c r="G32" i="9" s="1"/>
  <c r="C35" i="9" s="1"/>
  <c r="O20" i="2"/>
  <c r="H25" i="2"/>
  <c r="C13" i="6"/>
  <c r="G26" i="2"/>
  <c r="G27" i="2" s="1"/>
  <c r="H24" i="2" s="1"/>
  <c r="H26" i="2" s="1"/>
  <c r="H28" i="2" s="1"/>
  <c r="H29" i="2" s="1"/>
  <c r="C16" i="6" s="1"/>
  <c r="F29" i="2"/>
  <c r="H27" i="2"/>
  <c r="I24" i="2" s="1"/>
  <c r="I26" i="2" s="1"/>
  <c r="I28" i="2" s="1"/>
  <c r="O21" i="2"/>
  <c r="O22" i="2" s="1"/>
  <c r="O25" i="2"/>
  <c r="P20" i="2"/>
  <c r="P25" i="2"/>
  <c r="P21" i="2"/>
  <c r="P22" i="2" s="1"/>
  <c r="I11" i="2"/>
  <c r="I18" i="2"/>
  <c r="I19" i="2" s="1"/>
  <c r="H20" i="2"/>
  <c r="H21" i="2"/>
  <c r="N18" i="2"/>
  <c r="N19" i="2" s="1"/>
  <c r="I13" i="6" s="1"/>
  <c r="M18" i="2"/>
  <c r="M19" i="2" s="1"/>
  <c r="Q10" i="2"/>
  <c r="Q11" i="2" s="1"/>
  <c r="Q12" i="2"/>
  <c r="Q14" i="2"/>
  <c r="L19" i="6" s="1"/>
  <c r="Q13" i="2"/>
  <c r="J38" i="2"/>
  <c r="J10" i="2" s="1"/>
  <c r="C37" i="9" l="1"/>
  <c r="C38" i="9"/>
  <c r="I25" i="2"/>
  <c r="D13" i="6"/>
  <c r="M25" i="2"/>
  <c r="H13" i="6"/>
  <c r="G29" i="2"/>
  <c r="I29" i="2"/>
  <c r="D16" i="6" s="1"/>
  <c r="I27" i="2"/>
  <c r="J24" i="2" s="1"/>
  <c r="N20" i="2"/>
  <c r="N25" i="2"/>
  <c r="H22" i="2"/>
  <c r="J14" i="6"/>
  <c r="K14" i="6"/>
  <c r="I21" i="2"/>
  <c r="I20" i="2"/>
  <c r="N21" i="2"/>
  <c r="J11" i="2"/>
  <c r="J18" i="2"/>
  <c r="J19" i="2" s="1"/>
  <c r="Q18" i="2"/>
  <c r="Q19" i="2" s="1"/>
  <c r="M20" i="2"/>
  <c r="M21" i="2"/>
  <c r="K38" i="2"/>
  <c r="K10" i="2" s="1"/>
  <c r="K18" i="2" s="1"/>
  <c r="K19" i="2" s="1"/>
  <c r="J25" i="2" l="1"/>
  <c r="E13" i="6"/>
  <c r="J26" i="2"/>
  <c r="J28" i="2" s="1"/>
  <c r="Q25" i="2"/>
  <c r="L13" i="6"/>
  <c r="K25" i="2"/>
  <c r="F13" i="6"/>
  <c r="J29" i="2"/>
  <c r="E16" i="6" s="1"/>
  <c r="J27" i="2"/>
  <c r="K24" i="2" s="1"/>
  <c r="K26" i="2" s="1"/>
  <c r="K28" i="2" s="1"/>
  <c r="N22" i="2"/>
  <c r="M22" i="2"/>
  <c r="C14" i="6"/>
  <c r="C21" i="6"/>
  <c r="C24" i="6" s="1"/>
  <c r="I22" i="2"/>
  <c r="J20" i="2"/>
  <c r="J21" i="2"/>
  <c r="K20" i="2"/>
  <c r="K21" i="2"/>
  <c r="Q21" i="2"/>
  <c r="Q20" i="2"/>
  <c r="K11" i="2"/>
  <c r="L38" i="2"/>
  <c r="K29" i="2" l="1"/>
  <c r="F16" i="6" s="1"/>
  <c r="K27" i="2"/>
  <c r="L24" i="2" s="1"/>
  <c r="J22" i="2"/>
  <c r="D21" i="6"/>
  <c r="D24" i="6" s="1"/>
  <c r="D14" i="6"/>
  <c r="H14" i="6"/>
  <c r="Q22" i="2"/>
  <c r="K22" i="2"/>
  <c r="I14" i="6"/>
  <c r="L10" i="2"/>
  <c r="L18" i="2" s="1"/>
  <c r="L19" i="2" s="1"/>
  <c r="L25" i="2" l="1"/>
  <c r="G13" i="6"/>
  <c r="L26" i="2"/>
  <c r="L28" i="2" s="1"/>
  <c r="L29" i="2" s="1"/>
  <c r="G16" i="6" s="1"/>
  <c r="F21" i="6"/>
  <c r="F24" i="6" s="1"/>
  <c r="F14" i="6"/>
  <c r="L14" i="6"/>
  <c r="E21" i="6"/>
  <c r="E24" i="6" s="1"/>
  <c r="E14" i="6"/>
  <c r="L20" i="2"/>
  <c r="L21" i="2"/>
  <c r="L11" i="2"/>
  <c r="L27" i="2" l="1"/>
  <c r="M24" i="2" s="1"/>
  <c r="M26" i="2" s="1"/>
  <c r="M28" i="2" s="1"/>
  <c r="M29" i="2" s="1"/>
  <c r="H16" i="6" s="1"/>
  <c r="H21" i="6" s="1"/>
  <c r="H24" i="6" s="1"/>
  <c r="L22" i="2"/>
  <c r="M27" i="2" l="1"/>
  <c r="N24" i="2" s="1"/>
  <c r="N26" i="2" s="1"/>
  <c r="N28" i="2" s="1"/>
  <c r="N29" i="2" s="1"/>
  <c r="I16" i="6" s="1"/>
  <c r="I21" i="6" s="1"/>
  <c r="I24" i="6" s="1"/>
  <c r="G21" i="6"/>
  <c r="G24" i="6" s="1"/>
  <c r="G14" i="6"/>
  <c r="N27" i="2" l="1"/>
  <c r="O24" i="2" s="1"/>
  <c r="O26" i="2" s="1"/>
  <c r="O28" i="2" s="1"/>
  <c r="O29" i="2" s="1"/>
  <c r="J16" i="6" s="1"/>
  <c r="J21" i="6" s="1"/>
  <c r="J24" i="6" s="1"/>
  <c r="O27" i="2" l="1"/>
  <c r="P24" i="2" s="1"/>
  <c r="P26" i="2" s="1"/>
  <c r="P28" i="2" s="1"/>
  <c r="P27" i="2" l="1"/>
  <c r="Q24" i="2" s="1"/>
  <c r="Q26" i="2" s="1"/>
  <c r="Q28" i="2" s="1"/>
  <c r="P29" i="2"/>
  <c r="K16" i="6" s="1"/>
  <c r="K21" i="6" s="1"/>
  <c r="K24" i="6" s="1"/>
  <c r="Q27" i="2" l="1"/>
  <c r="Q29" i="2"/>
  <c r="L16" i="6" s="1"/>
  <c r="L21" i="6" s="1"/>
  <c r="O6" i="6" l="1"/>
  <c r="O9" i="6" s="1"/>
  <c r="O12" i="6" s="1"/>
  <c r="O13" i="6" s="1"/>
  <c r="O17" i="6" s="1"/>
  <c r="L24" i="6"/>
  <c r="O20" i="6" l="1"/>
  <c r="O22" i="6" s="1"/>
</calcChain>
</file>

<file path=xl/sharedStrings.xml><?xml version="1.0" encoding="utf-8"?>
<sst xmlns="http://schemas.openxmlformats.org/spreadsheetml/2006/main" count="434" uniqueCount="270">
  <si>
    <t>Everbridge Inc (29978A10)</t>
  </si>
  <si>
    <t>Income Statement - Annual (As Originally Reported)</t>
  </si>
  <si>
    <t>FYE December</t>
  </si>
  <si>
    <t>Currency</t>
  </si>
  <si>
    <t>USD</t>
  </si>
  <si>
    <t>Scale</t>
  </si>
  <si>
    <t>Million</t>
  </si>
  <si>
    <t>Total Revenue</t>
  </si>
  <si>
    <t xml:space="preserve">    Cost of Revenue, Total</t>
  </si>
  <si>
    <t>Gross Profit</t>
  </si>
  <si>
    <t xml:space="preserve">    Selling/General/Admin. Expenses, Total</t>
  </si>
  <si>
    <t xml:space="preserve">    Research &amp; Development</t>
  </si>
  <si>
    <t xml:space="preserve">    Depreciation/Amortization</t>
  </si>
  <si>
    <t xml:space="preserve">    Interest Exp.(Inc.), Net-Operating, Total</t>
  </si>
  <si>
    <t xml:space="preserve">    Unusual Expense (Income)</t>
  </si>
  <si>
    <t xml:space="preserve">    Other Operating Expenses, Total</t>
  </si>
  <si>
    <t>Total Operating Expense</t>
  </si>
  <si>
    <t>Operating Income</t>
  </si>
  <si>
    <t xml:space="preserve">    Interest Inc.(Exp.),Net-Non-Op., Total</t>
  </si>
  <si>
    <t xml:space="preserve">    Gain (Loss) on Sale of Assets</t>
  </si>
  <si>
    <t xml:space="preserve">    Other, Net</t>
  </si>
  <si>
    <t>Net Income Before Taxes</t>
  </si>
  <si>
    <t xml:space="preserve">    Provision for Income Taxes</t>
  </si>
  <si>
    <t>Net Income</t>
  </si>
  <si>
    <t>Preferred Dividends</t>
  </si>
  <si>
    <t>Basic EPS Excluding Extraordinary Items</t>
  </si>
  <si>
    <t>Basic EPS Including Extraordinary Items</t>
  </si>
  <si>
    <t>Normalized Basic EPS</t>
  </si>
  <si>
    <t>Basic Weighted Average Shares</t>
  </si>
  <si>
    <t>Diluted EPS Excluding ExtraOrd Items</t>
  </si>
  <si>
    <t>Diluted EPS Including ExtraOrd Items</t>
  </si>
  <si>
    <t>Normalized Diluted EPS</t>
  </si>
  <si>
    <t>Diluted Weighted Average Shares</t>
  </si>
  <si>
    <t>Dividends Per Share</t>
  </si>
  <si>
    <t>Number of Employees</t>
  </si>
  <si>
    <t>Key Model Drivers</t>
  </si>
  <si>
    <t>Year-over-year growth</t>
  </si>
  <si>
    <t>-</t>
  </si>
  <si>
    <t>Operating Margin</t>
  </si>
  <si>
    <t>EBITDA</t>
  </si>
  <si>
    <t>EBITDA Margin</t>
  </si>
  <si>
    <t>Actual</t>
  </si>
  <si>
    <t>Forecast</t>
  </si>
  <si>
    <t>Cost of revenue (% Revenue)</t>
  </si>
  <si>
    <t>SG&amp;A (% of Revenue)</t>
  </si>
  <si>
    <t>R&amp;D (% of Revenue)</t>
  </si>
  <si>
    <t>D&amp;A (% of Revenue)</t>
  </si>
  <si>
    <t>Unusual Expense (% of Revenue)</t>
  </si>
  <si>
    <t>Cash Flow Drivers</t>
  </si>
  <si>
    <t>Revenue Drivers</t>
  </si>
  <si>
    <t>see revenue forecast build</t>
  </si>
  <si>
    <t>Revenue Build</t>
  </si>
  <si>
    <t>Subscription Services Revenue</t>
  </si>
  <si>
    <t>Professional Services, Software Licenses &amp; Other</t>
  </si>
  <si>
    <t>Year-over-year Growth</t>
  </si>
  <si>
    <t>2025E</t>
  </si>
  <si>
    <t>2026E</t>
  </si>
  <si>
    <t>2027E</t>
  </si>
  <si>
    <t>2028E</t>
  </si>
  <si>
    <t>2029E</t>
  </si>
  <si>
    <t>YoY Growth</t>
  </si>
  <si>
    <t>Year-over-year growth(%)</t>
  </si>
  <si>
    <t>CapEx(% of revenue)</t>
  </si>
  <si>
    <t>NWC (% of revenue)</t>
  </si>
  <si>
    <t>Balance Sheet - Annual (As Originally Reported)</t>
  </si>
  <si>
    <t xml:space="preserve">    Cash &amp; Equivalents</t>
  </si>
  <si>
    <t>Cash, Cash Equiv. &amp; Short Term Inv.</t>
  </si>
  <si>
    <t>Total Receivables, Net</t>
  </si>
  <si>
    <t>Total Inventory</t>
  </si>
  <si>
    <t>Prepaid Expenses</t>
  </si>
  <si>
    <t>Other Current Assets, Total</t>
  </si>
  <si>
    <t>Total Current Assets</t>
  </si>
  <si>
    <t xml:space="preserve">    Property/Plant/Equipment, Total - Gross</t>
  </si>
  <si>
    <t xml:space="preserve">    Accumulated Depreciation, Total</t>
  </si>
  <si>
    <t>Property/Plant/Equipment, Total - Net</t>
  </si>
  <si>
    <t>Goodwill, Net</t>
  </si>
  <si>
    <t>Intangibles, Net</t>
  </si>
  <si>
    <t>Long Term Investments</t>
  </si>
  <si>
    <t>Note Receivable - Long Term</t>
  </si>
  <si>
    <t>Other Long Term Assets, Total</t>
  </si>
  <si>
    <t>Other Assets, Total</t>
  </si>
  <si>
    <t>Total Assets</t>
  </si>
  <si>
    <t>Accounts Payable</t>
  </si>
  <si>
    <t>Payable/Accrued</t>
  </si>
  <si>
    <t>Accrued Expenses</t>
  </si>
  <si>
    <t>Current Port. of  LT Debt/Capital Leases</t>
  </si>
  <si>
    <t>Notes Payable/Short Term Debt</t>
  </si>
  <si>
    <t>Other Current Liabilities, Total</t>
  </si>
  <si>
    <t>Total Current Liabilities</t>
  </si>
  <si>
    <t xml:space="preserve">    Long Term Debt</t>
  </si>
  <si>
    <t xml:space="preserve">    Capital Lease Obligations</t>
  </si>
  <si>
    <t>Total Long Term Debt</t>
  </si>
  <si>
    <t>Deferred Income Tax</t>
  </si>
  <si>
    <t>Other Liabilities, Total</t>
  </si>
  <si>
    <t>Minority Interest</t>
  </si>
  <si>
    <t>Total Liabilities</t>
  </si>
  <si>
    <t>Preferred Stock - Non Redeemable, Net</t>
  </si>
  <si>
    <t>Limited Partner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</si>
  <si>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</si>
  <si>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</si>
  <si>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</si>
  <si>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</si>
  <si>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</si>
  <si>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</si>
  <si>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</si>
  <si>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Total Equity</t>
  </si>
  <si>
    <t>Total Liabilities &amp; Shareholders' Equity</t>
  </si>
  <si>
    <t>Total Common Shares Outstanding</t>
  </si>
  <si>
    <t>Cash Flow - Annual (As Originally Reported)</t>
  </si>
  <si>
    <t>Changes in Working Capital</t>
  </si>
  <si>
    <t>Cash from Operating Activities</t>
  </si>
  <si>
    <t>Capital Expenditures</t>
  </si>
  <si>
    <t>Investment, Net</t>
  </si>
  <si>
    <t>Software Development Costs</t>
  </si>
  <si>
    <t>Sale of Fixed Assets</t>
  </si>
  <si>
    <t>Acquisition of Business</t>
  </si>
  <si>
    <t>Sale/Maturity of Investment</t>
  </si>
  <si>
    <t>Other Investing Cash Flow Items, Total</t>
  </si>
  <si>
    <t>Cash from Investing Activities</t>
  </si>
  <si>
    <t>Short Term Debt, Net</t>
  </si>
  <si>
    <t>Issuance (Retirement) of Debt, Net</t>
  </si>
  <si>
    <t>Issuance (Retirement) of Stock, Net</t>
  </si>
  <si>
    <t>Total Cash Dividends Paid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</si>
  <si>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</si>
  <si>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</si>
  <si>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</si>
  <si>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</si>
  <si>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</si>
  <si>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Ratio Analysis - Annual (As Originally Reported)</t>
  </si>
  <si>
    <t>Profitability</t>
  </si>
  <si>
    <t>Gross Margin</t>
  </si>
  <si>
    <t>Pretax Margin</t>
  </si>
  <si>
    <t>Effective Tax Rate</t>
  </si>
  <si>
    <t>Net Profit Margin</t>
  </si>
  <si>
    <t>Normalized EBIT</t>
  </si>
  <si>
    <t>Normalized EBITDA</t>
  </si>
  <si>
    <t>EBITDA Margin %</t>
  </si>
  <si>
    <t>Management Effectiveness</t>
  </si>
  <si>
    <t>Normalized Return on Equity % TTM</t>
  </si>
  <si>
    <t>Normalized Return on Capital % TTM</t>
  </si>
  <si>
    <t>Normalized Return on Assets % TTM</t>
  </si>
  <si>
    <t>Financial Strength</t>
  </si>
  <si>
    <t>Total Current Assets less Inventory</t>
  </si>
  <si>
    <t>Quick Ratio</t>
  </si>
  <si>
    <t>Current Ratio</t>
  </si>
  <si>
    <t>Net Debt</t>
  </si>
  <si>
    <t>Long Term Debt / Equity %</t>
  </si>
  <si>
    <t>Long Term Debt / Capital %</t>
  </si>
  <si>
    <t>Net Debt / Equity %</t>
  </si>
  <si>
    <t>Total Debt / Total Equity %</t>
  </si>
  <si>
    <t>Total Debt / Total Capital %</t>
  </si>
  <si>
    <t>Total Debt / Assets %</t>
  </si>
  <si>
    <t>Interest Coverage</t>
  </si>
  <si>
    <t>Financial Leverage Ratio</t>
  </si>
  <si>
    <t>Efficiency</t>
  </si>
  <si>
    <t>Days Inventory (DOH)</t>
  </si>
  <si>
    <t>Days Receivable (DSO)</t>
  </si>
  <si>
    <t>Days Payable (DP)</t>
  </si>
  <si>
    <t>Cash Cycle (DOH+DSO-DP)</t>
  </si>
  <si>
    <t>Asset Turnover TTM</t>
  </si>
  <si>
    <t>Receivables Turnover TTM</t>
  </si>
  <si>
    <t>Inventory Turnover TTM</t>
  </si>
  <si>
    <t>Payables Turnover TTM</t>
  </si>
  <si>
    <t>Sales / Inventory TTM</t>
  </si>
  <si>
    <t>Sales / Working Capital TTM</t>
  </si>
  <si>
    <t>Sales / Cash TTM</t>
  </si>
  <si>
    <t>Sales / Fixed Assets TTM</t>
  </si>
  <si>
    <t>Miscellaneous</t>
  </si>
  <si>
    <t>Free Cash Flow TTM</t>
  </si>
  <si>
    <t>Free Cash Flow Per Share TTM</t>
  </si>
  <si>
    <t>Book Value Per Share</t>
  </si>
  <si>
    <t>Tangible Book Value</t>
  </si>
  <si>
    <t>Tangible Book Value per Share</t>
  </si>
  <si>
    <t>Bank Total Revenue</t>
  </si>
  <si>
    <t>Discount Rate</t>
  </si>
  <si>
    <t>Tax Rate</t>
  </si>
  <si>
    <t>Revenue</t>
  </si>
  <si>
    <t>EBIT</t>
  </si>
  <si>
    <t>EBIT Margin</t>
  </si>
  <si>
    <t>Cash Taxes</t>
  </si>
  <si>
    <t>Less; taxes</t>
  </si>
  <si>
    <t>Less; capex</t>
  </si>
  <si>
    <t>Plus: D&amp;A</t>
  </si>
  <si>
    <t>Less: changes in net working capital</t>
  </si>
  <si>
    <t>Current-Year Tax Loss Generated</t>
  </si>
  <si>
    <t>NOL Used</t>
  </si>
  <si>
    <t>Ending NOL Balance</t>
  </si>
  <si>
    <t>Taxable Income</t>
  </si>
  <si>
    <t>Cash Tax Rate</t>
  </si>
  <si>
    <t>Consolidated Financials</t>
  </si>
  <si>
    <t>Beginning NOL</t>
  </si>
  <si>
    <t>Enterprise Value Calculation</t>
  </si>
  <si>
    <t>Terminal Growth</t>
  </si>
  <si>
    <t>Discount Period</t>
  </si>
  <si>
    <t>Discount Factor</t>
  </si>
  <si>
    <t>Present Value of Terminal Value</t>
  </si>
  <si>
    <t>Warranted Enterprise Value</t>
  </si>
  <si>
    <t>Enterprise Value to Equity Value</t>
  </si>
  <si>
    <t>Minus Preffered Equity</t>
  </si>
  <si>
    <t>Equity Value</t>
  </si>
  <si>
    <t>Diluted Shares</t>
  </si>
  <si>
    <t>Implied Share Price</t>
  </si>
  <si>
    <t xml:space="preserve">ow </t>
  </si>
  <si>
    <t>FCF 2033</t>
  </si>
  <si>
    <t>Everbridge DCF</t>
  </si>
  <si>
    <t>($mm)</t>
  </si>
  <si>
    <t>Unlevered Free Cash Flow</t>
  </si>
  <si>
    <t>PV of Free Cash Flow</t>
  </si>
  <si>
    <t>Minus Net Debt</t>
  </si>
  <si>
    <t>Terminal Value @ 2033E</t>
  </si>
  <si>
    <t>Everbridge LBO Assumptions</t>
  </si>
  <si>
    <t>Offer Price / Share</t>
  </si>
  <si>
    <t>Final offer price</t>
  </si>
  <si>
    <t>Diluted Shares Outstanding</t>
  </si>
  <si>
    <t>Approx. diluted shares</t>
  </si>
  <si>
    <t>Existing Debt</t>
  </si>
  <si>
    <t>2023 current + long-term debt</t>
  </si>
  <si>
    <t>Cash Available</t>
  </si>
  <si>
    <t>2023 cash &amp; equivalents</t>
  </si>
  <si>
    <t>Transaction Fees (% EV)</t>
  </si>
  <si>
    <t>Base assumption</t>
  </si>
  <si>
    <t>Financing Fees (% New Debt)</t>
  </si>
  <si>
    <t>Entry EBITDA (Normalized)</t>
  </si>
  <si>
    <t>Entry Debt / EBITDA</t>
  </si>
  <si>
    <t>Base leverage assumption</t>
  </si>
  <si>
    <t>Hold Period (Years)</t>
  </si>
  <si>
    <t>Base hold period</t>
  </si>
  <si>
    <t>Operating &amp; Financing Assumptions</t>
  </si>
  <si>
    <t>Metric</t>
  </si>
  <si>
    <t>CapEx (% Revenue)</t>
  </si>
  <si>
    <t>Change in NWC</t>
  </si>
  <si>
    <t>Interest Rate</t>
  </si>
  <si>
    <t>Mandatory Amortization (% Initial Debt)</t>
  </si>
  <si>
    <t>Cash Sweep</t>
  </si>
  <si>
    <t>Exit EBITDA Multiple</t>
  </si>
  <si>
    <t>Exit Fees (% Exit EV)</t>
  </si>
  <si>
    <t>IRR Sensitivity</t>
  </si>
  <si>
    <t>($MM)</t>
  </si>
  <si>
    <t>Assumptions</t>
  </si>
  <si>
    <t>2025ebitda</t>
  </si>
  <si>
    <t>Linked from Consolidated Financials</t>
  </si>
  <si>
    <t>Everbridge LBO Model</t>
  </si>
  <si>
    <t>Sources&amp; Uses</t>
  </si>
  <si>
    <t>Enterprise Value</t>
  </si>
  <si>
    <t>Entry EBITDA</t>
  </si>
  <si>
    <t>EV as Multiple of EBITDA</t>
  </si>
  <si>
    <t>Sources</t>
  </si>
  <si>
    <t>Uses</t>
  </si>
  <si>
    <t>Purchase EV</t>
  </si>
  <si>
    <t>Transaction Fees</t>
  </si>
  <si>
    <t>Financing Fees</t>
  </si>
  <si>
    <t>New Debt</t>
  </si>
  <si>
    <t>Sponsor Equity</t>
  </si>
  <si>
    <t>Total Uses</t>
  </si>
  <si>
    <t xml:space="preserve">D&amp;A </t>
  </si>
  <si>
    <t>Cash Interest</t>
  </si>
  <si>
    <t>Levered Free Cash Flow</t>
  </si>
  <si>
    <t>Beginning Debt</t>
  </si>
  <si>
    <t>Mandatory Amoritization</t>
  </si>
  <si>
    <t>Ending Debt</t>
  </si>
  <si>
    <t>CapEx</t>
  </si>
  <si>
    <t>D&amp;A</t>
  </si>
  <si>
    <t xml:space="preserve">EBITDA  </t>
  </si>
  <si>
    <t xml:space="preserve">EBITDA </t>
  </si>
  <si>
    <t>Exit Equity Value</t>
  </si>
  <si>
    <t>Exit Enterprise value</t>
  </si>
  <si>
    <t>IRR</t>
  </si>
  <si>
    <t>MOIC</t>
  </si>
  <si>
    <t>cash sweep paydown</t>
  </si>
  <si>
    <t>Exit Multiple / Entry Leverage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</si>
</sst>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"/>
    <numFmt numFmtId="165" formatCode="0.0%"/>
    <numFmt numFmtId="166" formatCode="\$#,##0.0;[Red]\(\$#,##0.0\);\-"/>
    <numFmt numFmtId="172" formatCode="0.0\x;[Red]\(0.0\x\);\-"/>
    <numFmt numFmtId="173" formatCode="#,##0;[Red]\(#,##0\);\-"/>
    <numFmt numFmtId="189" formatCode="0.00\x"/>
    <numFmt numFmtId="191" formatCode="0.0;\(0.0\);\-"/>
    <numFmt numFmtId="196" formatCode="#,##0.0;[Red]\(#,##0.0\);\-"/>
    <numFmt numFmtId="197" formatCode="0.0%;[Red]\(0.0%\);\-"/>
    <numFmt numFmtId="198" formatCode="0.0\x"/>
    <numFmt numFmtId="199" formatCode="0.0&quot;x&quot;"/>
    <numFmt numFmtId="200" formatCode="#,##0.0"/>
    <numFmt numFmtId="201" formatCode="0.0_);[Red]\(0.0\)"/>
    <numFmt numFmtId="205" formatCode="0.0;\-0.0;\-"/>
  </numFmts>
  <fonts count="45" x14ac:knownFonts="1">
    <font>
      <sz val="10"/>
      <name val="Arial"/>
      <family val="2"/>
      <scheme val="minor"/>
    </font>
    <font>
      <b/>
      <sz val="16"/>
      <color rgb="FF1F2D3D"/>
      <name val="Arial"/>
      <family val="2"/>
    </font>
    <font>
      <sz val="10"/>
      <name val="Arial"/>
      <family val="2"/>
    </font>
    <font>
      <b/>
      <sz val="10"/>
      <color rgb="FF1F2D3D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202124"/>
      <name val="Arial"/>
      <family val="2"/>
    </font>
    <font>
      <b/>
      <i/>
      <sz val="10"/>
      <color rgb="FF1F2D3D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  <scheme val="minor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 (Body)"/>
    </font>
    <font>
      <b/>
      <sz val="10"/>
      <color theme="1"/>
      <name val="Arial (Body)"/>
    </font>
    <font>
      <sz val="10"/>
      <color theme="1"/>
      <name val="Arial (Body)"/>
    </font>
    <font>
      <b/>
      <sz val="10"/>
      <color rgb="FF202124"/>
      <name val="Arial (Body)"/>
    </font>
    <font>
      <sz val="10"/>
      <color theme="1"/>
      <name val="Arial"/>
      <family val="2"/>
      <scheme val="minor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202124"/>
      <name val="Arial"/>
      <family val="2"/>
    </font>
    <font>
      <i/>
      <sz val="10"/>
      <color rgb="FF50647A"/>
      <name val="Arial"/>
      <family val="2"/>
    </font>
    <font>
      <b/>
      <sz val="11"/>
      <color rgb="FF1F2D3D"/>
      <name val="Arial"/>
      <family val="2"/>
    </font>
    <font>
      <b/>
      <sz val="10"/>
      <color rgb="FFFF0000"/>
      <name val="Arial"/>
      <family val="2"/>
    </font>
    <font>
      <i/>
      <sz val="10"/>
      <color rgb="FF202124"/>
      <name val="Arial"/>
      <family val="2"/>
    </font>
    <font>
      <i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11"/>
      <name val="Arial"/>
      <family val="2"/>
    </font>
    <font>
      <b/>
      <sz val="10"/>
      <color rgb="FF0000FF"/>
      <name val="Arial"/>
      <family val="2"/>
    </font>
    <font>
      <i/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666666"/>
      <name val="Arial"/>
      <family val="2"/>
    </font>
    <font>
      <b/>
      <sz val="10"/>
      <name val="Arial"/>
      <family val="2"/>
    </font>
    <font>
      <b/>
      <sz val="10"/>
      <color rgb="FF548235"/>
      <name val="Arial"/>
      <family val="2"/>
      <scheme val="minor"/>
    </font>
    <font>
      <sz val="10"/>
      <color rgb="FF548235"/>
      <name val="Arial"/>
      <family val="2"/>
    </font>
    <font>
      <sz val="10"/>
      <color rgb="FF202024"/>
      <name val="Arial"/>
      <family val="2"/>
      <scheme val="minor"/>
    </font>
    <font>
      <b/>
      <sz val="12"/>
      <color rgb="FFFFFFFF"/>
      <name val="Arial"/>
      <family val="2"/>
      <scheme val="minor"/>
    </font>
    <font>
      <i/>
      <sz val="10"/>
      <color rgb="FF202024"/>
      <name val="Arial"/>
      <family val="2"/>
      <scheme val="minor"/>
    </font>
    <font>
      <i/>
      <sz val="10"/>
      <color rgb="FF0000FF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DE5EB"/>
      </patternFill>
    </fill>
    <fill>
      <patternFill patternType="solid">
        <fgColor rgb="FFEAF2F8"/>
      </patternFill>
    </fill>
    <fill>
      <patternFill patternType="solid">
        <fgColor rgb="FFF3EFD8"/>
      </patternFill>
    </fill>
    <fill>
      <patternFill patternType="solid">
        <fgColor rgb="FF1F2D3D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A7A7A3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EAF2F8"/>
      </left>
      <right/>
      <top style="thin">
        <color rgb="FFEAF2F8"/>
      </top>
      <bottom style="thin">
        <color rgb="FFEAF2F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0212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202124"/>
      </bottom>
      <diagonal/>
    </border>
    <border>
      <left/>
      <right/>
      <top style="thin">
        <color rgb="FF202124"/>
      </top>
      <bottom style="double">
        <color indexed="64"/>
      </bottom>
      <diagonal/>
    </border>
    <border>
      <left/>
      <right/>
      <top style="thin">
        <color rgb="FF1F2D3D"/>
      </top>
      <bottom style="thin">
        <color rgb="FF1F2D3D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1">
      <alignment vertical="center"/>
    </xf>
    <xf numFmtId="0" fontId="4" fillId="2" borderId="0">
      <alignment vertical="center"/>
    </xf>
    <xf numFmtId="0" fontId="6" fillId="5" borderId="4">
      <alignment vertical="center"/>
    </xf>
    <xf numFmtId="0" fontId="3" fillId="6" borderId="8"/>
    <xf numFmtId="0" fontId="8" fillId="0" borderId="12">
      <alignment horizontal="left" vertical="center"/>
    </xf>
    <xf numFmtId="166" fontId="11" fillId="7" borderId="0">
      <alignment vertical="center"/>
    </xf>
    <xf numFmtId="0" fontId="2" fillId="0" borderId="0"/>
    <xf numFmtId="166" fontId="21" fillId="0" borderId="0">
      <alignment vertical="center"/>
    </xf>
    <xf numFmtId="166" fontId="22" fillId="0" borderId="0">
      <alignment vertical="center"/>
    </xf>
    <xf numFmtId="0" fontId="8" fillId="0" borderId="17">
      <alignment horizontal="left" vertical="center"/>
    </xf>
    <xf numFmtId="0" fontId="8" fillId="0" borderId="18" applyAlignment="0">
      <alignment horizontal="left" vertical="center"/>
    </xf>
    <xf numFmtId="166" fontId="12" fillId="0" borderId="0">
      <alignment vertical="center"/>
    </xf>
    <xf numFmtId="0" fontId="23" fillId="0" borderId="0">
      <alignment horizontal="left"/>
    </xf>
    <xf numFmtId="0" fontId="24" fillId="0" borderId="0">
      <alignment horizontal="left"/>
    </xf>
    <xf numFmtId="172" fontId="25" fillId="6" borderId="19">
      <alignment vertical="center"/>
    </xf>
    <xf numFmtId="173" fontId="26" fillId="0" borderId="20">
      <alignment vertical="center"/>
    </xf>
    <xf numFmtId="166" fontId="11" fillId="7" borderId="0" applyNumberFormat="0">
      <alignment vertical="center"/>
    </xf>
  </cellStyleXfs>
  <cellXfs count="222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1" xfId="1" applyFont="1">
      <alignment vertical="center"/>
    </xf>
    <xf numFmtId="0" fontId="4" fillId="2" borderId="0" xfId="2">
      <alignment vertical="center"/>
    </xf>
    <xf numFmtId="0" fontId="5" fillId="3" borderId="0" xfId="2" applyFont="1" applyFill="1" applyAlignment="1">
      <alignment horizontal="center" vertical="center"/>
    </xf>
    <xf numFmtId="0" fontId="4" fillId="3" borderId="0" xfId="2" applyFill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6" fillId="5" borderId="5" xfId="3" applyBorder="1">
      <alignment vertical="center"/>
    </xf>
    <xf numFmtId="14" fontId="6" fillId="5" borderId="5" xfId="3" applyNumberFormat="1" applyBorder="1">
      <alignment vertical="center"/>
    </xf>
    <xf numFmtId="14" fontId="6" fillId="5" borderId="6" xfId="3" applyNumberFormat="1" applyBorder="1">
      <alignment vertical="center"/>
    </xf>
    <xf numFmtId="14" fontId="6" fillId="5" borderId="7" xfId="3" applyNumberFormat="1" applyBorder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0" fontId="7" fillId="6" borderId="9" xfId="4" applyFont="1" applyBorder="1"/>
    <xf numFmtId="10" fontId="3" fillId="6" borderId="10" xfId="4" applyNumberFormat="1" applyBorder="1"/>
    <xf numFmtId="165" fontId="7" fillId="6" borderId="10" xfId="4" applyNumberFormat="1" applyFont="1" applyBorder="1"/>
    <xf numFmtId="165" fontId="7" fillId="6" borderId="9" xfId="4" applyNumberFormat="1" applyFont="1" applyBorder="1"/>
    <xf numFmtId="165" fontId="7" fillId="6" borderId="11" xfId="4" applyNumberFormat="1" applyFont="1" applyBorder="1"/>
    <xf numFmtId="0" fontId="8" fillId="0" borderId="13" xfId="5" applyBorder="1">
      <alignment horizontal="left" vertical="center"/>
    </xf>
    <xf numFmtId="164" fontId="8" fillId="0" borderId="13" xfId="5" applyNumberFormat="1" applyBorder="1" applyAlignment="1">
      <alignment horizontal="right" vertical="center"/>
    </xf>
    <xf numFmtId="164" fontId="8" fillId="0" borderId="14" xfId="5" applyNumberFormat="1" applyBorder="1" applyAlignment="1">
      <alignment horizontal="right" vertical="center"/>
    </xf>
    <xf numFmtId="164" fontId="8" fillId="0" borderId="15" xfId="5" applyNumberFormat="1" applyBorder="1" applyAlignment="1">
      <alignment horizontal="right" vertical="center"/>
    </xf>
    <xf numFmtId="0" fontId="8" fillId="0" borderId="0" xfId="5" applyBorder="1">
      <alignment horizontal="left" vertical="center"/>
    </xf>
    <xf numFmtId="0" fontId="8" fillId="0" borderId="0" xfId="5" applyBorder="1" applyAlignment="1">
      <alignment horizontal="right" vertical="center"/>
    </xf>
    <xf numFmtId="2" fontId="8" fillId="0" borderId="0" xfId="5" applyNumberFormat="1" applyBorder="1" applyAlignment="1">
      <alignment horizontal="right" vertical="center"/>
    </xf>
    <xf numFmtId="0" fontId="9" fillId="0" borderId="0" xfId="5" applyFont="1" applyBorder="1" applyAlignment="1">
      <alignment horizontal="left" vertical="center" indent="1"/>
    </xf>
    <xf numFmtId="165" fontId="9" fillId="0" borderId="0" xfId="5" applyNumberFormat="1" applyFont="1" applyBorder="1" applyAlignment="1">
      <alignment horizontal="right" vertical="center"/>
    </xf>
    <xf numFmtId="165" fontId="9" fillId="0" borderId="2" xfId="5" applyNumberFormat="1" applyFont="1" applyBorder="1" applyAlignment="1">
      <alignment horizontal="right" vertical="center"/>
    </xf>
    <xf numFmtId="165" fontId="9" fillId="0" borderId="3" xfId="5" applyNumberFormat="1" applyFont="1" applyBorder="1" applyAlignment="1">
      <alignment horizontal="right" vertical="center"/>
    </xf>
    <xf numFmtId="0" fontId="10" fillId="0" borderId="0" xfId="5" applyFont="1" applyBorder="1">
      <alignment horizontal="left" vertical="center"/>
    </xf>
    <xf numFmtId="164" fontId="8" fillId="0" borderId="0" xfId="5" applyNumberFormat="1" applyBorder="1" applyAlignment="1">
      <alignment horizontal="right" vertical="center"/>
    </xf>
    <xf numFmtId="164" fontId="8" fillId="0" borderId="2" xfId="5" applyNumberFormat="1" applyBorder="1" applyAlignment="1">
      <alignment horizontal="right" vertical="center"/>
    </xf>
    <xf numFmtId="164" fontId="8" fillId="0" borderId="3" xfId="5" applyNumberFormat="1" applyBorder="1" applyAlignment="1">
      <alignment horizontal="right" vertical="center"/>
    </xf>
    <xf numFmtId="0" fontId="6" fillId="5" borderId="4" xfId="3">
      <alignment vertical="center"/>
    </xf>
    <xf numFmtId="0" fontId="6" fillId="5" borderId="0" xfId="3" applyBorder="1">
      <alignment vertical="center"/>
    </xf>
    <xf numFmtId="165" fontId="2" fillId="0" borderId="0" xfId="0" applyNumberFormat="1" applyFont="1"/>
    <xf numFmtId="165" fontId="11" fillId="7" borderId="14" xfId="6" applyNumberFormat="1" applyBorder="1">
      <alignment vertical="center"/>
    </xf>
    <xf numFmtId="165" fontId="11" fillId="7" borderId="13" xfId="6" applyNumberFormat="1" applyBorder="1">
      <alignment vertical="center"/>
    </xf>
    <xf numFmtId="165" fontId="11" fillId="7" borderId="15" xfId="6" applyNumberFormat="1" applyBorder="1">
      <alignment vertical="center"/>
    </xf>
    <xf numFmtId="0" fontId="2" fillId="0" borderId="0" xfId="7"/>
    <xf numFmtId="165" fontId="11" fillId="7" borderId="2" xfId="6" applyNumberFormat="1" applyBorder="1">
      <alignment vertical="center"/>
    </xf>
    <xf numFmtId="165" fontId="11" fillId="7" borderId="3" xfId="6" applyNumberFormat="1" applyBorder="1">
      <alignment vertical="center"/>
    </xf>
    <xf numFmtId="165" fontId="11" fillId="7" borderId="6" xfId="6" applyNumberFormat="1" applyBorder="1">
      <alignment vertical="center"/>
    </xf>
    <xf numFmtId="165" fontId="11" fillId="7" borderId="5" xfId="6" applyNumberFormat="1" applyBorder="1">
      <alignment vertical="center"/>
    </xf>
    <xf numFmtId="165" fontId="11" fillId="7" borderId="7" xfId="6" applyNumberFormat="1" applyBorder="1">
      <alignment vertical="center"/>
    </xf>
    <xf numFmtId="0" fontId="12" fillId="0" borderId="0" xfId="5" applyFont="1" applyBorder="1">
      <alignment horizontal="left" vertical="center"/>
    </xf>
    <xf numFmtId="165" fontId="12" fillId="0" borderId="0" xfId="5" applyNumberFormat="1" applyFont="1" applyBorder="1" applyAlignment="1">
      <alignment horizontal="right" vertical="center"/>
    </xf>
    <xf numFmtId="0" fontId="13" fillId="0" borderId="0" xfId="0" applyFont="1"/>
    <xf numFmtId="0" fontId="14" fillId="2" borderId="0" xfId="2" applyFont="1">
      <alignment vertical="center"/>
    </xf>
    <xf numFmtId="0" fontId="14" fillId="3" borderId="0" xfId="2" applyFont="1" applyFill="1">
      <alignment vertical="center"/>
    </xf>
    <xf numFmtId="165" fontId="11" fillId="7" borderId="0" xfId="6" applyNumberFormat="1" applyBorder="1">
      <alignment vertical="center"/>
    </xf>
    <xf numFmtId="164" fontId="2" fillId="0" borderId="0" xfId="0" applyNumberFormat="1" applyFont="1" applyBorder="1"/>
    <xf numFmtId="0" fontId="6" fillId="5" borderId="4" xfId="3" applyAlignment="1">
      <alignment vertical="center"/>
    </xf>
    <xf numFmtId="0" fontId="2" fillId="0" borderId="0" xfId="0" applyFont="1" applyBorder="1"/>
    <xf numFmtId="14" fontId="19" fillId="5" borderId="5" xfId="3" applyNumberFormat="1" applyFont="1" applyBorder="1">
      <alignment vertical="center"/>
    </xf>
    <xf numFmtId="0" fontId="20" fillId="0" borderId="0" xfId="0" applyFont="1"/>
    <xf numFmtId="0" fontId="29" fillId="0" borderId="0" xfId="0" applyFont="1"/>
    <xf numFmtId="10" fontId="0" fillId="0" borderId="0" xfId="0" applyNumberFormat="1"/>
    <xf numFmtId="164" fontId="30" fillId="0" borderId="2" xfId="0" applyNumberFormat="1" applyFont="1" applyBorder="1"/>
    <xf numFmtId="164" fontId="30" fillId="0" borderId="3" xfId="0" applyNumberFormat="1" applyFont="1" applyBorder="1"/>
    <xf numFmtId="0" fontId="3" fillId="6" borderId="9" xfId="4" applyBorder="1"/>
    <xf numFmtId="0" fontId="3" fillId="6" borderId="10" xfId="4" applyBorder="1"/>
    <xf numFmtId="0" fontId="30" fillId="0" borderId="0" xfId="0" applyFont="1" applyBorder="1"/>
    <xf numFmtId="164" fontId="30" fillId="0" borderId="0" xfId="0" applyNumberFormat="1" applyFont="1" applyBorder="1"/>
    <xf numFmtId="0" fontId="20" fillId="0" borderId="0" xfId="0" applyFont="1" applyBorder="1"/>
    <xf numFmtId="10" fontId="29" fillId="0" borderId="0" xfId="0" applyNumberFormat="1" applyFont="1"/>
    <xf numFmtId="0" fontId="16" fillId="2" borderId="13" xfId="2" applyFont="1" applyBorder="1">
      <alignment vertical="center"/>
    </xf>
    <xf numFmtId="0" fontId="16" fillId="2" borderId="15" xfId="2" applyFont="1" applyBorder="1">
      <alignment vertical="center"/>
    </xf>
    <xf numFmtId="0" fontId="16" fillId="3" borderId="2" xfId="2" applyFont="1" applyFill="1" applyBorder="1">
      <alignment vertical="center"/>
    </xf>
    <xf numFmtId="0" fontId="17" fillId="3" borderId="0" xfId="2" applyFont="1" applyFill="1" applyBorder="1" applyAlignment="1">
      <alignment horizontal="center" vertical="center"/>
    </xf>
    <xf numFmtId="0" fontId="16" fillId="3" borderId="0" xfId="2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9" fillId="5" borderId="6" xfId="3" applyFont="1" applyBorder="1">
      <alignment vertical="center"/>
    </xf>
    <xf numFmtId="0" fontId="20" fillId="0" borderId="2" xfId="0" applyFont="1" applyBorder="1"/>
    <xf numFmtId="0" fontId="20" fillId="0" borderId="3" xfId="0" applyFont="1" applyBorder="1"/>
    <xf numFmtId="0" fontId="0" fillId="0" borderId="0" xfId="0" applyBorder="1"/>
    <xf numFmtId="164" fontId="20" fillId="0" borderId="0" xfId="0" applyNumberFormat="1" applyFont="1" applyBorder="1"/>
    <xf numFmtId="164" fontId="20" fillId="0" borderId="3" xfId="0" applyNumberFormat="1" applyFont="1" applyBorder="1"/>
    <xf numFmtId="0" fontId="27" fillId="0" borderId="2" xfId="13" applyFont="1" applyBorder="1" applyAlignment="1">
      <alignment horizontal="left" indent="1"/>
    </xf>
    <xf numFmtId="0" fontId="28" fillId="0" borderId="2" xfId="0" applyFont="1" applyBorder="1" applyAlignment="1">
      <alignment horizontal="left" indent="1"/>
    </xf>
    <xf numFmtId="0" fontId="30" fillId="0" borderId="2" xfId="0" applyFont="1" applyBorder="1"/>
    <xf numFmtId="10" fontId="3" fillId="6" borderId="11" xfId="4" applyNumberFormat="1" applyBorder="1"/>
    <xf numFmtId="0" fontId="17" fillId="4" borderId="2" xfId="0" applyFont="1" applyFill="1" applyBorder="1" applyAlignment="1">
      <alignment horizontal="center"/>
    </xf>
    <xf numFmtId="164" fontId="20" fillId="0" borderId="2" xfId="0" applyNumberFormat="1" applyFont="1" applyBorder="1"/>
    <xf numFmtId="10" fontId="3" fillId="6" borderId="9" xfId="4" applyNumberFormat="1" applyBorder="1"/>
    <xf numFmtId="164" fontId="2" fillId="0" borderId="6" xfId="0" applyNumberFormat="1" applyFont="1" applyBorder="1"/>
    <xf numFmtId="0" fontId="4" fillId="2" borderId="0" xfId="2" applyBorder="1">
      <alignment vertical="center"/>
    </xf>
    <xf numFmtId="0" fontId="6" fillId="5" borderId="4" xfId="3" applyBorder="1" applyAlignment="1">
      <alignment vertical="center"/>
    </xf>
    <xf numFmtId="164" fontId="2" fillId="0" borderId="5" xfId="0" applyNumberFormat="1" applyFont="1" applyBorder="1"/>
    <xf numFmtId="0" fontId="2" fillId="0" borderId="14" xfId="0" applyFont="1" applyBorder="1"/>
    <xf numFmtId="164" fontId="2" fillId="0" borderId="9" xfId="0" applyNumberFormat="1" applyFont="1" applyBorder="1"/>
    <xf numFmtId="164" fontId="2" fillId="0" borderId="21" xfId="0" applyNumberFormat="1" applyFont="1" applyBorder="1"/>
    <xf numFmtId="0" fontId="0" fillId="0" borderId="2" xfId="0" applyBorder="1"/>
    <xf numFmtId="164" fontId="0" fillId="0" borderId="2" xfId="0" applyNumberFormat="1" applyBorder="1"/>
    <xf numFmtId="0" fontId="2" fillId="0" borderId="15" xfId="0" applyFont="1" applyBorder="1"/>
    <xf numFmtId="164" fontId="2" fillId="0" borderId="22" xfId="0" applyNumberFormat="1" applyFont="1" applyBorder="1"/>
    <xf numFmtId="0" fontId="0" fillId="0" borderId="3" xfId="0" applyBorder="1"/>
    <xf numFmtId="0" fontId="4" fillId="2" borderId="3" xfId="2" applyBorder="1">
      <alignment vertical="center"/>
    </xf>
    <xf numFmtId="0" fontId="5" fillId="4" borderId="0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14" fontId="17" fillId="3" borderId="6" xfId="0" applyNumberFormat="1" applyFont="1" applyFill="1" applyBorder="1"/>
    <xf numFmtId="14" fontId="17" fillId="3" borderId="5" xfId="0" applyNumberFormat="1" applyFont="1" applyFill="1" applyBorder="1"/>
    <xf numFmtId="14" fontId="17" fillId="3" borderId="7" xfId="0" applyNumberFormat="1" applyFont="1" applyFill="1" applyBorder="1"/>
    <xf numFmtId="165" fontId="0" fillId="0" borderId="0" xfId="0" applyNumberFormat="1"/>
    <xf numFmtId="165" fontId="11" fillId="7" borderId="22" xfId="6" applyNumberFormat="1" applyBorder="1">
      <alignment vertical="center"/>
    </xf>
    <xf numFmtId="164" fontId="0" fillId="0" borderId="0" xfId="0" applyNumberFormat="1"/>
    <xf numFmtId="0" fontId="12" fillId="0" borderId="0" xfId="5" applyFont="1" applyBorder="1" applyAlignment="1">
      <alignment horizontal="left" vertical="center"/>
    </xf>
    <xf numFmtId="0" fontId="8" fillId="0" borderId="13" xfId="5" applyFont="1" applyBorder="1" applyAlignment="1">
      <alignment horizontal="left" vertical="center"/>
    </xf>
    <xf numFmtId="165" fontId="11" fillId="7" borderId="21" xfId="6" applyNumberFormat="1" applyBorder="1">
      <alignment vertical="center"/>
    </xf>
    <xf numFmtId="165" fontId="31" fillId="7" borderId="9" xfId="6" applyNumberFormat="1" applyFont="1" applyBorder="1">
      <alignment vertical="center"/>
    </xf>
    <xf numFmtId="0" fontId="0" fillId="3" borderId="14" xfId="0" applyFill="1" applyBorder="1"/>
    <xf numFmtId="0" fontId="0" fillId="3" borderId="6" xfId="0" applyFill="1" applyBorder="1"/>
    <xf numFmtId="9" fontId="0" fillId="3" borderId="5" xfId="0" applyNumberFormat="1" applyFont="1" applyFill="1" applyBorder="1"/>
    <xf numFmtId="9" fontId="0" fillId="3" borderId="7" xfId="0" applyNumberFormat="1" applyFont="1" applyFill="1" applyBorder="1"/>
    <xf numFmtId="0" fontId="32" fillId="0" borderId="0" xfId="0" applyFont="1" applyAlignment="1">
      <alignment horizontal="left" indent="1"/>
    </xf>
    <xf numFmtId="165" fontId="11" fillId="7" borderId="16" xfId="6" applyNumberFormat="1" applyBorder="1">
      <alignment vertical="center"/>
    </xf>
    <xf numFmtId="0" fontId="0" fillId="0" borderId="0" xfId="0" applyFill="1"/>
    <xf numFmtId="0" fontId="29" fillId="0" borderId="13" xfId="0" applyFont="1" applyBorder="1"/>
    <xf numFmtId="0" fontId="0" fillId="0" borderId="2" xfId="0" applyFill="1" applyBorder="1"/>
    <xf numFmtId="9" fontId="0" fillId="0" borderId="3" xfId="0" applyNumberFormat="1" applyBorder="1"/>
    <xf numFmtId="0" fontId="29" fillId="0" borderId="2" xfId="0" applyFont="1" applyBorder="1"/>
    <xf numFmtId="164" fontId="0" fillId="0" borderId="3" xfId="0" applyNumberFormat="1" applyBorder="1"/>
    <xf numFmtId="189" fontId="0" fillId="0" borderId="3" xfId="0" applyNumberFormat="1" applyBorder="1"/>
    <xf numFmtId="0" fontId="29" fillId="3" borderId="9" xfId="0" applyFont="1" applyFill="1" applyBorder="1" applyAlignment="1">
      <alignment horizontal="center"/>
    </xf>
    <xf numFmtId="0" fontId="29" fillId="3" borderId="22" xfId="0" applyFont="1" applyFill="1" applyBorder="1" applyAlignment="1">
      <alignment horizontal="center"/>
    </xf>
    <xf numFmtId="0" fontId="29" fillId="3" borderId="9" xfId="0" applyFont="1" applyFill="1" applyBorder="1"/>
    <xf numFmtId="165" fontId="29" fillId="3" borderId="13" xfId="0" applyNumberFormat="1" applyFont="1" applyFill="1" applyBorder="1"/>
    <xf numFmtId="165" fontId="0" fillId="3" borderId="13" xfId="0" applyNumberFormat="1" applyFill="1" applyBorder="1"/>
    <xf numFmtId="165" fontId="0" fillId="3" borderId="15" xfId="0" applyNumberFormat="1" applyFill="1" applyBorder="1"/>
    <xf numFmtId="0" fontId="2" fillId="3" borderId="0" xfId="0" applyFont="1" applyFill="1"/>
    <xf numFmtId="0" fontId="2" fillId="3" borderId="5" xfId="0" applyFont="1" applyFill="1" applyBorder="1"/>
    <xf numFmtId="165" fontId="32" fillId="0" borderId="0" xfId="0" applyNumberFormat="1" applyFont="1"/>
    <xf numFmtId="164" fontId="3" fillId="6" borderId="10" xfId="4" applyNumberFormat="1" applyBorder="1"/>
    <xf numFmtId="164" fontId="3" fillId="6" borderId="11" xfId="4" applyNumberFormat="1" applyBorder="1"/>
    <xf numFmtId="164" fontId="29" fillId="0" borderId="0" xfId="0" applyNumberFormat="1" applyFont="1"/>
    <xf numFmtId="164" fontId="29" fillId="0" borderId="15" xfId="0" applyNumberFormat="1" applyFont="1" applyBorder="1"/>
    <xf numFmtId="2" fontId="0" fillId="0" borderId="3" xfId="0" applyNumberFormat="1" applyFill="1" applyBorder="1"/>
    <xf numFmtId="191" fontId="0" fillId="0" borderId="3" xfId="0" applyNumberFormat="1" applyBorder="1"/>
    <xf numFmtId="2" fontId="29" fillId="3" borderId="22" xfId="0" applyNumberFormat="1" applyFont="1" applyFill="1" applyBorder="1"/>
    <xf numFmtId="164" fontId="29" fillId="3" borderId="22" xfId="0" applyNumberFormat="1" applyFont="1" applyFill="1" applyBorder="1"/>
    <xf numFmtId="0" fontId="3" fillId="0" borderId="13" xfId="4" applyFill="1" applyBorder="1"/>
    <xf numFmtId="164" fontId="3" fillId="0" borderId="13" xfId="4" applyNumberFormat="1" applyFill="1" applyBorder="1"/>
    <xf numFmtId="164" fontId="3" fillId="6" borderId="9" xfId="4" applyNumberFormat="1" applyBorder="1"/>
    <xf numFmtId="0" fontId="3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4" fillId="8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8" fillId="9" borderId="0" xfId="0" applyFont="1" applyFill="1" applyAlignment="1">
      <alignment horizontal="right" vertical="center"/>
    </xf>
    <xf numFmtId="0" fontId="35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10" fontId="2" fillId="0" borderId="0" xfId="0" applyNumberFormat="1" applyFont="1"/>
    <xf numFmtId="198" fontId="2" fillId="0" borderId="0" xfId="0" applyNumberFormat="1" applyFont="1"/>
    <xf numFmtId="10" fontId="36" fillId="0" borderId="0" xfId="0" applyNumberFormat="1" applyFont="1"/>
    <xf numFmtId="0" fontId="36" fillId="3" borderId="0" xfId="0" applyFont="1" applyFill="1"/>
    <xf numFmtId="9" fontId="37" fillId="3" borderId="5" xfId="0" applyNumberFormat="1" applyFont="1" applyFill="1" applyBorder="1"/>
    <xf numFmtId="196" fontId="15" fillId="0" borderId="0" xfId="17" applyNumberFormat="1" applyFont="1" applyFill="1">
      <alignment vertical="center"/>
    </xf>
    <xf numFmtId="2" fontId="11" fillId="0" borderId="0" xfId="17" applyNumberFormat="1" applyFill="1">
      <alignment vertical="center"/>
    </xf>
    <xf numFmtId="164" fontId="12" fillId="0" borderId="0" xfId="12" applyNumberFormat="1">
      <alignment vertical="center"/>
    </xf>
    <xf numFmtId="197" fontId="11" fillId="0" borderId="0" xfId="17" applyNumberFormat="1" applyFill="1">
      <alignment vertical="center"/>
    </xf>
    <xf numFmtId="197" fontId="15" fillId="0" borderId="0" xfId="17" applyNumberFormat="1" applyFont="1" applyFill="1">
      <alignment vertical="center"/>
    </xf>
    <xf numFmtId="164" fontId="15" fillId="0" borderId="0" xfId="17" applyNumberFormat="1" applyFont="1" applyFill="1">
      <alignment vertical="center"/>
    </xf>
    <xf numFmtId="0" fontId="38" fillId="0" borderId="2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199" fontId="11" fillId="0" borderId="0" xfId="17" applyNumberFormat="1" applyFill="1" applyAlignment="1">
      <alignment horizontal="right" vertical="center"/>
    </xf>
    <xf numFmtId="196" fontId="39" fillId="0" borderId="0" xfId="0" applyNumberFormat="1" applyFont="1" applyAlignment="1">
      <alignment vertical="center"/>
    </xf>
    <xf numFmtId="200" fontId="39" fillId="0" borderId="0" xfId="0" applyNumberFormat="1" applyFont="1" applyAlignment="1">
      <alignment vertical="center"/>
    </xf>
    <xf numFmtId="201" fontId="15" fillId="0" borderId="0" xfId="17" applyNumberFormat="1" applyFont="1" applyFill="1">
      <alignment vertical="center"/>
    </xf>
    <xf numFmtId="14" fontId="17" fillId="0" borderId="0" xfId="0" applyNumberFormat="1" applyFont="1" applyFill="1" applyBorder="1"/>
    <xf numFmtId="0" fontId="18" fillId="0" borderId="0" xfId="0" applyFont="1" applyFill="1" applyBorder="1" applyAlignment="1"/>
    <xf numFmtId="165" fontId="39" fillId="0" borderId="0" xfId="0" applyNumberFormat="1" applyFont="1" applyAlignment="1">
      <alignment vertical="center"/>
    </xf>
    <xf numFmtId="0" fontId="32" fillId="0" borderId="0" xfId="0" applyFont="1"/>
    <xf numFmtId="0" fontId="12" fillId="0" borderId="0" xfId="0" applyFont="1" applyAlignment="1">
      <alignment horizontal="right" vertical="center"/>
    </xf>
    <xf numFmtId="0" fontId="33" fillId="0" borderId="13" xfId="0" applyFont="1" applyBorder="1" applyAlignment="1">
      <alignment horizontal="left" vertical="center"/>
    </xf>
    <xf numFmtId="164" fontId="0" fillId="0" borderId="13" xfId="0" applyNumberFormat="1" applyBorder="1"/>
    <xf numFmtId="164" fontId="0" fillId="0" borderId="0" xfId="0" applyNumberFormat="1" applyAlignment="1"/>
    <xf numFmtId="164" fontId="12" fillId="0" borderId="0" xfId="0" applyNumberFormat="1" applyFont="1" applyAlignment="1">
      <alignment horizontal="right" vertical="center"/>
    </xf>
    <xf numFmtId="0" fontId="6" fillId="5" borderId="4" xfId="3" applyFont="1">
      <alignment vertical="center"/>
    </xf>
    <xf numFmtId="0" fontId="6" fillId="5" borderId="4" xfId="3" applyFont="1" applyAlignment="1">
      <alignment horizontal="center" vertical="center"/>
    </xf>
    <xf numFmtId="0" fontId="40" fillId="2" borderId="14" xfId="2" applyFont="1" applyBorder="1">
      <alignment vertical="center"/>
    </xf>
    <xf numFmtId="0" fontId="14" fillId="2" borderId="0" xfId="2" applyFont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10" fontId="29" fillId="0" borderId="13" xfId="0" applyNumberFormat="1" applyFont="1" applyBorder="1"/>
    <xf numFmtId="0" fontId="29" fillId="0" borderId="0" xfId="0" applyFont="1" applyBorder="1"/>
    <xf numFmtId="0" fontId="34" fillId="0" borderId="0" xfId="0" applyFont="1" applyAlignment="1">
      <alignment horizontal="left" vertical="center" indent="1"/>
    </xf>
    <xf numFmtId="165" fontId="41" fillId="0" borderId="0" xfId="0" applyNumberFormat="1" applyFont="1" applyAlignment="1">
      <alignment vertical="center"/>
    </xf>
    <xf numFmtId="165" fontId="28" fillId="0" borderId="0" xfId="0" applyNumberFormat="1" applyFont="1" applyBorder="1"/>
    <xf numFmtId="165" fontId="42" fillId="0" borderId="2" xfId="6" applyNumberFormat="1" applyFont="1" applyFill="1" applyBorder="1">
      <alignment vertical="center"/>
    </xf>
    <xf numFmtId="165" fontId="42" fillId="0" borderId="0" xfId="6" applyNumberFormat="1" applyFont="1" applyFill="1" applyBorder="1">
      <alignment vertical="center"/>
    </xf>
    <xf numFmtId="165" fontId="42" fillId="0" borderId="3" xfId="6" applyNumberFormat="1" applyFont="1" applyFill="1" applyBorder="1">
      <alignment vertical="center"/>
    </xf>
    <xf numFmtId="197" fontId="43" fillId="0" borderId="0" xfId="17" applyNumberFormat="1" applyFont="1" applyFill="1">
      <alignment vertical="center"/>
    </xf>
    <xf numFmtId="0" fontId="9" fillId="0" borderId="0" xfId="0" applyFont="1" applyAlignment="1">
      <alignment horizontal="left" vertical="center" indent="1"/>
    </xf>
    <xf numFmtId="199" fontId="36" fillId="3" borderId="0" xfId="0" applyNumberFormat="1" applyFont="1" applyFill="1"/>
    <xf numFmtId="164" fontId="11" fillId="0" borderId="0" xfId="17" applyNumberFormat="1" applyFill="1" applyAlignment="1">
      <alignment horizontal="right" vertical="center"/>
    </xf>
    <xf numFmtId="0" fontId="44" fillId="10" borderId="0" xfId="0" applyFont="1" applyFill="1"/>
    <xf numFmtId="10" fontId="15" fillId="10" borderId="0" xfId="6" applyNumberFormat="1" applyFont="1" applyFill="1">
      <alignment vertical="center"/>
    </xf>
    <xf numFmtId="0" fontId="4" fillId="8" borderId="0" xfId="0" applyFont="1" applyFill="1" applyAlignment="1">
      <alignment horizontal="left" vertical="center"/>
    </xf>
    <xf numFmtId="0" fontId="36" fillId="0" borderId="0" xfId="0" applyFont="1" applyFill="1"/>
    <xf numFmtId="2" fontId="29" fillId="0" borderId="0" xfId="0" applyNumberFormat="1" applyFont="1" applyBorder="1"/>
    <xf numFmtId="205" fontId="12" fillId="0" borderId="0" xfId="12" applyNumberFormat="1">
      <alignment vertical="center"/>
    </xf>
    <xf numFmtId="205" fontId="12" fillId="0" borderId="2" xfId="12" applyNumberFormat="1" applyBorder="1">
      <alignment vertical="center"/>
    </xf>
    <xf numFmtId="205" fontId="12" fillId="0" borderId="0" xfId="12" applyNumberFormat="1" applyBorder="1">
      <alignment vertical="center"/>
    </xf>
    <xf numFmtId="205" fontId="12" fillId="0" borderId="3" xfId="12" applyNumberFormat="1" applyBorder="1">
      <alignment vertical="center"/>
    </xf>
    <xf numFmtId="205" fontId="12" fillId="0" borderId="0" xfId="5" applyNumberFormat="1" applyFont="1" applyBorder="1" applyAlignment="1">
      <alignment horizontal="right" vertical="center"/>
    </xf>
    <xf numFmtId="205" fontId="12" fillId="0" borderId="2" xfId="5" applyNumberFormat="1" applyFont="1" applyBorder="1" applyAlignment="1">
      <alignment horizontal="right" vertical="center"/>
    </xf>
    <xf numFmtId="205" fontId="12" fillId="0" borderId="3" xfId="5" applyNumberFormat="1" applyFont="1" applyBorder="1" applyAlignment="1">
      <alignment horizontal="right" vertical="center"/>
    </xf>
    <xf numFmtId="205" fontId="12" fillId="0" borderId="6" xfId="5" applyNumberFormat="1" applyFont="1" applyBorder="1" applyAlignment="1">
      <alignment horizontal="right" vertical="center"/>
    </xf>
    <xf numFmtId="205" fontId="12" fillId="0" borderId="7" xfId="5" applyNumberFormat="1" applyFont="1" applyBorder="1" applyAlignment="1">
      <alignment horizontal="right" vertical="center"/>
    </xf>
    <xf numFmtId="205" fontId="8" fillId="0" borderId="13" xfId="5" applyNumberFormat="1" applyFont="1" applyBorder="1" applyAlignment="1">
      <alignment horizontal="right" vertical="center"/>
    </xf>
    <xf numFmtId="205" fontId="8" fillId="0" borderId="9" xfId="5" applyNumberFormat="1" applyFont="1" applyBorder="1" applyAlignment="1">
      <alignment horizontal="right" vertical="center"/>
    </xf>
    <xf numFmtId="205" fontId="8" fillId="0" borderId="21" xfId="5" applyNumberFormat="1" applyFont="1" applyBorder="1" applyAlignment="1">
      <alignment horizontal="right" vertical="center"/>
    </xf>
    <xf numFmtId="205" fontId="8" fillId="0" borderId="22" xfId="5" applyNumberFormat="1" applyFont="1" applyBorder="1" applyAlignment="1">
      <alignment horizontal="right" vertical="center"/>
    </xf>
  </cellXfs>
  <cellStyles count="18">
    <cellStyle name="Cross-sheet link" xfId="8" xr:uid="{3D444F61-4664-3148-92C9-351AEFEE4001}"/>
    <cellStyle name="External link" xfId="9" xr:uid="{9A6CFFAB-0532-3B49-B807-1979C7DD49E0}"/>
    <cellStyle name="Final total" xfId="10" xr:uid="{D6CF965B-E674-4E43-A975-C5AD91D7E20F}"/>
    <cellStyle name="Final total 2" xfId="11" xr:uid="{E214A5BA-90D8-9E4B-AAB0-C6C1F53DDAD2}"/>
    <cellStyle name="Formula" xfId="12" xr:uid="{75B86338-5843-5F41-9D5A-BB2387B0636D}"/>
    <cellStyle name="hardcode2" xfId="17" xr:uid="{16410E7D-CF93-8340-B85B-018D50A57140}"/>
    <cellStyle name="Hardcoded Input" xfId="6" xr:uid="{5AD990F3-B9D1-2249-835F-0B1418A2FF83}"/>
    <cellStyle name="Highlighted row" xfId="4" xr:uid="{8EE46178-029D-E54D-A931-F536E99EFDB3}"/>
    <cellStyle name="Indented row label" xfId="13" xr:uid="{CC78546A-D152-C048-B95D-14DBDFD403EB}"/>
    <cellStyle name="indented submetric" xfId="14" xr:uid="{DDE2B372-8F3A-B041-B1DC-D4376CA0B898}"/>
    <cellStyle name="Key Output" xfId="15" xr:uid="{FB443A1E-4E4E-EE4E-BD29-08DB096F2D59}"/>
    <cellStyle name="Main Title" xfId="1" xr:uid="{5050CE1B-4CD7-E242-8260-3BD6B7302D49}"/>
    <cellStyle name="Normal" xfId="0" builtinId="0" customBuiltin="1"/>
    <cellStyle name="Normal 2" xfId="7" xr:uid="{4A80E286-E540-2842-A1AA-60A5B79E0B4F}"/>
    <cellStyle name="Section Header" xfId="3" xr:uid="{D743342E-331D-0442-B5E5-3A2B041F2CE5}"/>
    <cellStyle name="SECTIONHEADER" xfId="2" xr:uid="{68ABF177-FB99-4E43-A4FF-9FA8BDB0FA12}"/>
    <cellStyle name="Subtotal" xfId="5" xr:uid="{599C6986-2022-5644-9DDE-F17169AA6029}"/>
    <cellStyle name="Warning check" xfId="16" xr:uid="{9557D753-B5FE-FA46-A9CC-9904447662ED}"/>
  </cellStyles>
  <dxfs count="0"/>
  <tableStyles count="0" defaultTableStyle="TableStyleMedium2" defaultPivotStyle="PivotStyleLight16"/>
  <colors>
    <mruColors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van_Final_Theme">
  <a:themeElements>
    <a:clrScheme name="202124">
      <a:dk1>
        <a:srgbClr val="202024"/>
      </a:dk1>
      <a:lt1>
        <a:srgbClr val="FFFFFF"/>
      </a:lt1>
      <a:dk2>
        <a:srgbClr val="1F2C3C"/>
      </a:dk2>
      <a:lt2>
        <a:srgbClr val="DDE5EB"/>
      </a:lt2>
      <a:accent1>
        <a:srgbClr val="506479"/>
      </a:accent1>
      <a:accent2>
        <a:srgbClr val="777DB8"/>
      </a:accent2>
      <a:accent3>
        <a:srgbClr val="91B9D5"/>
      </a:accent3>
      <a:accent4>
        <a:srgbClr val="C3B96E"/>
      </a:accent4>
      <a:accent5>
        <a:srgbClr val="EAF2F8"/>
      </a:accent5>
      <a:accent6>
        <a:srgbClr val="F3EFD8"/>
      </a:accent6>
      <a:hlink>
        <a:srgbClr val="0563C1"/>
      </a:hlink>
      <a:folHlink>
        <a:srgbClr val="954F71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68FD-C641-B24E-82E3-ACC1F0F8D612}">
  <dimension ref="B1:Q48"/>
  <sheetViews>
    <sheetView showGridLines="0" workbookViewId="0">
      <selection activeCell="S26" sqref="S26"/>
    </sheetView>
  </sheetViews>
  <sheetFormatPr baseColWidth="10" defaultRowHeight="13" x14ac:dyDescent="0.15"/>
  <cols>
    <col min="1" max="1" width="5.1640625" customWidth="1"/>
    <col min="2" max="2" width="30.6640625" customWidth="1"/>
    <col min="12" max="12" width="10.83203125" customWidth="1"/>
  </cols>
  <sheetData>
    <row r="1" spans="2:17" ht="20" x14ac:dyDescent="0.2">
      <c r="B1" s="54" t="s">
        <v>0</v>
      </c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 ht="16" x14ac:dyDescent="0.15">
      <c r="B2" s="55" t="s">
        <v>189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106"/>
    </row>
    <row r="3" spans="2:17" ht="16" x14ac:dyDescent="0.15">
      <c r="B3" s="56"/>
      <c r="C3" s="5" t="s">
        <v>41</v>
      </c>
      <c r="D3" s="6"/>
      <c r="E3" s="6"/>
      <c r="F3" s="6"/>
      <c r="G3" s="6"/>
      <c r="H3" s="7" t="s">
        <v>42</v>
      </c>
      <c r="I3" s="107"/>
      <c r="J3" s="107"/>
      <c r="K3" s="107"/>
      <c r="L3" s="107"/>
      <c r="M3" s="107"/>
      <c r="N3" s="107"/>
      <c r="O3" s="107"/>
      <c r="P3" s="107"/>
      <c r="Q3" s="108"/>
    </row>
    <row r="4" spans="2:17" x14ac:dyDescent="0.15">
      <c r="B4" s="8" t="s">
        <v>2</v>
      </c>
      <c r="C4" s="9">
        <v>43830</v>
      </c>
      <c r="D4" s="9">
        <v>44196</v>
      </c>
      <c r="E4" s="9">
        <v>44561</v>
      </c>
      <c r="F4" s="9">
        <v>44926</v>
      </c>
      <c r="G4" s="9">
        <v>45291</v>
      </c>
      <c r="H4" s="10">
        <f>EDATE(G4,12)</f>
        <v>45657</v>
      </c>
      <c r="I4" s="9">
        <f>EDATE(H4,12)</f>
        <v>46022</v>
      </c>
      <c r="J4" s="9">
        <f t="shared" ref="J4:P4" si="0">EDATE(I4,12)</f>
        <v>46387</v>
      </c>
      <c r="K4" s="9">
        <f t="shared" si="0"/>
        <v>46752</v>
      </c>
      <c r="L4" s="9">
        <f t="shared" si="0"/>
        <v>47118</v>
      </c>
      <c r="M4" s="9">
        <f t="shared" si="0"/>
        <v>47483</v>
      </c>
      <c r="N4" s="9">
        <f t="shared" si="0"/>
        <v>47848</v>
      </c>
      <c r="O4" s="9">
        <f t="shared" si="0"/>
        <v>48213</v>
      </c>
      <c r="P4" s="9">
        <f t="shared" si="0"/>
        <v>48579</v>
      </c>
      <c r="Q4" s="11">
        <f>EDATE(P4,12)</f>
        <v>48944</v>
      </c>
    </row>
    <row r="5" spans="2:17" x14ac:dyDescent="0.15">
      <c r="B5" s="2" t="s">
        <v>3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98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60" t="s">
        <v>4</v>
      </c>
      <c r="N5" s="60" t="s">
        <v>4</v>
      </c>
      <c r="O5" s="60" t="s">
        <v>4</v>
      </c>
      <c r="P5" s="60" t="s">
        <v>4</v>
      </c>
      <c r="Q5" s="103" t="s">
        <v>4</v>
      </c>
    </row>
    <row r="6" spans="2:17" x14ac:dyDescent="0.15">
      <c r="B6" s="14" t="s">
        <v>5</v>
      </c>
      <c r="C6" s="14" t="s">
        <v>6</v>
      </c>
      <c r="D6" s="14" t="s">
        <v>6</v>
      </c>
      <c r="E6" s="14" t="s">
        <v>6</v>
      </c>
      <c r="F6" s="14" t="s">
        <v>6</v>
      </c>
      <c r="G6" s="14" t="s">
        <v>6</v>
      </c>
      <c r="H6" s="15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6" t="s">
        <v>6</v>
      </c>
    </row>
    <row r="7" spans="2:17" x14ac:dyDescent="0.15">
      <c r="B7" s="2" t="s">
        <v>7</v>
      </c>
      <c r="C7" s="17">
        <v>200.88200000000001</v>
      </c>
      <c r="D7" s="17">
        <v>271.14100000000002</v>
      </c>
      <c r="E7" s="17">
        <v>368.43299999999999</v>
      </c>
      <c r="F7" s="17">
        <v>431.892</v>
      </c>
      <c r="G7" s="17">
        <v>448.78800000000001</v>
      </c>
      <c r="H7" s="99">
        <f>'Revenue Build'!H10</f>
        <v>475.62</v>
      </c>
      <c r="I7" s="100">
        <f>'Revenue Build'!I10</f>
        <v>511.48650000000009</v>
      </c>
      <c r="J7" s="100">
        <f>'Revenue Build'!J10</f>
        <v>550.54978500000016</v>
      </c>
      <c r="K7" s="100">
        <f>'Revenue Build'!K10</f>
        <v>587.55922671000019</v>
      </c>
      <c r="L7" s="100">
        <f>'Revenue Build'!L10</f>
        <v>624.37252622610015</v>
      </c>
      <c r="M7" s="100">
        <f>'Revenue Build'!M10</f>
        <v>660.61825631967918</v>
      </c>
      <c r="N7" s="100">
        <f>'Revenue Build'!N10</f>
        <v>686.62527986433747</v>
      </c>
      <c r="O7" s="100">
        <f>'Revenue Build'!O10</f>
        <v>711.72924868275709</v>
      </c>
      <c r="P7" s="100">
        <f>'Revenue Build'!P10</f>
        <v>736.41819986332666</v>
      </c>
      <c r="Q7" s="104">
        <f>'Revenue Build'!Q10</f>
        <v>755.74764881899455</v>
      </c>
    </row>
    <row r="8" spans="2:17" x14ac:dyDescent="0.15">
      <c r="B8" s="20" t="s">
        <v>36</v>
      </c>
      <c r="C8" s="22"/>
      <c r="D8" s="22">
        <f>D7/C7 - 1</f>
        <v>0.34975259107336654</v>
      </c>
      <c r="E8" s="22">
        <f t="shared" ref="E8:G8" si="1">E7/D7 - 1</f>
        <v>0.35882437550942115</v>
      </c>
      <c r="F8" s="22">
        <f t="shared" si="1"/>
        <v>0.17224027163690558</v>
      </c>
      <c r="G8" s="22">
        <f t="shared" si="1"/>
        <v>3.9120891333944696E-2</v>
      </c>
      <c r="H8" s="23">
        <f>H7/G7 - 1</f>
        <v>5.9787694858151275E-2</v>
      </c>
      <c r="I8" s="22">
        <f>I7/H7 - 1</f>
        <v>7.5409991169421042E-2</v>
      </c>
      <c r="J8" s="22">
        <f t="shared" ref="J8:Q8" si="2">J7/I7 - 1</f>
        <v>7.6372074336273021E-2</v>
      </c>
      <c r="K8" s="22">
        <f t="shared" si="2"/>
        <v>6.7222697598546821E-2</v>
      </c>
      <c r="L8" s="22">
        <f t="shared" si="2"/>
        <v>6.2654619045357629E-2</v>
      </c>
      <c r="M8" s="22">
        <f t="shared" si="2"/>
        <v>5.8051449368951902E-2</v>
      </c>
      <c r="N8" s="22">
        <f t="shared" si="2"/>
        <v>3.9367703353437644E-2</v>
      </c>
      <c r="O8" s="22">
        <f t="shared" si="2"/>
        <v>3.6561381520033187E-2</v>
      </c>
      <c r="P8" s="22">
        <f t="shared" si="2"/>
        <v>3.4688684252140778E-2</v>
      </c>
      <c r="Q8" s="24">
        <f t="shared" si="2"/>
        <v>2.6247924018248492E-2</v>
      </c>
    </row>
    <row r="9" spans="2:17" x14ac:dyDescent="0.15">
      <c r="B9" s="2"/>
      <c r="C9" s="2"/>
      <c r="D9" s="2"/>
      <c r="E9" s="2"/>
      <c r="F9" s="2"/>
      <c r="G9" s="2"/>
      <c r="H9" s="12"/>
      <c r="I9" s="2"/>
      <c r="J9" s="2"/>
      <c r="K9" s="2"/>
      <c r="L9" s="60"/>
      <c r="M9" s="60"/>
      <c r="N9" s="60"/>
      <c r="O9" s="60"/>
      <c r="P9" s="60"/>
      <c r="Q9" s="13"/>
    </row>
    <row r="10" spans="2:17" x14ac:dyDescent="0.15">
      <c r="B10" s="2" t="s">
        <v>8</v>
      </c>
      <c r="C10" s="17">
        <v>63.534999999999997</v>
      </c>
      <c r="D10" s="17">
        <v>83.028000000000006</v>
      </c>
      <c r="E10" s="17">
        <v>114.21599999999999</v>
      </c>
      <c r="F10" s="17">
        <v>133.98099999999999</v>
      </c>
      <c r="G10" s="17">
        <v>130.673</v>
      </c>
      <c r="H10" s="18">
        <f>H$7*(H38)</f>
        <v>145.90970346788157</v>
      </c>
      <c r="I10" s="58">
        <f>I$7*(I38)</f>
        <v>155.94069255827256</v>
      </c>
      <c r="J10" s="58">
        <f>J$7*(J38)</f>
        <v>167.70270070295649</v>
      </c>
      <c r="K10" s="58">
        <f>K$7*(K38)</f>
        <v>178.34211776833257</v>
      </c>
      <c r="L10" s="58">
        <f>L$7*(L38)</f>
        <v>188.6808762880697</v>
      </c>
      <c r="M10" s="58">
        <f>M$7*(M38)</f>
        <v>198.84609515222343</v>
      </c>
      <c r="N10" s="58">
        <f>N$7*(N38)</f>
        <v>205.30095867943689</v>
      </c>
      <c r="O10" s="58">
        <f>O$7*(O38)</f>
        <v>212.80704535614436</v>
      </c>
      <c r="P10" s="58">
        <f>P$7*(P38)</f>
        <v>218.71620535940801</v>
      </c>
      <c r="Q10" s="19">
        <f>Q$7*(Q38)</f>
        <v>223.70130405042238</v>
      </c>
    </row>
    <row r="11" spans="2:17" x14ac:dyDescent="0.15">
      <c r="B11" s="2" t="s">
        <v>9</v>
      </c>
      <c r="C11" s="17">
        <v>137.34700000000001</v>
      </c>
      <c r="D11" s="17">
        <v>188.113</v>
      </c>
      <c r="E11" s="17">
        <v>254.21700000000001</v>
      </c>
      <c r="F11" s="17">
        <v>297.911</v>
      </c>
      <c r="G11" s="17">
        <v>318.11500000000001</v>
      </c>
      <c r="H11" s="102">
        <f>H7-H10</f>
        <v>329.71029653211843</v>
      </c>
      <c r="I11" s="114">
        <f t="shared" ref="I11:N11" si="3">I7-I10</f>
        <v>355.54580744172756</v>
      </c>
      <c r="J11" s="114">
        <f t="shared" si="3"/>
        <v>382.84708429704369</v>
      </c>
      <c r="K11" s="114">
        <f t="shared" si="3"/>
        <v>409.21710894166762</v>
      </c>
      <c r="L11" s="114">
        <f t="shared" si="3"/>
        <v>435.69164993803042</v>
      </c>
      <c r="M11" s="114">
        <f t="shared" si="3"/>
        <v>461.77216116745575</v>
      </c>
      <c r="N11" s="114">
        <f t="shared" si="3"/>
        <v>481.32432118490055</v>
      </c>
      <c r="O11" s="114">
        <f>O7-O10</f>
        <v>498.9222033266127</v>
      </c>
      <c r="P11" s="114">
        <f>P7-P10</f>
        <v>517.70199450391863</v>
      </c>
      <c r="Q11" s="130">
        <f>Q7-Q10</f>
        <v>532.04634476857223</v>
      </c>
    </row>
    <row r="12" spans="2:17" x14ac:dyDescent="0.15">
      <c r="B12" s="2" t="s">
        <v>10</v>
      </c>
      <c r="C12" s="17">
        <v>124.816</v>
      </c>
      <c r="D12" s="17">
        <v>179.81800000000001</v>
      </c>
      <c r="E12" s="17">
        <v>217.869</v>
      </c>
      <c r="F12" s="17">
        <v>234.79400000000001</v>
      </c>
      <c r="G12" s="17">
        <v>217.39</v>
      </c>
      <c r="H12" s="18">
        <f>H39*H$7</f>
        <v>212.60214000000002</v>
      </c>
      <c r="I12" s="58">
        <f>I39*I$7</f>
        <v>209.70946500000002</v>
      </c>
      <c r="J12" s="58">
        <f>J39*J$7</f>
        <v>216.36606550500008</v>
      </c>
      <c r="K12" s="58">
        <f>K39*K$7</f>
        <v>217.39691388270006</v>
      </c>
      <c r="L12" s="58">
        <f>L39*L$7</f>
        <v>223.52536438894384</v>
      </c>
      <c r="M12" s="58">
        <f>M39*M$7</f>
        <v>231.87700796820738</v>
      </c>
      <c r="N12" s="58">
        <f>N39*N$7</f>
        <v>237.57234683306075</v>
      </c>
      <c r="O12" s="58">
        <f>O39*O$7</f>
        <v>243.41140304950295</v>
      </c>
      <c r="P12" s="58">
        <f>P39*P$7</f>
        <v>248.90935155380444</v>
      </c>
      <c r="Q12" s="19">
        <f>Q39*Q$7</f>
        <v>250.15247175908721</v>
      </c>
    </row>
    <row r="13" spans="2:17" x14ac:dyDescent="0.15">
      <c r="B13" s="2" t="s">
        <v>11</v>
      </c>
      <c r="C13" s="17">
        <v>49.521999999999998</v>
      </c>
      <c r="D13" s="17">
        <v>61.914999999999999</v>
      </c>
      <c r="E13" s="17">
        <v>80.936999999999998</v>
      </c>
      <c r="F13" s="17">
        <v>94.039000000000001</v>
      </c>
      <c r="G13" s="17">
        <v>91.173000000000002</v>
      </c>
      <c r="H13" s="18">
        <f>H40*H$7</f>
        <v>93.221519999999998</v>
      </c>
      <c r="I13" s="58">
        <f>I40*I$7</f>
        <v>98.20540800000002</v>
      </c>
      <c r="J13" s="58">
        <f>J40*J$7</f>
        <v>103.50335958000002</v>
      </c>
      <c r="K13" s="58">
        <f>K40*K$7</f>
        <v>107.52333848793003</v>
      </c>
      <c r="L13" s="58">
        <f>L40*L$7</f>
        <v>111.76268219447192</v>
      </c>
      <c r="M13" s="58">
        <f>M40*M$7</f>
        <v>117.59004962490289</v>
      </c>
      <c r="N13" s="58">
        <f>N40*N$7</f>
        <v>119.47279869639472</v>
      </c>
      <c r="O13" s="58">
        <f>O40*O$7</f>
        <v>121.70570152475148</v>
      </c>
      <c r="P13" s="58">
        <f>P40*P$7</f>
        <v>124.45467577690222</v>
      </c>
      <c r="Q13" s="19">
        <f>Q40*Q$7</f>
        <v>126.96560500159109</v>
      </c>
    </row>
    <row r="14" spans="2:17" x14ac:dyDescent="0.15">
      <c r="B14" s="2" t="s">
        <v>12</v>
      </c>
      <c r="C14" s="17">
        <v>10.199999999999999</v>
      </c>
      <c r="D14" s="17">
        <v>18.600000000000001</v>
      </c>
      <c r="E14" s="17">
        <v>31.7</v>
      </c>
      <c r="F14" s="17">
        <v>35.700000000000003</v>
      </c>
      <c r="G14" s="17">
        <v>33.200000000000003</v>
      </c>
      <c r="H14" s="18">
        <f>H41*H$7</f>
        <v>34.439807379470466</v>
      </c>
      <c r="I14" s="58">
        <f>I41*I$7</f>
        <v>37.036912949832903</v>
      </c>
      <c r="J14" s="58">
        <f>J41*J$7</f>
        <v>39.86549881882361</v>
      </c>
      <c r="K14" s="58">
        <f>K41*K$7</f>
        <v>42.545365190536614</v>
      </c>
      <c r="L14" s="58">
        <f>L41*L$7</f>
        <v>45.211028838695306</v>
      </c>
      <c r="M14" s="58">
        <f>M41*M$7</f>
        <v>47.835594590243048</v>
      </c>
      <c r="N14" s="58">
        <f>N41*N$7</f>
        <v>49.718772087807039</v>
      </c>
      <c r="O14" s="58">
        <f>O41*O$7</f>
        <v>51.536559082816929</v>
      </c>
      <c r="P14" s="58">
        <f>P41*P$7</f>
        <v>53.32429450828257</v>
      </c>
      <c r="Q14" s="19">
        <f>Q41*Q$7</f>
        <v>54.72394653886267</v>
      </c>
    </row>
    <row r="15" spans="2:17" x14ac:dyDescent="0.15">
      <c r="B15" s="2"/>
      <c r="C15" s="2"/>
      <c r="D15" s="2"/>
      <c r="E15" s="2"/>
      <c r="F15" s="2"/>
      <c r="G15" s="2"/>
      <c r="H15" s="18"/>
      <c r="I15" s="58"/>
      <c r="J15" s="58"/>
      <c r="K15" s="58"/>
      <c r="L15" s="58"/>
      <c r="M15" s="58"/>
      <c r="N15" s="58"/>
      <c r="O15" s="58"/>
      <c r="P15" s="58"/>
      <c r="Q15" s="19"/>
    </row>
    <row r="16" spans="2:17" x14ac:dyDescent="0.15">
      <c r="B16" s="2" t="s">
        <v>14</v>
      </c>
      <c r="C16" s="2">
        <v>1.4</v>
      </c>
      <c r="D16" s="2">
        <v>0.4</v>
      </c>
      <c r="E16" s="2">
        <v>-7.2</v>
      </c>
      <c r="F16" s="2">
        <v>-1.7</v>
      </c>
      <c r="G16" s="2">
        <v>25.1</v>
      </c>
      <c r="H16" s="18">
        <f>H$7*(H42)</f>
        <v>3.8900514357356339</v>
      </c>
      <c r="I16" s="17">
        <f>I$7*(I42)</f>
        <v>3.5804055000000008</v>
      </c>
      <c r="J16" s="17">
        <f>J$7*(J42)</f>
        <v>3.8538484950000012</v>
      </c>
      <c r="K16" s="17">
        <f>K$7*(K42)</f>
        <v>3.5253553602600012</v>
      </c>
      <c r="L16" s="58">
        <f>L$7*(L42)</f>
        <v>2.4974901049044007</v>
      </c>
      <c r="M16" s="58">
        <f>M$7*(M42)</f>
        <v>1.3212365126393584</v>
      </c>
      <c r="N16" s="58">
        <f>N$7*(N42)</f>
        <v>0</v>
      </c>
      <c r="O16" s="58">
        <f>O$7*(O42)</f>
        <v>0</v>
      </c>
      <c r="P16" s="58">
        <f>P$7*(P42)</f>
        <v>0</v>
      </c>
      <c r="Q16" s="19">
        <f>Q$7*(Q42)</f>
        <v>0</v>
      </c>
    </row>
    <row r="17" spans="2:17" x14ac:dyDescent="0.15">
      <c r="B17" s="2"/>
      <c r="C17" s="2"/>
      <c r="D17" s="2"/>
      <c r="E17" s="2"/>
      <c r="F17" s="2"/>
      <c r="G17" s="2"/>
      <c r="H17" s="12"/>
      <c r="I17" s="2"/>
      <c r="J17" s="2"/>
      <c r="K17" s="2"/>
      <c r="L17" s="60"/>
      <c r="M17" s="60"/>
      <c r="N17" s="60"/>
      <c r="O17" s="60"/>
      <c r="P17" s="60"/>
      <c r="Q17" s="13"/>
    </row>
    <row r="18" spans="2:17" x14ac:dyDescent="0.15">
      <c r="B18" s="2" t="s">
        <v>16</v>
      </c>
      <c r="C18" s="2">
        <v>249.5</v>
      </c>
      <c r="D18" s="2">
        <v>343.8</v>
      </c>
      <c r="E18" s="2">
        <v>437.5</v>
      </c>
      <c r="F18" s="2">
        <v>496.8</v>
      </c>
      <c r="G18" s="2">
        <v>497.5</v>
      </c>
      <c r="H18" s="94">
        <f>SUM(H12:H14)+H10</f>
        <v>486.17317084735208</v>
      </c>
      <c r="I18" s="97">
        <f t="shared" ref="I18:N18" si="4">SUM(I12:I14)+I10</f>
        <v>500.89247850810557</v>
      </c>
      <c r="J18" s="97">
        <f t="shared" si="4"/>
        <v>527.43762460678022</v>
      </c>
      <c r="K18" s="97">
        <f t="shared" si="4"/>
        <v>545.80773532949934</v>
      </c>
      <c r="L18" s="97">
        <f t="shared" si="4"/>
        <v>569.17995171018072</v>
      </c>
      <c r="M18" s="58">
        <f t="shared" si="4"/>
        <v>596.14874733557667</v>
      </c>
      <c r="N18" s="58">
        <f t="shared" si="4"/>
        <v>612.06487629669937</v>
      </c>
      <c r="O18" s="58">
        <f>SUM(O12:O14)+O10</f>
        <v>629.46070901321571</v>
      </c>
      <c r="P18" s="58">
        <f>SUM(P12:P14)+P10</f>
        <v>645.4045271983972</v>
      </c>
      <c r="Q18" s="19">
        <f>SUM(Q12:Q14)+Q10</f>
        <v>655.54332734996331</v>
      </c>
    </row>
    <row r="19" spans="2:17" x14ac:dyDescent="0.15">
      <c r="B19" s="25" t="s">
        <v>17</v>
      </c>
      <c r="C19" s="26">
        <f>C7-C18</f>
        <v>-48.617999999999995</v>
      </c>
      <c r="D19" s="26">
        <f t="shared" ref="D19:G19" si="5">D7-D18</f>
        <v>-72.658999999999992</v>
      </c>
      <c r="E19" s="26">
        <f t="shared" si="5"/>
        <v>-69.067000000000007</v>
      </c>
      <c r="F19" s="26">
        <f t="shared" si="5"/>
        <v>-64.908000000000015</v>
      </c>
      <c r="G19" s="26">
        <f t="shared" si="5"/>
        <v>-48.711999999999989</v>
      </c>
      <c r="H19" s="27">
        <f>H7-H18</f>
        <v>-10.553170847352078</v>
      </c>
      <c r="I19" s="26">
        <f t="shared" ref="I19:N19" si="6">I7-I18</f>
        <v>10.594021491894523</v>
      </c>
      <c r="J19" s="26">
        <f t="shared" si="6"/>
        <v>23.112160393219938</v>
      </c>
      <c r="K19" s="26">
        <f t="shared" si="6"/>
        <v>41.751491380500852</v>
      </c>
      <c r="L19" s="26">
        <f t="shared" si="6"/>
        <v>55.192574515919432</v>
      </c>
      <c r="M19" s="26">
        <f t="shared" si="6"/>
        <v>64.469508984102504</v>
      </c>
      <c r="N19" s="26">
        <f t="shared" si="6"/>
        <v>74.560403567638105</v>
      </c>
      <c r="O19" s="26">
        <f>O7-O18</f>
        <v>82.268539669541383</v>
      </c>
      <c r="P19" s="26">
        <f>P7-P18</f>
        <v>91.013672664929459</v>
      </c>
      <c r="Q19" s="28">
        <f>Q7-Q18</f>
        <v>100.20432146903124</v>
      </c>
    </row>
    <row r="20" spans="2:17" x14ac:dyDescent="0.15">
      <c r="B20" s="32" t="s">
        <v>38</v>
      </c>
      <c r="C20" s="33">
        <f>C19/C7</f>
        <v>-0.24202267998128252</v>
      </c>
      <c r="D20" s="33">
        <f t="shared" ref="D20:G20" si="7">D19/D7</f>
        <v>-0.267974965055082</v>
      </c>
      <c r="E20" s="33">
        <f t="shared" si="7"/>
        <v>-0.18746149232017764</v>
      </c>
      <c r="F20" s="33">
        <f t="shared" si="7"/>
        <v>-0.15028757189297329</v>
      </c>
      <c r="G20" s="33">
        <f t="shared" si="7"/>
        <v>-0.10854122659251136</v>
      </c>
      <c r="H20" s="34">
        <f>H19/H7</f>
        <v>-2.218824029130835E-2</v>
      </c>
      <c r="I20" s="33">
        <f t="shared" ref="I20:N20" si="8">I19/I7</f>
        <v>2.0712221127819643E-2</v>
      </c>
      <c r="J20" s="33">
        <f t="shared" si="8"/>
        <v>4.1980146070204949E-2</v>
      </c>
      <c r="K20" s="33">
        <f t="shared" si="8"/>
        <v>7.1059204727812075E-2</v>
      </c>
      <c r="L20" s="33">
        <f t="shared" si="8"/>
        <v>8.8396865969616489E-2</v>
      </c>
      <c r="M20" s="33">
        <f t="shared" si="8"/>
        <v>9.7589656912092843E-2</v>
      </c>
      <c r="N20" s="33">
        <f t="shared" si="8"/>
        <v>0.1085896569120928</v>
      </c>
      <c r="O20" s="33">
        <f>O19/O7</f>
        <v>0.11558965691209268</v>
      </c>
      <c r="P20" s="33">
        <f>P19/P7</f>
        <v>0.12358965691209271</v>
      </c>
      <c r="Q20" s="35">
        <f>Q19/Q7</f>
        <v>0.13258965691209273</v>
      </c>
    </row>
    <row r="21" spans="2:17" x14ac:dyDescent="0.15">
      <c r="B21" s="36" t="s">
        <v>39</v>
      </c>
      <c r="C21" s="37">
        <f>C19+C14</f>
        <v>-38.417999999999992</v>
      </c>
      <c r="D21" s="37">
        <f t="shared" ref="D21:G21" si="9">D19+D14</f>
        <v>-54.05899999999999</v>
      </c>
      <c r="E21" s="37">
        <f t="shared" si="9"/>
        <v>-37.367000000000004</v>
      </c>
      <c r="F21" s="37">
        <f t="shared" si="9"/>
        <v>-29.208000000000013</v>
      </c>
      <c r="G21" s="37">
        <f t="shared" si="9"/>
        <v>-15.511999999999986</v>
      </c>
      <c r="H21" s="38">
        <f>H19+H14</f>
        <v>23.886636532118388</v>
      </c>
      <c r="I21" s="37">
        <f t="shared" ref="I21:N21" si="10">I19+I14</f>
        <v>47.630934441727426</v>
      </c>
      <c r="J21" s="37">
        <f t="shared" si="10"/>
        <v>62.977659212043548</v>
      </c>
      <c r="K21" s="37">
        <f t="shared" si="10"/>
        <v>84.296856571037466</v>
      </c>
      <c r="L21" s="37">
        <f t="shared" si="10"/>
        <v>100.40360335461475</v>
      </c>
      <c r="M21" s="37">
        <f t="shared" si="10"/>
        <v>112.30510357434555</v>
      </c>
      <c r="N21" s="37">
        <f t="shared" si="10"/>
        <v>124.27917565544514</v>
      </c>
      <c r="O21" s="37">
        <f>O19+O14</f>
        <v>133.8050987523583</v>
      </c>
      <c r="P21" s="37">
        <f>P19+P14</f>
        <v>144.33796717321204</v>
      </c>
      <c r="Q21" s="39">
        <f>Q19+Q14</f>
        <v>154.92826800789391</v>
      </c>
    </row>
    <row r="22" spans="2:17" x14ac:dyDescent="0.15">
      <c r="B22" s="32" t="s">
        <v>40</v>
      </c>
      <c r="C22" s="33">
        <f>C21/C7</f>
        <v>-0.1912466024830497</v>
      </c>
      <c r="D22" s="33">
        <f t="shared" ref="D22:G22" si="11">D21/D7</f>
        <v>-0.19937597043604613</v>
      </c>
      <c r="E22" s="33">
        <f t="shared" si="11"/>
        <v>-0.10142142533377847</v>
      </c>
      <c r="F22" s="33">
        <f t="shared" si="11"/>
        <v>-6.7628018115640051E-2</v>
      </c>
      <c r="G22" s="33">
        <f t="shared" si="11"/>
        <v>-3.456420403397592E-2</v>
      </c>
      <c r="H22" s="34">
        <f>H21/H7</f>
        <v>5.0222102796598937E-2</v>
      </c>
      <c r="I22" s="33">
        <f t="shared" ref="I22:N22" si="12">I21/I7</f>
        <v>9.3122564215726941E-2</v>
      </c>
      <c r="J22" s="33">
        <f t="shared" si="12"/>
        <v>0.11439048915811224</v>
      </c>
      <c r="K22" s="33">
        <f t="shared" si="12"/>
        <v>0.14346954781571936</v>
      </c>
      <c r="L22" s="33">
        <f t="shared" si="12"/>
        <v>0.1608072090575238</v>
      </c>
      <c r="M22" s="33">
        <f t="shared" si="12"/>
        <v>0.17000000000000015</v>
      </c>
      <c r="N22" s="33">
        <f t="shared" si="12"/>
        <v>0.18100000000000008</v>
      </c>
      <c r="O22" s="33">
        <f>O21/O7</f>
        <v>0.18799999999999997</v>
      </c>
      <c r="P22" s="33">
        <f>P21/P7</f>
        <v>0.19600000000000001</v>
      </c>
      <c r="Q22" s="35">
        <f>Q21/Q7</f>
        <v>0.20500000000000004</v>
      </c>
    </row>
    <row r="23" spans="2:17" x14ac:dyDescent="0.15">
      <c r="B23" s="32"/>
      <c r="C23" s="33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5"/>
    </row>
    <row r="24" spans="2:17" x14ac:dyDescent="0.15">
      <c r="B24" s="115" t="s">
        <v>190</v>
      </c>
      <c r="C24" s="209">
        <v>165</v>
      </c>
      <c r="D24" s="209">
        <f>C27</f>
        <v>213.61799999999999</v>
      </c>
      <c r="E24" s="209">
        <f t="shared" ref="E24:Q24" si="13">D27</f>
        <v>286.27699999999999</v>
      </c>
      <c r="F24" s="209">
        <f t="shared" si="13"/>
        <v>355.34399999999999</v>
      </c>
      <c r="G24" s="209">
        <f t="shared" si="13"/>
        <v>420.25200000000001</v>
      </c>
      <c r="H24" s="210">
        <f t="shared" si="13"/>
        <v>468.964</v>
      </c>
      <c r="I24" s="211">
        <f t="shared" si="13"/>
        <v>479.51717084735208</v>
      </c>
      <c r="J24" s="211">
        <f t="shared" si="13"/>
        <v>468.92314935545755</v>
      </c>
      <c r="K24" s="211">
        <f t="shared" si="13"/>
        <v>445.81098896223762</v>
      </c>
      <c r="L24" s="211">
        <f t="shared" si="13"/>
        <v>404.05949758173676</v>
      </c>
      <c r="M24" s="211">
        <f t="shared" si="13"/>
        <v>348.86692306581733</v>
      </c>
      <c r="N24" s="211">
        <f t="shared" si="13"/>
        <v>284.39741408171483</v>
      </c>
      <c r="O24" s="211">
        <f t="shared" si="13"/>
        <v>209.83701051407672</v>
      </c>
      <c r="P24" s="211">
        <f t="shared" si="13"/>
        <v>127.56847084453534</v>
      </c>
      <c r="Q24" s="212">
        <f t="shared" si="13"/>
        <v>36.554798179605882</v>
      </c>
    </row>
    <row r="25" spans="2:17" x14ac:dyDescent="0.15">
      <c r="B25" s="115" t="s">
        <v>184</v>
      </c>
      <c r="C25" s="209">
        <f>MAX(0,-C19)</f>
        <v>48.617999999999995</v>
      </c>
      <c r="D25" s="209">
        <f t="shared" ref="D25:Q25" si="14">MAX(0,-D19)</f>
        <v>72.658999999999992</v>
      </c>
      <c r="E25" s="209">
        <f t="shared" si="14"/>
        <v>69.067000000000007</v>
      </c>
      <c r="F25" s="209">
        <f t="shared" si="14"/>
        <v>64.908000000000015</v>
      </c>
      <c r="G25" s="209">
        <f t="shared" si="14"/>
        <v>48.711999999999989</v>
      </c>
      <c r="H25" s="210">
        <f t="shared" si="14"/>
        <v>10.553170847352078</v>
      </c>
      <c r="I25" s="211">
        <f t="shared" si="14"/>
        <v>0</v>
      </c>
      <c r="J25" s="211">
        <f t="shared" si="14"/>
        <v>0</v>
      </c>
      <c r="K25" s="211">
        <f t="shared" si="14"/>
        <v>0</v>
      </c>
      <c r="L25" s="211">
        <f t="shared" si="14"/>
        <v>0</v>
      </c>
      <c r="M25" s="211">
        <f t="shared" si="14"/>
        <v>0</v>
      </c>
      <c r="N25" s="211">
        <f t="shared" si="14"/>
        <v>0</v>
      </c>
      <c r="O25" s="211">
        <f t="shared" si="14"/>
        <v>0</v>
      </c>
      <c r="P25" s="211">
        <f t="shared" si="14"/>
        <v>0</v>
      </c>
      <c r="Q25" s="212">
        <f t="shared" si="14"/>
        <v>0</v>
      </c>
    </row>
    <row r="26" spans="2:17" x14ac:dyDescent="0.15">
      <c r="B26" s="115" t="s">
        <v>185</v>
      </c>
      <c r="C26" s="213">
        <f>MIN(C24,MAX(0,C19))</f>
        <v>0</v>
      </c>
      <c r="D26" s="213">
        <f t="shared" ref="D26:Q26" si="15">MIN(D24,MAX(0,D19))</f>
        <v>0</v>
      </c>
      <c r="E26" s="213">
        <f t="shared" si="15"/>
        <v>0</v>
      </c>
      <c r="F26" s="213">
        <f t="shared" si="15"/>
        <v>0</v>
      </c>
      <c r="G26" s="213">
        <f t="shared" si="15"/>
        <v>0</v>
      </c>
      <c r="H26" s="214">
        <f t="shared" si="15"/>
        <v>0</v>
      </c>
      <c r="I26" s="213">
        <f t="shared" si="15"/>
        <v>10.594021491894523</v>
      </c>
      <c r="J26" s="213">
        <f t="shared" si="15"/>
        <v>23.112160393219938</v>
      </c>
      <c r="K26" s="213">
        <f t="shared" si="15"/>
        <v>41.751491380500852</v>
      </c>
      <c r="L26" s="213">
        <f t="shared" si="15"/>
        <v>55.192574515919432</v>
      </c>
      <c r="M26" s="213">
        <f t="shared" si="15"/>
        <v>64.469508984102504</v>
      </c>
      <c r="N26" s="213">
        <f t="shared" si="15"/>
        <v>74.560403567638105</v>
      </c>
      <c r="O26" s="213">
        <f t="shared" si="15"/>
        <v>82.268539669541383</v>
      </c>
      <c r="P26" s="213">
        <f t="shared" si="15"/>
        <v>91.013672664929459</v>
      </c>
      <c r="Q26" s="215">
        <f t="shared" si="15"/>
        <v>36.554798179605882</v>
      </c>
    </row>
    <row r="27" spans="2:17" x14ac:dyDescent="0.15">
      <c r="B27" s="115" t="s">
        <v>186</v>
      </c>
      <c r="C27" s="209">
        <f>C24+C25-C26</f>
        <v>213.61799999999999</v>
      </c>
      <c r="D27" s="209">
        <f t="shared" ref="D27:Q27" si="16">D24+D25-D26</f>
        <v>286.27699999999999</v>
      </c>
      <c r="E27" s="209">
        <f t="shared" si="16"/>
        <v>355.34399999999999</v>
      </c>
      <c r="F27" s="209">
        <f t="shared" si="16"/>
        <v>420.25200000000001</v>
      </c>
      <c r="G27" s="209">
        <f t="shared" si="16"/>
        <v>468.964</v>
      </c>
      <c r="H27" s="210">
        <f t="shared" si="16"/>
        <v>479.51717084735208</v>
      </c>
      <c r="I27" s="211">
        <f t="shared" si="16"/>
        <v>468.92314935545755</v>
      </c>
      <c r="J27" s="211">
        <f t="shared" si="16"/>
        <v>445.81098896223762</v>
      </c>
      <c r="K27" s="211">
        <f t="shared" si="16"/>
        <v>404.05949758173676</v>
      </c>
      <c r="L27" s="211">
        <f t="shared" si="16"/>
        <v>348.86692306581733</v>
      </c>
      <c r="M27" s="211">
        <f t="shared" si="16"/>
        <v>284.39741408171483</v>
      </c>
      <c r="N27" s="211">
        <f t="shared" si="16"/>
        <v>209.83701051407672</v>
      </c>
      <c r="O27" s="211">
        <f t="shared" si="16"/>
        <v>127.56847084453534</v>
      </c>
      <c r="P27" s="211">
        <f t="shared" si="16"/>
        <v>36.554798179605882</v>
      </c>
      <c r="Q27" s="212">
        <f t="shared" si="16"/>
        <v>0</v>
      </c>
    </row>
    <row r="28" spans="2:17" x14ac:dyDescent="0.15">
      <c r="B28" s="115" t="s">
        <v>187</v>
      </c>
      <c r="C28" s="213">
        <f>MAX(0,C19-C26)</f>
        <v>0</v>
      </c>
      <c r="D28" s="213">
        <f t="shared" ref="D28:Q28" si="17">MAX(0,D19-D26)</f>
        <v>0</v>
      </c>
      <c r="E28" s="213">
        <f t="shared" si="17"/>
        <v>0</v>
      </c>
      <c r="F28" s="213">
        <f t="shared" si="17"/>
        <v>0</v>
      </c>
      <c r="G28" s="213">
        <f t="shared" si="17"/>
        <v>0</v>
      </c>
      <c r="H28" s="216">
        <f t="shared" si="17"/>
        <v>0</v>
      </c>
      <c r="I28" s="213">
        <f t="shared" si="17"/>
        <v>0</v>
      </c>
      <c r="J28" s="213">
        <f t="shared" si="17"/>
        <v>0</v>
      </c>
      <c r="K28" s="213">
        <f t="shared" si="17"/>
        <v>0</v>
      </c>
      <c r="L28" s="213">
        <f t="shared" si="17"/>
        <v>0</v>
      </c>
      <c r="M28" s="213">
        <f t="shared" si="17"/>
        <v>0</v>
      </c>
      <c r="N28" s="213">
        <f t="shared" si="17"/>
        <v>0</v>
      </c>
      <c r="O28" s="213">
        <f t="shared" si="17"/>
        <v>0</v>
      </c>
      <c r="P28" s="213">
        <f t="shared" si="17"/>
        <v>0</v>
      </c>
      <c r="Q28" s="217">
        <f t="shared" si="17"/>
        <v>63.64952328942536</v>
      </c>
    </row>
    <row r="29" spans="2:17" x14ac:dyDescent="0.15">
      <c r="B29" s="116" t="s">
        <v>179</v>
      </c>
      <c r="C29" s="218">
        <f>C28*C48</f>
        <v>0</v>
      </c>
      <c r="D29" s="218">
        <f t="shared" ref="D29:Q29" si="18">D28*D48</f>
        <v>0</v>
      </c>
      <c r="E29" s="218">
        <f t="shared" si="18"/>
        <v>0</v>
      </c>
      <c r="F29" s="218">
        <f t="shared" si="18"/>
        <v>0</v>
      </c>
      <c r="G29" s="218">
        <f t="shared" si="18"/>
        <v>0</v>
      </c>
      <c r="H29" s="219">
        <f t="shared" si="18"/>
        <v>0</v>
      </c>
      <c r="I29" s="220">
        <f t="shared" si="18"/>
        <v>0</v>
      </c>
      <c r="J29" s="220">
        <f t="shared" si="18"/>
        <v>0</v>
      </c>
      <c r="K29" s="220">
        <f t="shared" si="18"/>
        <v>0</v>
      </c>
      <c r="L29" s="220">
        <f t="shared" si="18"/>
        <v>0</v>
      </c>
      <c r="M29" s="220">
        <f t="shared" si="18"/>
        <v>0</v>
      </c>
      <c r="N29" s="220">
        <f t="shared" si="18"/>
        <v>0</v>
      </c>
      <c r="O29" s="220">
        <f t="shared" si="18"/>
        <v>0</v>
      </c>
      <c r="P29" s="220">
        <f t="shared" si="18"/>
        <v>0</v>
      </c>
      <c r="Q29" s="221">
        <f t="shared" si="18"/>
        <v>13.366399890779325</v>
      </c>
    </row>
    <row r="30" spans="2:17" x14ac:dyDescent="0.15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2:17" x14ac:dyDescent="0.15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2:17" x14ac:dyDescent="0.15">
      <c r="B32" s="29"/>
      <c r="C32" s="30"/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spans="2:17" ht="16" x14ac:dyDescent="0.15">
      <c r="B33" s="55" t="s">
        <v>35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95"/>
      <c r="N33" s="95"/>
      <c r="O33" s="95"/>
      <c r="P33" s="95"/>
      <c r="Q33" s="95"/>
    </row>
    <row r="34" spans="2:17" x14ac:dyDescent="0.1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60"/>
      <c r="N34" s="60"/>
      <c r="O34" s="60"/>
      <c r="P34" s="60"/>
      <c r="Q34" s="60"/>
    </row>
    <row r="35" spans="2:17" x14ac:dyDescent="0.15">
      <c r="B35" s="40" t="s">
        <v>49</v>
      </c>
      <c r="C35" s="59" t="s">
        <v>50</v>
      </c>
      <c r="D35" s="59"/>
      <c r="E35" s="59"/>
      <c r="F35" s="59"/>
      <c r="G35" s="59"/>
      <c r="H35" s="59"/>
      <c r="I35" s="59"/>
      <c r="J35" s="59"/>
      <c r="K35" s="59"/>
      <c r="L35" s="59"/>
      <c r="M35" s="96"/>
      <c r="N35" s="96"/>
      <c r="O35" s="96"/>
      <c r="P35" s="96"/>
      <c r="Q35" s="96"/>
    </row>
    <row r="36" spans="2:17" x14ac:dyDescent="0.1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60"/>
      <c r="N36" s="60"/>
      <c r="O36" s="60"/>
      <c r="P36" s="60"/>
      <c r="Q36" s="60"/>
    </row>
    <row r="37" spans="2:17" x14ac:dyDescent="0.15">
      <c r="B37" s="40"/>
      <c r="C37" s="40"/>
      <c r="D37" s="40"/>
      <c r="E37" s="40"/>
      <c r="F37" s="40"/>
      <c r="G37" s="40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2:17" x14ac:dyDescent="0.15">
      <c r="B38" s="2" t="s">
        <v>43</v>
      </c>
      <c r="C38" s="42">
        <f>C10/C7</f>
        <v>0.31628020429904119</v>
      </c>
      <c r="D38" s="42">
        <f>D10/D7</f>
        <v>0.3062170604961994</v>
      </c>
      <c r="E38" s="42">
        <f>E10/E7</f>
        <v>0.31000480412992321</v>
      </c>
      <c r="F38" s="42">
        <f>F10/F7</f>
        <v>0.31021875839330204</v>
      </c>
      <c r="G38" s="42">
        <f>G10/G7</f>
        <v>0.2911686586985392</v>
      </c>
      <c r="H38" s="43">
        <f>AVERAGE(C38:G38)</f>
        <v>0.30677789720340098</v>
      </c>
      <c r="I38" s="44">
        <f t="shared" ref="I38:L38" si="19">AVERAGE(D38:H38)</f>
        <v>0.30487743578427295</v>
      </c>
      <c r="J38" s="44">
        <f t="shared" si="19"/>
        <v>0.3046095108418877</v>
      </c>
      <c r="K38" s="44">
        <f t="shared" si="19"/>
        <v>0.30353045218428054</v>
      </c>
      <c r="L38" s="44">
        <f t="shared" si="19"/>
        <v>0.30219279094247631</v>
      </c>
      <c r="M38" s="44">
        <v>0.30099999999999999</v>
      </c>
      <c r="N38" s="44">
        <v>0.29899999999999999</v>
      </c>
      <c r="O38" s="44">
        <v>0.29899999999999999</v>
      </c>
      <c r="P38" s="44">
        <v>0.29699999999999999</v>
      </c>
      <c r="Q38" s="45">
        <v>0.29599999999999999</v>
      </c>
    </row>
    <row r="39" spans="2:17" x14ac:dyDescent="0.15">
      <c r="B39" s="46" t="s">
        <v>44</v>
      </c>
      <c r="C39" s="42">
        <f>C12/C$7</f>
        <v>0.62133989108033572</v>
      </c>
      <c r="D39" s="42">
        <f>D12/D$7</f>
        <v>0.66319000077450474</v>
      </c>
      <c r="E39" s="42">
        <f>E12/E$7</f>
        <v>0.59133953798926808</v>
      </c>
      <c r="F39" s="42">
        <f>F12/F$7</f>
        <v>0.54364053976457083</v>
      </c>
      <c r="G39" s="42">
        <f>G12/G$7</f>
        <v>0.48439352210843423</v>
      </c>
      <c r="H39" s="47">
        <v>0.44700000000000001</v>
      </c>
      <c r="I39" s="57">
        <v>0.41</v>
      </c>
      <c r="J39" s="57">
        <v>0.39300000000000002</v>
      </c>
      <c r="K39" s="57">
        <v>0.37</v>
      </c>
      <c r="L39" s="57">
        <v>0.35799999999999998</v>
      </c>
      <c r="M39" s="57">
        <v>0.35099999999999998</v>
      </c>
      <c r="N39" s="57">
        <v>0.34599999999999997</v>
      </c>
      <c r="O39" s="57">
        <v>0.34200000000000003</v>
      </c>
      <c r="P39" s="57">
        <v>0.33800000000000002</v>
      </c>
      <c r="Q39" s="48">
        <v>0.33100000000000002</v>
      </c>
    </row>
    <row r="40" spans="2:17" x14ac:dyDescent="0.15">
      <c r="B40" s="46" t="s">
        <v>45</v>
      </c>
      <c r="C40" s="42">
        <f>C13/C$7</f>
        <v>0.24652283430073374</v>
      </c>
      <c r="D40" s="42">
        <f>D13/D$7</f>
        <v>0.22834982536761314</v>
      </c>
      <c r="E40" s="42">
        <f>E13/E$7</f>
        <v>0.2196790189803845</v>
      </c>
      <c r="F40" s="42">
        <f>F13/F$7</f>
        <v>0.21773730469654451</v>
      </c>
      <c r="G40" s="42">
        <f>G13/G$7</f>
        <v>0.20315382764245032</v>
      </c>
      <c r="H40" s="47">
        <v>0.19600000000000001</v>
      </c>
      <c r="I40" s="57">
        <v>0.192</v>
      </c>
      <c r="J40" s="57">
        <v>0.188</v>
      </c>
      <c r="K40" s="57">
        <v>0.183</v>
      </c>
      <c r="L40" s="57">
        <v>0.17899999999999999</v>
      </c>
      <c r="M40" s="57">
        <v>0.17799999999999999</v>
      </c>
      <c r="N40" s="57">
        <v>0.17399999999999999</v>
      </c>
      <c r="O40" s="57">
        <v>0.17100000000000001</v>
      </c>
      <c r="P40" s="57">
        <v>0.16900000000000001</v>
      </c>
      <c r="Q40" s="48">
        <v>0.16800000000000001</v>
      </c>
    </row>
    <row r="41" spans="2:17" x14ac:dyDescent="0.15">
      <c r="B41" s="46" t="s">
        <v>46</v>
      </c>
      <c r="C41" s="42">
        <f>C14/C$7</f>
        <v>5.0776077498232791E-2</v>
      </c>
      <c r="D41" s="42">
        <f>D14/D$7</f>
        <v>6.8598994619035847E-2</v>
      </c>
      <c r="E41" s="42">
        <f>E14/E$7</f>
        <v>8.6040066986399155E-2</v>
      </c>
      <c r="F41" s="42">
        <f>F14/F$7</f>
        <v>8.2659553777333236E-2</v>
      </c>
      <c r="G41" s="42">
        <f>G14/G$7</f>
        <v>7.3977022558535444E-2</v>
      </c>
      <c r="H41" s="47">
        <f>AVERAGE($C$41:$G$41)</f>
        <v>7.2410343087907295E-2</v>
      </c>
      <c r="I41" s="57">
        <f>AVERAGE($C$41:$G$41)</f>
        <v>7.2410343087907295E-2</v>
      </c>
      <c r="J41" s="57">
        <f>AVERAGE($C$41:$G$41)</f>
        <v>7.2410343087907295E-2</v>
      </c>
      <c r="K41" s="57">
        <f>AVERAGE($C$41:$G$41)</f>
        <v>7.2410343087907295E-2</v>
      </c>
      <c r="L41" s="57">
        <f>AVERAGE($C$41:$G$41)</f>
        <v>7.2410343087907295E-2</v>
      </c>
      <c r="M41" s="57">
        <f>AVERAGE($C$41:$G$41)</f>
        <v>7.2410343087907295E-2</v>
      </c>
      <c r="N41" s="57">
        <f>AVERAGE($C$41:$G$41)</f>
        <v>7.2410343087907295E-2</v>
      </c>
      <c r="O41" s="57">
        <f>AVERAGE($C$41:$G$41)</f>
        <v>7.2410343087907295E-2</v>
      </c>
      <c r="P41" s="57">
        <f>AVERAGE($C$41:$G$41)</f>
        <v>7.2410343087907295E-2</v>
      </c>
      <c r="Q41" s="48">
        <f>AVERAGE($C$41:$G$41)</f>
        <v>7.2410343087907295E-2</v>
      </c>
    </row>
    <row r="42" spans="2:17" x14ac:dyDescent="0.15">
      <c r="B42" s="46" t="s">
        <v>47</v>
      </c>
      <c r="C42" s="42">
        <f>C16/C$7</f>
        <v>6.9692655389731279E-3</v>
      </c>
      <c r="D42" s="42">
        <f>D16/D$7</f>
        <v>1.4752471961082978E-3</v>
      </c>
      <c r="E42" s="42">
        <f>E16/E$7</f>
        <v>-1.9542223416469211E-2</v>
      </c>
      <c r="F42" s="42">
        <f>F16/F$7</f>
        <v>-3.936169227492058E-3</v>
      </c>
      <c r="G42" s="42">
        <f>G16/G$7</f>
        <v>5.5928411633109625E-2</v>
      </c>
      <c r="H42" s="49">
        <f>AVERAGE($C$42:$G$42)</f>
        <v>8.178906344845957E-3</v>
      </c>
      <c r="I42" s="50">
        <v>7.0000000000000001E-3</v>
      </c>
      <c r="J42" s="50">
        <v>7.0000000000000001E-3</v>
      </c>
      <c r="K42" s="50">
        <v>6.0000000000000001E-3</v>
      </c>
      <c r="L42" s="50">
        <v>4.0000000000000001E-3</v>
      </c>
      <c r="M42" s="50">
        <v>2E-3</v>
      </c>
      <c r="N42" s="50">
        <v>0</v>
      </c>
      <c r="O42" s="50">
        <v>0</v>
      </c>
      <c r="P42" s="50">
        <v>0</v>
      </c>
      <c r="Q42" s="51">
        <v>0</v>
      </c>
    </row>
    <row r="43" spans="2:17" x14ac:dyDescent="0.15">
      <c r="B43" s="29"/>
      <c r="C43" s="30"/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x14ac:dyDescent="0.15">
      <c r="B44" s="8" t="s">
        <v>48</v>
      </c>
      <c r="C44" s="8"/>
      <c r="D44" s="8"/>
      <c r="E44" s="8"/>
      <c r="F44" s="8"/>
      <c r="G44" s="8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2:17" x14ac:dyDescent="0.15">
      <c r="B45" s="52" t="s">
        <v>62</v>
      </c>
      <c r="C45" s="112">
        <v>6.5152699999999994E-2</v>
      </c>
      <c r="D45" s="112">
        <v>0.1108169</v>
      </c>
      <c r="E45" s="112">
        <v>5.36108E-2</v>
      </c>
      <c r="F45" s="112">
        <v>4.2897299999999999E-2</v>
      </c>
      <c r="G45" s="112">
        <v>4.8479500000000002E-2</v>
      </c>
      <c r="H45" s="43">
        <v>4.8479500000000002E-2</v>
      </c>
      <c r="I45" s="44">
        <v>4.8479500000000002E-2</v>
      </c>
      <c r="J45" s="44">
        <v>4.7E-2</v>
      </c>
      <c r="K45" s="44">
        <v>4.7E-2</v>
      </c>
      <c r="L45" s="44">
        <v>4.5999999999999999E-2</v>
      </c>
      <c r="M45" s="44">
        <v>4.5999999999999999E-2</v>
      </c>
      <c r="N45" s="44">
        <v>4.5999999999999999E-2</v>
      </c>
      <c r="O45" s="44">
        <v>4.4999999999999998E-2</v>
      </c>
      <c r="P45" s="44">
        <v>4.3999999999999997E-2</v>
      </c>
      <c r="Q45" s="45">
        <v>4.3999999999999997E-2</v>
      </c>
    </row>
    <row r="46" spans="2:17" x14ac:dyDescent="0.15">
      <c r="B46" s="52" t="s">
        <v>63</v>
      </c>
      <c r="C46" s="53">
        <v>-2.8230499999999999E-2</v>
      </c>
      <c r="D46" s="53">
        <v>-2.53263E-2</v>
      </c>
      <c r="E46" s="53">
        <v>-1.2197599999999999E-2</v>
      </c>
      <c r="F46" s="53">
        <v>-6.0998999999999998E-2</v>
      </c>
      <c r="G46" s="53">
        <v>7.2305900000000003E-3</v>
      </c>
      <c r="H46" s="49">
        <f>AVERAGE($C$46:$G$46)</f>
        <v>-2.3904562000000004E-2</v>
      </c>
      <c r="I46" s="50">
        <f>AVERAGE($C$46:$G$46)</f>
        <v>-2.3904562000000004E-2</v>
      </c>
      <c r="J46" s="50">
        <f>AVERAGE($C$46:$G$46)</f>
        <v>-2.3904562000000004E-2</v>
      </c>
      <c r="K46" s="50">
        <f>AVERAGE($C$46:$G$46)</f>
        <v>-2.3904562000000004E-2</v>
      </c>
      <c r="L46" s="50">
        <f>AVERAGE($C$46:$G$46)</f>
        <v>-2.3904562000000004E-2</v>
      </c>
      <c r="M46" s="50">
        <f>AVERAGE($C$46:$G$46)</f>
        <v>-2.3904562000000004E-2</v>
      </c>
      <c r="N46" s="50">
        <f>AVERAGE($C$46:$G$46)</f>
        <v>-2.3904562000000004E-2</v>
      </c>
      <c r="O46" s="50">
        <f>AVERAGE($C$46:$G$46)</f>
        <v>-2.3904562000000004E-2</v>
      </c>
      <c r="P46" s="50">
        <f>AVERAGE($C$46:$G$46)</f>
        <v>-2.3904562000000004E-2</v>
      </c>
      <c r="Q46" s="51">
        <f>AVERAGE($C$46:$G$46)</f>
        <v>-2.3904562000000004E-2</v>
      </c>
    </row>
    <row r="48" spans="2:17" x14ac:dyDescent="0.15">
      <c r="B48" t="s">
        <v>175</v>
      </c>
      <c r="C48" s="118">
        <v>0.21</v>
      </c>
      <c r="D48" s="117">
        <f>C48</f>
        <v>0.21</v>
      </c>
      <c r="E48" s="117">
        <f t="shared" ref="E48:Q48" si="20">D48</f>
        <v>0.21</v>
      </c>
      <c r="F48" s="117">
        <f t="shared" si="20"/>
        <v>0.21</v>
      </c>
      <c r="G48" s="117">
        <f t="shared" si="20"/>
        <v>0.21</v>
      </c>
      <c r="H48" s="117">
        <f t="shared" si="20"/>
        <v>0.21</v>
      </c>
      <c r="I48" s="117">
        <f t="shared" si="20"/>
        <v>0.21</v>
      </c>
      <c r="J48" s="117">
        <f t="shared" si="20"/>
        <v>0.21</v>
      </c>
      <c r="K48" s="117">
        <f t="shared" si="20"/>
        <v>0.21</v>
      </c>
      <c r="L48" s="117">
        <f t="shared" si="20"/>
        <v>0.21</v>
      </c>
      <c r="M48" s="117">
        <f t="shared" si="20"/>
        <v>0.21</v>
      </c>
      <c r="N48" s="117">
        <f t="shared" si="20"/>
        <v>0.21</v>
      </c>
      <c r="O48" s="117">
        <f t="shared" si="20"/>
        <v>0.21</v>
      </c>
      <c r="P48" s="117">
        <f t="shared" si="20"/>
        <v>0.21</v>
      </c>
      <c r="Q48" s="113">
        <f t="shared" si="20"/>
        <v>0.21</v>
      </c>
    </row>
  </sheetData>
  <sortState xmlns:xlrd2="http://schemas.microsoft.com/office/spreadsheetml/2017/richdata2" columnSort="1" ref="C3:G8">
    <sortCondition descending="1" ref="C3:G3"/>
  </sortState>
  <mergeCells count="2">
    <mergeCell ref="C3:G3"/>
    <mergeCell ref="H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A625-20E9-7E41-9EA4-D325417BE19E}">
  <dimension ref="B1:AB28"/>
  <sheetViews>
    <sheetView showGridLines="0" workbookViewId="0">
      <selection activeCell="B49" sqref="B49"/>
    </sheetView>
  </sheetViews>
  <sheetFormatPr baseColWidth="10" defaultColWidth="12" defaultRowHeight="13" x14ac:dyDescent="0.15"/>
  <cols>
    <col min="1" max="1" width="3.6640625" style="62" customWidth="1"/>
    <col min="2" max="2" width="51.33203125" style="62" customWidth="1"/>
    <col min="3" max="16384" width="12" style="62"/>
  </cols>
  <sheetData>
    <row r="1" spans="2:17" ht="16" x14ac:dyDescent="0.15">
      <c r="B1" s="189" t="s">
        <v>51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4"/>
    </row>
    <row r="2" spans="2:17" x14ac:dyDescent="0.15">
      <c r="B2" s="75"/>
      <c r="C2" s="76" t="s">
        <v>41</v>
      </c>
      <c r="D2" s="77"/>
      <c r="E2" s="77"/>
      <c r="F2" s="77"/>
      <c r="G2" s="77"/>
      <c r="H2" s="91" t="s">
        <v>42</v>
      </c>
      <c r="I2" s="79"/>
      <c r="J2" s="79"/>
      <c r="K2" s="79"/>
      <c r="L2" s="79"/>
      <c r="M2" s="79"/>
      <c r="N2" s="79"/>
      <c r="O2" s="79"/>
      <c r="P2" s="79"/>
      <c r="Q2" s="80"/>
    </row>
    <row r="3" spans="2:17" x14ac:dyDescent="0.15">
      <c r="B3" s="81" t="s">
        <v>2</v>
      </c>
      <c r="C3" s="61">
        <v>43830</v>
      </c>
      <c r="D3" s="61">
        <v>44196</v>
      </c>
      <c r="E3" s="61">
        <v>44561</v>
      </c>
      <c r="F3" s="61">
        <v>44926</v>
      </c>
      <c r="G3" s="61">
        <v>45291</v>
      </c>
      <c r="H3" s="109">
        <f>G3+366</f>
        <v>45657</v>
      </c>
      <c r="I3" s="110">
        <f>H3+365</f>
        <v>46022</v>
      </c>
      <c r="J3" s="110">
        <f t="shared" ref="J3:K3" si="0">I3+365</f>
        <v>46387</v>
      </c>
      <c r="K3" s="110">
        <f t="shared" si="0"/>
        <v>46752</v>
      </c>
      <c r="L3" s="110">
        <f>K3+366</f>
        <v>47118</v>
      </c>
      <c r="M3" s="110">
        <f>L3+365</f>
        <v>47483</v>
      </c>
      <c r="N3" s="110">
        <f t="shared" ref="N3" si="1">M3+365</f>
        <v>47848</v>
      </c>
      <c r="O3" s="110">
        <f>N3+365</f>
        <v>48213</v>
      </c>
      <c r="P3" s="110">
        <f>O3+366</f>
        <v>48579</v>
      </c>
      <c r="Q3" s="111">
        <f>P3+365</f>
        <v>48944</v>
      </c>
    </row>
    <row r="4" spans="2:17" x14ac:dyDescent="0.15">
      <c r="B4" s="82" t="s">
        <v>3</v>
      </c>
      <c r="C4" s="71" t="s">
        <v>4</v>
      </c>
      <c r="D4" s="71" t="s">
        <v>4</v>
      </c>
      <c r="E4" s="71" t="s">
        <v>4</v>
      </c>
      <c r="F4" s="71" t="s">
        <v>4</v>
      </c>
      <c r="G4" s="71" t="s">
        <v>4</v>
      </c>
      <c r="H4" s="82" t="s">
        <v>4</v>
      </c>
      <c r="I4" s="71" t="s">
        <v>4</v>
      </c>
      <c r="J4" s="71" t="s">
        <v>4</v>
      </c>
      <c r="K4" s="71" t="s">
        <v>4</v>
      </c>
      <c r="L4" s="71" t="s">
        <v>4</v>
      </c>
      <c r="M4" s="71" t="s">
        <v>4</v>
      </c>
      <c r="N4" s="71" t="s">
        <v>4</v>
      </c>
      <c r="O4" s="71" t="s">
        <v>4</v>
      </c>
      <c r="P4" s="71" t="s">
        <v>4</v>
      </c>
      <c r="Q4" s="83" t="s">
        <v>4</v>
      </c>
    </row>
    <row r="5" spans="2:17" x14ac:dyDescent="0.15">
      <c r="B5" s="82" t="s">
        <v>5</v>
      </c>
      <c r="C5" s="71" t="s">
        <v>6</v>
      </c>
      <c r="D5" s="71" t="s">
        <v>6</v>
      </c>
      <c r="E5" s="71" t="s">
        <v>6</v>
      </c>
      <c r="F5" s="71" t="s">
        <v>6</v>
      </c>
      <c r="G5" s="71" t="s">
        <v>6</v>
      </c>
      <c r="H5" s="82" t="s">
        <v>6</v>
      </c>
      <c r="I5" s="71" t="s">
        <v>6</v>
      </c>
      <c r="J5" s="71" t="s">
        <v>6</v>
      </c>
      <c r="K5" s="71" t="s">
        <v>6</v>
      </c>
      <c r="L5" s="71" t="s">
        <v>6</v>
      </c>
      <c r="M5" s="71" t="s">
        <v>6</v>
      </c>
      <c r="N5" s="71" t="s">
        <v>6</v>
      </c>
      <c r="O5" s="71" t="s">
        <v>6</v>
      </c>
      <c r="P5" s="71" t="s">
        <v>6</v>
      </c>
      <c r="Q5" s="83" t="s">
        <v>6</v>
      </c>
    </row>
    <row r="6" spans="2:17" x14ac:dyDescent="0.15">
      <c r="B6" s="82" t="s">
        <v>52</v>
      </c>
      <c r="C6" s="84">
        <v>180.8</v>
      </c>
      <c r="D6" s="84">
        <v>241.3</v>
      </c>
      <c r="E6" s="84">
        <v>327.9</v>
      </c>
      <c r="F6" s="84">
        <v>384.6</v>
      </c>
      <c r="G6" s="84">
        <v>410.5</v>
      </c>
      <c r="H6" s="92">
        <f>G6*(1+H7)</f>
        <v>439.23500000000001</v>
      </c>
      <c r="I6" s="85">
        <f t="shared" ref="I6:Q6" si="2">H6*(1+I7)</f>
        <v>474.37380000000007</v>
      </c>
      <c r="J6" s="85">
        <f t="shared" si="2"/>
        <v>512.32370400000013</v>
      </c>
      <c r="K6" s="85">
        <f t="shared" si="2"/>
        <v>548.18636328000014</v>
      </c>
      <c r="L6" s="85">
        <f t="shared" si="2"/>
        <v>583.81847689320011</v>
      </c>
      <c r="M6" s="85">
        <f t="shared" si="2"/>
        <v>618.84758550679214</v>
      </c>
      <c r="N6" s="85">
        <f t="shared" si="2"/>
        <v>643.60148892706388</v>
      </c>
      <c r="O6" s="85">
        <f t="shared" si="2"/>
        <v>667.41474401736525</v>
      </c>
      <c r="P6" s="85">
        <f t="shared" si="2"/>
        <v>690.77426005797304</v>
      </c>
      <c r="Q6" s="86">
        <f t="shared" si="2"/>
        <v>708.73439081948038</v>
      </c>
    </row>
    <row r="7" spans="2:17" x14ac:dyDescent="0.15">
      <c r="B7" s="87" t="s">
        <v>61</v>
      </c>
      <c r="C7" s="71"/>
      <c r="D7" s="196">
        <f>D6/C6 - 1</f>
        <v>0.33462389380530966</v>
      </c>
      <c r="E7" s="196">
        <f t="shared" ref="E7:G7" si="3">E6/D6 - 1</f>
        <v>0.35888934935764594</v>
      </c>
      <c r="F7" s="196">
        <f t="shared" si="3"/>
        <v>0.17291857273559019</v>
      </c>
      <c r="G7" s="196">
        <f t="shared" si="3"/>
        <v>6.7342693707748147E-2</v>
      </c>
      <c r="H7" s="197">
        <v>7.0000000000000007E-2</v>
      </c>
      <c r="I7" s="198">
        <v>0.08</v>
      </c>
      <c r="J7" s="198">
        <v>0.08</v>
      </c>
      <c r="K7" s="198">
        <v>7.0000000000000007E-2</v>
      </c>
      <c r="L7" s="198">
        <v>6.5000000000000002E-2</v>
      </c>
      <c r="M7" s="198">
        <v>0.06</v>
      </c>
      <c r="N7" s="198">
        <v>0.04</v>
      </c>
      <c r="O7" s="198">
        <v>3.6999999999999998E-2</v>
      </c>
      <c r="P7" s="198">
        <v>3.5000000000000003E-2</v>
      </c>
      <c r="Q7" s="199">
        <v>2.5999999999999999E-2</v>
      </c>
    </row>
    <row r="8" spans="2:17" x14ac:dyDescent="0.15">
      <c r="B8" s="82" t="s">
        <v>53</v>
      </c>
      <c r="C8" s="84">
        <v>20.100000000000001</v>
      </c>
      <c r="D8" s="84">
        <v>29.8</v>
      </c>
      <c r="E8" s="84">
        <v>40.5</v>
      </c>
      <c r="F8" s="84">
        <v>47.3</v>
      </c>
      <c r="G8" s="84">
        <v>38.299999999999997</v>
      </c>
      <c r="H8" s="92">
        <f>G8*(1+H9)</f>
        <v>36.384999999999998</v>
      </c>
      <c r="I8" s="85">
        <f t="shared" ref="I8" si="4">H8*(1+I9)</f>
        <v>37.112699999999997</v>
      </c>
      <c r="J8" s="85">
        <f t="shared" ref="J8" si="5">I8*(1+J9)</f>
        <v>38.226081000000001</v>
      </c>
      <c r="K8" s="85">
        <f t="shared" ref="K8" si="6">J8*(1+K9)</f>
        <v>39.372863430000002</v>
      </c>
      <c r="L8" s="85">
        <f t="shared" ref="L8" si="7">K8*(1+L9)</f>
        <v>40.5540493329</v>
      </c>
      <c r="M8" s="85">
        <f t="shared" ref="M8" si="8">L8*(1+M9)</f>
        <v>41.770670812886998</v>
      </c>
      <c r="N8" s="85">
        <f t="shared" ref="N8" si="9">M8*(1+N9)</f>
        <v>43.02379093727361</v>
      </c>
      <c r="O8" s="85">
        <f t="shared" ref="O8" si="10">N8*(1+O9)</f>
        <v>44.314504665391816</v>
      </c>
      <c r="P8" s="85">
        <f t="shared" ref="P8" si="11">O8*(1+P9)</f>
        <v>45.643939805353568</v>
      </c>
      <c r="Q8" s="86">
        <f t="shared" ref="Q8" si="12">P8*(1+Q9)</f>
        <v>47.013257999514174</v>
      </c>
    </row>
    <row r="9" spans="2:17" x14ac:dyDescent="0.15">
      <c r="B9" s="88" t="s">
        <v>61</v>
      </c>
      <c r="C9" s="71"/>
      <c r="D9" s="196">
        <f>D8/C8 - 1</f>
        <v>0.48258706467661683</v>
      </c>
      <c r="E9" s="196">
        <f t="shared" ref="E9:G9" si="13">E8/D8 - 1</f>
        <v>0.35906040268456363</v>
      </c>
      <c r="F9" s="196">
        <f t="shared" si="13"/>
        <v>0.16790123456790118</v>
      </c>
      <c r="G9" s="196">
        <f t="shared" si="13"/>
        <v>-0.19027484143763218</v>
      </c>
      <c r="H9" s="197">
        <v>-0.05</v>
      </c>
      <c r="I9" s="198">
        <v>0.02</v>
      </c>
      <c r="J9" s="198">
        <v>0.03</v>
      </c>
      <c r="K9" s="198">
        <v>0.03</v>
      </c>
      <c r="L9" s="198">
        <v>0.03</v>
      </c>
      <c r="M9" s="198">
        <v>0.03</v>
      </c>
      <c r="N9" s="198">
        <v>0.03</v>
      </c>
      <c r="O9" s="198">
        <v>0.03</v>
      </c>
      <c r="P9" s="198">
        <v>0.03</v>
      </c>
      <c r="Q9" s="199">
        <v>0.03</v>
      </c>
    </row>
    <row r="10" spans="2:17" ht="14" x14ac:dyDescent="0.15">
      <c r="B10" s="89" t="s">
        <v>7</v>
      </c>
      <c r="C10" s="69">
        <f>C8+C6</f>
        <v>200.9</v>
      </c>
      <c r="D10" s="69">
        <f>D8+D6</f>
        <v>271.10000000000002</v>
      </c>
      <c r="E10" s="69">
        <f>E8+E6</f>
        <v>368.4</v>
      </c>
      <c r="F10" s="69">
        <f>F8+F6</f>
        <v>431.90000000000003</v>
      </c>
      <c r="G10" s="69">
        <f>G8+G6</f>
        <v>448.8</v>
      </c>
      <c r="H10" s="65">
        <f t="shared" ref="H10:Q10" si="14">H8+H6</f>
        <v>475.62</v>
      </c>
      <c r="I10" s="70">
        <f t="shared" si="14"/>
        <v>511.48650000000009</v>
      </c>
      <c r="J10" s="70">
        <f t="shared" si="14"/>
        <v>550.54978500000016</v>
      </c>
      <c r="K10" s="70">
        <f t="shared" si="14"/>
        <v>587.55922671000019</v>
      </c>
      <c r="L10" s="70">
        <f t="shared" si="14"/>
        <v>624.37252622610015</v>
      </c>
      <c r="M10" s="70">
        <f t="shared" si="14"/>
        <v>660.61825631967918</v>
      </c>
      <c r="N10" s="70">
        <f t="shared" si="14"/>
        <v>686.62527986433747</v>
      </c>
      <c r="O10" s="70">
        <f t="shared" si="14"/>
        <v>711.72924868275709</v>
      </c>
      <c r="P10" s="70">
        <f t="shared" si="14"/>
        <v>736.41819986332666</v>
      </c>
      <c r="Q10" s="66">
        <f t="shared" si="14"/>
        <v>755.74764881899455</v>
      </c>
    </row>
    <row r="11" spans="2:17" x14ac:dyDescent="0.15">
      <c r="B11" s="67" t="s">
        <v>54</v>
      </c>
      <c r="C11" s="68"/>
      <c r="D11" s="21">
        <f>D10/C10 - 1</f>
        <v>0.34942757590841222</v>
      </c>
      <c r="E11" s="21">
        <f t="shared" ref="E11:N11" si="15">E10/D10 - 1</f>
        <v>0.35890815197344139</v>
      </c>
      <c r="F11" s="21">
        <f t="shared" si="15"/>
        <v>0.17236699239956588</v>
      </c>
      <c r="G11" s="21">
        <f t="shared" si="15"/>
        <v>3.9129428108358288E-2</v>
      </c>
      <c r="H11" s="93">
        <f t="shared" si="15"/>
        <v>5.9759358288770104E-2</v>
      </c>
      <c r="I11" s="21">
        <f t="shared" si="15"/>
        <v>7.5409991169421042E-2</v>
      </c>
      <c r="J11" s="21">
        <f t="shared" si="15"/>
        <v>7.6372074336273021E-2</v>
      </c>
      <c r="K11" s="21">
        <f t="shared" si="15"/>
        <v>6.7222697598546821E-2</v>
      </c>
      <c r="L11" s="21">
        <f t="shared" si="15"/>
        <v>6.2654619045357629E-2</v>
      </c>
      <c r="M11" s="21">
        <f t="shared" si="15"/>
        <v>5.8051449368951902E-2</v>
      </c>
      <c r="N11" s="21">
        <f t="shared" si="15"/>
        <v>3.9367703353437644E-2</v>
      </c>
      <c r="O11" s="21">
        <f t="shared" ref="O11" si="16">O10/N10 - 1</f>
        <v>3.6561381520033187E-2</v>
      </c>
      <c r="P11" s="21">
        <f t="shared" ref="P11" si="17">P10/O10 - 1</f>
        <v>3.4688684252140778E-2</v>
      </c>
      <c r="Q11" s="90">
        <f t="shared" ref="Q11" si="18">Q10/P10 - 1</f>
        <v>2.6247924018248492E-2</v>
      </c>
    </row>
    <row r="12" spans="2:17" x14ac:dyDescent="0.15">
      <c r="H12" s="71"/>
      <c r="I12" s="71"/>
      <c r="J12" s="71"/>
      <c r="K12" s="71"/>
      <c r="L12" s="71"/>
      <c r="M12" s="71"/>
      <c r="N12" s="71"/>
      <c r="O12" s="71"/>
      <c r="P12" s="71"/>
    </row>
    <row r="13" spans="2:17" x14ac:dyDescent="0.15">
      <c r="H13" s="71"/>
      <c r="I13" s="71"/>
      <c r="J13" s="71"/>
      <c r="K13" s="71"/>
      <c r="L13" s="71"/>
      <c r="M13" s="71"/>
      <c r="N13" s="71"/>
      <c r="O13" s="71"/>
      <c r="P13" s="71"/>
    </row>
    <row r="14" spans="2:17" x14ac:dyDescent="0.15">
      <c r="H14" s="71"/>
      <c r="I14" s="71"/>
      <c r="J14" s="71"/>
      <c r="K14" s="71"/>
      <c r="L14" s="71"/>
      <c r="M14" s="71"/>
      <c r="N14" s="71"/>
      <c r="O14" s="71"/>
      <c r="P14" s="71"/>
    </row>
    <row r="19" spans="13:28" x14ac:dyDescent="0.15">
      <c r="M19" s="63"/>
      <c r="N19" s="63"/>
      <c r="O19" s="63"/>
      <c r="P19" s="63"/>
      <c r="Q19" s="63"/>
      <c r="R19" s="63"/>
      <c r="S19" s="63"/>
      <c r="T19" s="63"/>
    </row>
    <row r="20" spans="13:28" x14ac:dyDescent="0.15">
      <c r="M20" s="63"/>
    </row>
    <row r="21" spans="13:28" x14ac:dyDescent="0.15">
      <c r="M21" s="63"/>
      <c r="N21"/>
      <c r="O21"/>
      <c r="P21"/>
      <c r="Q21" s="64"/>
      <c r="R21" s="64"/>
      <c r="S21" s="64"/>
      <c r="T21" s="64"/>
    </row>
    <row r="22" spans="13:28" x14ac:dyDescent="0.15">
      <c r="M22" s="63"/>
      <c r="T22" s="63"/>
      <c r="U22" s="63"/>
      <c r="V22" s="63"/>
      <c r="W22" s="63"/>
      <c r="X22" s="63"/>
      <c r="Y22" s="63"/>
      <c r="Z22" s="63"/>
      <c r="AA22" s="63"/>
      <c r="AB22" s="63"/>
    </row>
    <row r="23" spans="13:28" x14ac:dyDescent="0.15">
      <c r="M23" s="63"/>
      <c r="N23"/>
      <c r="O23"/>
      <c r="P23"/>
      <c r="Q23" s="64"/>
      <c r="R23" s="64"/>
      <c r="S23" s="64"/>
      <c r="T23" s="63"/>
      <c r="U23"/>
      <c r="V23"/>
      <c r="W23"/>
      <c r="X23"/>
      <c r="Y23"/>
      <c r="Z23"/>
      <c r="AA23"/>
      <c r="AB23"/>
    </row>
    <row r="24" spans="13:28" x14ac:dyDescent="0.15">
      <c r="M24" s="63"/>
      <c r="N24"/>
      <c r="O24"/>
      <c r="P24"/>
      <c r="Q24"/>
      <c r="R24"/>
      <c r="S24"/>
      <c r="T24" s="63"/>
      <c r="U24" s="64"/>
      <c r="V24" s="64"/>
      <c r="W24" s="64"/>
      <c r="X24" s="64"/>
      <c r="Y24" s="64"/>
      <c r="Z24" s="64"/>
      <c r="AA24" s="64"/>
      <c r="AB24" s="64"/>
    </row>
    <row r="25" spans="13:28" x14ac:dyDescent="0.15">
      <c r="M25" s="63"/>
      <c r="N25"/>
      <c r="O25"/>
      <c r="P25"/>
      <c r="Q25" s="64"/>
      <c r="R25" s="64"/>
      <c r="S25" s="64"/>
      <c r="T25" s="63"/>
      <c r="U25"/>
      <c r="V25"/>
      <c r="W25"/>
      <c r="X25"/>
      <c r="Y25"/>
      <c r="Z25"/>
      <c r="AA25"/>
      <c r="AB25"/>
    </row>
    <row r="26" spans="13:28" x14ac:dyDescent="0.15">
      <c r="T26" s="63"/>
      <c r="U26" s="64"/>
      <c r="V26" s="64"/>
      <c r="W26" s="64"/>
      <c r="X26" s="64"/>
      <c r="Y26" s="64"/>
      <c r="Z26" s="64"/>
      <c r="AA26" s="64"/>
      <c r="AB26" s="64"/>
    </row>
    <row r="27" spans="13:28" x14ac:dyDescent="0.15">
      <c r="T27" s="63"/>
      <c r="U27" s="63"/>
      <c r="V27" s="63"/>
      <c r="W27" s="63"/>
      <c r="X27" s="63"/>
      <c r="Y27" s="63"/>
      <c r="Z27" s="63"/>
      <c r="AA27" s="63"/>
      <c r="AB27" s="63"/>
    </row>
    <row r="28" spans="13:28" x14ac:dyDescent="0.15">
      <c r="T28" s="63"/>
      <c r="U28" s="72"/>
      <c r="V28" s="72"/>
      <c r="W28" s="72"/>
      <c r="X28" s="72"/>
      <c r="Y28" s="72"/>
      <c r="Z28" s="72"/>
      <c r="AA28" s="72"/>
      <c r="AB28" s="72"/>
    </row>
  </sheetData>
  <mergeCells count="2">
    <mergeCell ref="C2:G2"/>
    <mergeCell ref="H2:Q2"/>
  </mergeCells>
  <pageMargins left="0.7" right="0.7" top="0.75" bottom="0.75" header="0.3" footer="0.3"/>
  <ignoredErrors>
    <ignoredError sqref="L3 F10:G10 C10: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DA5B-D368-B74E-AB61-EA5269429B9B}">
  <dimension ref="B1:O24"/>
  <sheetViews>
    <sheetView showGridLines="0" workbookViewId="0">
      <selection activeCell="O36" sqref="O36"/>
    </sheetView>
  </sheetViews>
  <sheetFormatPr baseColWidth="10" defaultRowHeight="13" x14ac:dyDescent="0.15"/>
  <cols>
    <col min="1" max="1" width="6.1640625" customWidth="1"/>
    <col min="2" max="2" width="36.1640625" customWidth="1"/>
    <col min="3" max="12" width="10.83203125" customWidth="1"/>
    <col min="14" max="14" width="26.1640625" customWidth="1"/>
    <col min="15" max="15" width="28.5" customWidth="1"/>
  </cols>
  <sheetData>
    <row r="1" spans="2:15" ht="16" x14ac:dyDescent="0.15">
      <c r="B1" s="190" t="s">
        <v>204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2:15" x14ac:dyDescent="0.15">
      <c r="B2" t="s">
        <v>205</v>
      </c>
      <c r="G2" s="63"/>
    </row>
    <row r="3" spans="2:15" x14ac:dyDescent="0.15">
      <c r="G3" s="63"/>
    </row>
    <row r="5" spans="2:15" x14ac:dyDescent="0.15">
      <c r="B5" s="119" t="s">
        <v>174</v>
      </c>
      <c r="C5" s="135">
        <v>0.105</v>
      </c>
      <c r="D5" s="136">
        <f>C5</f>
        <v>0.105</v>
      </c>
      <c r="E5" s="136">
        <f t="shared" ref="E5:L5" si="0">D5</f>
        <v>0.105</v>
      </c>
      <c r="F5" s="136">
        <f t="shared" si="0"/>
        <v>0.105</v>
      </c>
      <c r="G5" s="136">
        <f t="shared" si="0"/>
        <v>0.105</v>
      </c>
      <c r="H5" s="136">
        <f t="shared" si="0"/>
        <v>0.105</v>
      </c>
      <c r="I5" s="136">
        <f t="shared" si="0"/>
        <v>0.105</v>
      </c>
      <c r="J5" s="136">
        <f t="shared" si="0"/>
        <v>0.105</v>
      </c>
      <c r="K5" s="136">
        <f t="shared" si="0"/>
        <v>0.105</v>
      </c>
      <c r="L5" s="137">
        <f t="shared" si="0"/>
        <v>0.105</v>
      </c>
      <c r="N5" s="132" t="s">
        <v>191</v>
      </c>
      <c r="O5" s="133"/>
    </row>
    <row r="6" spans="2:15" x14ac:dyDescent="0.15">
      <c r="B6" s="120" t="s">
        <v>175</v>
      </c>
      <c r="C6" s="165">
        <f>'Consolidated Financials'!H48</f>
        <v>0.21</v>
      </c>
      <c r="D6" s="121">
        <f>'Consolidated Financials'!I48</f>
        <v>0.21</v>
      </c>
      <c r="E6" s="121">
        <f>'Consolidated Financials'!J48</f>
        <v>0.21</v>
      </c>
      <c r="F6" s="121">
        <f>'Consolidated Financials'!K48</f>
        <v>0.21</v>
      </c>
      <c r="G6" s="121">
        <f>'Consolidated Financials'!L48</f>
        <v>0.21</v>
      </c>
      <c r="H6" s="121">
        <f>'Consolidated Financials'!M48</f>
        <v>0.21</v>
      </c>
      <c r="I6" s="121">
        <f>'Consolidated Financials'!N48</f>
        <v>0.21</v>
      </c>
      <c r="J6" s="121">
        <f>'Consolidated Financials'!O48</f>
        <v>0.21</v>
      </c>
      <c r="K6" s="121">
        <f>'Consolidated Financials'!P48</f>
        <v>0.21</v>
      </c>
      <c r="L6" s="122">
        <f>'Consolidated Financials'!Q48</f>
        <v>0.21</v>
      </c>
      <c r="N6" s="127" t="s">
        <v>203</v>
      </c>
      <c r="O6" s="145">
        <f>L21</f>
        <v>108.77103358006543</v>
      </c>
    </row>
    <row r="7" spans="2:15" x14ac:dyDescent="0.15">
      <c r="N7" s="101" t="s">
        <v>192</v>
      </c>
      <c r="O7" s="124">
        <v>2.5999999999999999E-2</v>
      </c>
    </row>
    <row r="8" spans="2:15" x14ac:dyDescent="0.15">
      <c r="N8" s="101" t="s">
        <v>174</v>
      </c>
      <c r="O8" s="128">
        <f>C5</f>
        <v>0.105</v>
      </c>
    </row>
    <row r="9" spans="2:15" x14ac:dyDescent="0.15">
      <c r="B9" s="138" t="s">
        <v>3</v>
      </c>
      <c r="C9" s="138" t="s">
        <v>4</v>
      </c>
      <c r="D9" s="138" t="s">
        <v>4</v>
      </c>
      <c r="E9" s="138" t="s">
        <v>4</v>
      </c>
      <c r="F9" s="138" t="s">
        <v>4</v>
      </c>
      <c r="G9" s="138" t="s">
        <v>4</v>
      </c>
      <c r="H9" s="138" t="s">
        <v>4</v>
      </c>
      <c r="I9" s="138" t="s">
        <v>4</v>
      </c>
      <c r="J9" s="138" t="s">
        <v>4</v>
      </c>
      <c r="K9" s="138" t="s">
        <v>4</v>
      </c>
      <c r="L9" s="138" t="s">
        <v>4</v>
      </c>
      <c r="N9" s="129" t="s">
        <v>209</v>
      </c>
      <c r="O9" s="144">
        <f>O6*(1+O7)/(O8-O7)</f>
        <v>1412.6465880145208</v>
      </c>
    </row>
    <row r="10" spans="2:15" x14ac:dyDescent="0.15">
      <c r="B10" s="139" t="s">
        <v>5</v>
      </c>
      <c r="C10" s="139" t="s">
        <v>6</v>
      </c>
      <c r="D10" s="139" t="s">
        <v>6</v>
      </c>
      <c r="E10" s="139" t="s">
        <v>6</v>
      </c>
      <c r="F10" s="139" t="s">
        <v>6</v>
      </c>
      <c r="G10" s="139" t="s">
        <v>6</v>
      </c>
      <c r="H10" s="139" t="s">
        <v>6</v>
      </c>
      <c r="I10" s="139" t="s">
        <v>6</v>
      </c>
      <c r="J10" s="139" t="s">
        <v>6</v>
      </c>
      <c r="K10" s="139" t="s">
        <v>6</v>
      </c>
      <c r="L10" s="139" t="s">
        <v>6</v>
      </c>
      <c r="N10" s="101" t="s">
        <v>193</v>
      </c>
      <c r="O10" s="130">
        <v>10</v>
      </c>
    </row>
    <row r="11" spans="2:15" x14ac:dyDescent="0.15">
      <c r="B11" s="63" t="s">
        <v>176</v>
      </c>
      <c r="C11" s="114">
        <f>'Consolidated Financials'!H7</f>
        <v>475.62</v>
      </c>
      <c r="D11" s="114">
        <f>'Consolidated Financials'!I7</f>
        <v>511.48650000000009</v>
      </c>
      <c r="E11" s="114">
        <f>'Consolidated Financials'!J7</f>
        <v>550.54978500000016</v>
      </c>
      <c r="F11" s="114">
        <f>'Consolidated Financials'!K7</f>
        <v>587.55922671000019</v>
      </c>
      <c r="G11" s="114">
        <f>'Consolidated Financials'!L7</f>
        <v>624.37252622610015</v>
      </c>
      <c r="H11" s="114">
        <f>'Consolidated Financials'!M7</f>
        <v>660.61825631967918</v>
      </c>
      <c r="I11" s="114">
        <f>'Consolidated Financials'!N7</f>
        <v>686.62527986433747</v>
      </c>
      <c r="J11" s="114">
        <f>'Consolidated Financials'!O7</f>
        <v>711.72924868275709</v>
      </c>
      <c r="K11" s="114">
        <f>'Consolidated Financials'!P7</f>
        <v>736.41819986332666</v>
      </c>
      <c r="L11" s="114">
        <f>'Consolidated Financials'!Q7</f>
        <v>755.74764881899455</v>
      </c>
      <c r="N11" s="101" t="s">
        <v>194</v>
      </c>
      <c r="O11" s="131">
        <f>1/(1+L5)^O10</f>
        <v>0.36844886225467294</v>
      </c>
    </row>
    <row r="12" spans="2:15" x14ac:dyDescent="0.15">
      <c r="B12" s="123" t="s">
        <v>60</v>
      </c>
      <c r="C12" s="140">
        <f>'Consolidated Financials'!H8</f>
        <v>5.9787694858151275E-2</v>
      </c>
      <c r="D12" s="140">
        <f>'Consolidated Financials'!I8</f>
        <v>7.5409991169421042E-2</v>
      </c>
      <c r="E12" s="140">
        <f>'Consolidated Financials'!J8</f>
        <v>7.6372074336273021E-2</v>
      </c>
      <c r="F12" s="140">
        <f>'Consolidated Financials'!K8</f>
        <v>6.7222697598546821E-2</v>
      </c>
      <c r="G12" s="140">
        <f>'Consolidated Financials'!L8</f>
        <v>6.2654619045357629E-2</v>
      </c>
      <c r="H12" s="140">
        <f>'Consolidated Financials'!M8</f>
        <v>5.8051449368951902E-2</v>
      </c>
      <c r="I12" s="140">
        <f>'Consolidated Financials'!N8</f>
        <v>3.9367703353437644E-2</v>
      </c>
      <c r="J12" s="140">
        <f>'Consolidated Financials'!O8</f>
        <v>3.6561381520033187E-2</v>
      </c>
      <c r="K12" s="140">
        <f>'Consolidated Financials'!P8</f>
        <v>3.4688684252140778E-2</v>
      </c>
      <c r="L12" s="140">
        <f>'Consolidated Financials'!Q8</f>
        <v>2.6247924018248492E-2</v>
      </c>
      <c r="N12" s="129" t="s">
        <v>195</v>
      </c>
      <c r="O12" s="144">
        <f>O11*O9</f>
        <v>520.48802812189592</v>
      </c>
    </row>
    <row r="13" spans="2:15" x14ac:dyDescent="0.15">
      <c r="B13" s="63" t="s">
        <v>177</v>
      </c>
      <c r="C13" s="143">
        <f>'Consolidated Financials'!H19</f>
        <v>-10.553170847352078</v>
      </c>
      <c r="D13" s="143">
        <f>'Consolidated Financials'!I19</f>
        <v>10.594021491894523</v>
      </c>
      <c r="E13" s="143">
        <f>'Consolidated Financials'!J19</f>
        <v>23.112160393219938</v>
      </c>
      <c r="F13" s="143">
        <f>'Consolidated Financials'!K19</f>
        <v>41.751491380500852</v>
      </c>
      <c r="G13" s="143">
        <f>'Consolidated Financials'!L19</f>
        <v>55.192574515919432</v>
      </c>
      <c r="H13" s="143">
        <f>'Consolidated Financials'!M19</f>
        <v>64.469508984102504</v>
      </c>
      <c r="I13" s="143">
        <f>'Consolidated Financials'!N19</f>
        <v>74.560403567638105</v>
      </c>
      <c r="J13" s="143">
        <f>'Consolidated Financials'!O19</f>
        <v>82.268539669541383</v>
      </c>
      <c r="K13" s="143">
        <f>'Consolidated Financials'!P19</f>
        <v>91.013672664929459</v>
      </c>
      <c r="L13" s="143">
        <f>'Consolidated Financials'!Q19</f>
        <v>100.20432146903124</v>
      </c>
      <c r="N13" s="134" t="s">
        <v>196</v>
      </c>
      <c r="O13" s="148">
        <f>O12+SUM(C21:L21)</f>
        <v>1227.5607445376495</v>
      </c>
    </row>
    <row r="14" spans="2:15" x14ac:dyDescent="0.15">
      <c r="B14" s="123" t="s">
        <v>178</v>
      </c>
      <c r="C14" s="140">
        <f>C13/C11</f>
        <v>-2.218824029130835E-2</v>
      </c>
      <c r="D14" s="140">
        <f t="shared" ref="D14:L14" si="1">D13/D11</f>
        <v>2.0712221127819643E-2</v>
      </c>
      <c r="E14" s="140">
        <f t="shared" si="1"/>
        <v>4.1980146070204949E-2</v>
      </c>
      <c r="F14" s="140">
        <f t="shared" si="1"/>
        <v>7.1059204727812075E-2</v>
      </c>
      <c r="G14" s="140">
        <f t="shared" si="1"/>
        <v>8.8396865969616489E-2</v>
      </c>
      <c r="H14" s="140">
        <f t="shared" si="1"/>
        <v>9.7589656912092843E-2</v>
      </c>
      <c r="I14" s="140">
        <f t="shared" si="1"/>
        <v>0.1085896569120928</v>
      </c>
      <c r="J14" s="140">
        <f t="shared" si="1"/>
        <v>0.11558965691209268</v>
      </c>
      <c r="K14" s="140">
        <f t="shared" si="1"/>
        <v>0.12358965691209271</v>
      </c>
      <c r="L14" s="140">
        <f t="shared" si="1"/>
        <v>0.13258965691209273</v>
      </c>
    </row>
    <row r="16" spans="2:15" x14ac:dyDescent="0.15">
      <c r="B16" t="s">
        <v>180</v>
      </c>
      <c r="C16" s="114">
        <f>'Consolidated Financials'!H29</f>
        <v>0</v>
      </c>
      <c r="D16" s="114">
        <f>'Consolidated Financials'!I29</f>
        <v>0</v>
      </c>
      <c r="E16" s="114">
        <f>'Consolidated Financials'!J29</f>
        <v>0</v>
      </c>
      <c r="F16" s="114">
        <f>'Consolidated Financials'!K29</f>
        <v>0</v>
      </c>
      <c r="G16" s="114">
        <f>'Consolidated Financials'!L29</f>
        <v>0</v>
      </c>
      <c r="H16" s="114">
        <f>'Consolidated Financials'!M29</f>
        <v>0</v>
      </c>
      <c r="I16" s="114">
        <f>'Consolidated Financials'!N29</f>
        <v>0</v>
      </c>
      <c r="J16" s="114">
        <f>'Consolidated Financials'!O29</f>
        <v>0</v>
      </c>
      <c r="K16" s="114">
        <f>'Consolidated Financials'!P29</f>
        <v>0</v>
      </c>
      <c r="L16" s="114">
        <f>'Consolidated Financials'!Q29</f>
        <v>13.366399890779325</v>
      </c>
      <c r="N16" s="132" t="s">
        <v>197</v>
      </c>
      <c r="O16" s="133"/>
    </row>
    <row r="17" spans="2:15" x14ac:dyDescent="0.15">
      <c r="B17" t="s">
        <v>181</v>
      </c>
      <c r="C17" s="114">
        <f>'Consolidated Financials'!H7*'Consolidated Financials'!H45</f>
        <v>23.05781979</v>
      </c>
      <c r="D17" s="114">
        <f>'Consolidated Financials'!I7*'Consolidated Financials'!I45</f>
        <v>24.796609776750007</v>
      </c>
      <c r="E17" s="114">
        <f>'Consolidated Financials'!J7*'Consolidated Financials'!J45</f>
        <v>25.875839895000006</v>
      </c>
      <c r="F17" s="114">
        <f>'Consolidated Financials'!K7*'Consolidated Financials'!K45</f>
        <v>27.615283655370011</v>
      </c>
      <c r="G17" s="114">
        <f>'Consolidated Financials'!L7*'Consolidated Financials'!L45</f>
        <v>28.721136206400605</v>
      </c>
      <c r="H17" s="114">
        <f>'Consolidated Financials'!M7*'Consolidated Financials'!M45</f>
        <v>30.388439790705242</v>
      </c>
      <c r="I17" s="114">
        <f>'Consolidated Financials'!N7*'Consolidated Financials'!N45</f>
        <v>31.584762873759523</v>
      </c>
      <c r="J17" s="114">
        <f>'Consolidated Financials'!O7*'Consolidated Financials'!O45</f>
        <v>32.027816190724067</v>
      </c>
      <c r="K17" s="114">
        <f>'Consolidated Financials'!P7*'Consolidated Financials'!P45</f>
        <v>32.402400793986374</v>
      </c>
      <c r="L17" s="114">
        <f>'Consolidated Financials'!Q7*'Consolidated Financials'!Q45</f>
        <v>33.252896548035757</v>
      </c>
      <c r="N17" s="101" t="s">
        <v>196</v>
      </c>
      <c r="O17" s="130">
        <f>O13</f>
        <v>1227.5607445376495</v>
      </c>
    </row>
    <row r="18" spans="2:15" x14ac:dyDescent="0.15">
      <c r="N18" s="101" t="s">
        <v>208</v>
      </c>
      <c r="O18" s="105">
        <v>237.2</v>
      </c>
    </row>
    <row r="19" spans="2:15" x14ac:dyDescent="0.15">
      <c r="B19" t="s">
        <v>182</v>
      </c>
      <c r="C19" s="114">
        <f>'Consolidated Financials'!H14</f>
        <v>34.439807379470466</v>
      </c>
      <c r="D19" s="114">
        <f>'Consolidated Financials'!I14</f>
        <v>37.036912949832903</v>
      </c>
      <c r="E19" s="114">
        <f>'Consolidated Financials'!J14</f>
        <v>39.86549881882361</v>
      </c>
      <c r="F19" s="114">
        <f>'Consolidated Financials'!K14</f>
        <v>42.545365190536614</v>
      </c>
      <c r="G19" s="114">
        <f>'Consolidated Financials'!L14</f>
        <v>45.211028838695306</v>
      </c>
      <c r="H19" s="114">
        <f>'Consolidated Financials'!M14</f>
        <v>47.835594590243048</v>
      </c>
      <c r="I19" s="114">
        <f>'Consolidated Financials'!N14</f>
        <v>49.718772087807039</v>
      </c>
      <c r="J19" s="114">
        <f>'Consolidated Financials'!O14</f>
        <v>51.536559082816929</v>
      </c>
      <c r="K19" s="114">
        <f>'Consolidated Financials'!P14</f>
        <v>53.32429450828257</v>
      </c>
      <c r="L19" s="114">
        <f>'Consolidated Financials'!Q14</f>
        <v>54.72394653886267</v>
      </c>
      <c r="N19" s="101" t="s">
        <v>198</v>
      </c>
      <c r="O19" s="146">
        <v>0</v>
      </c>
    </row>
    <row r="20" spans="2:15" x14ac:dyDescent="0.15">
      <c r="B20" t="s">
        <v>183</v>
      </c>
      <c r="C20" s="114">
        <f>C11*'Consolidated Financials'!H46-'Consolidated Financials'!G7*'Consolidated Financials'!G46</f>
        <v>-14.614489803360001</v>
      </c>
      <c r="D20" s="114">
        <f>D11*'Consolidated Financials'!I46-C11*'Consolidated Financials'!H46</f>
        <v>-0.8573729729730033</v>
      </c>
      <c r="E20" s="114">
        <f>E11*'Consolidated Financials'!J46-D11*'Consolidated Financials'!I46</f>
        <v>-0.93379071820617021</v>
      </c>
      <c r="F20" s="114">
        <f>F11*'Consolidated Financials'!K46-E11*'Consolidated Financials'!J46</f>
        <v>-0.88469449394208333</v>
      </c>
      <c r="G20" s="114">
        <f>G11*'Consolidated Financials'!L46-F11*'Consolidated Financials'!K46</f>
        <v>-0.88000580070718115</v>
      </c>
      <c r="H20" s="114">
        <f>H11*'Consolidated Financials'!M46-G11*'Consolidated Financials'!L46</f>
        <v>-0.86643830225722596</v>
      </c>
      <c r="I20" s="114">
        <f>I11*'Consolidated Financials'!N46-H11*'Consolidated Financials'!M46</f>
        <v>-0.62168650675874382</v>
      </c>
      <c r="J20" s="114">
        <f>J11*'Consolidated Financials'!O46-I11*'Consolidated Financials'!N46</f>
        <v>-0.60009937906597699</v>
      </c>
      <c r="K20" s="114">
        <f>K11*'Consolidated Financials'!P46-J11*'Consolidated Financials'!O46</f>
        <v>-0.59017856421090187</v>
      </c>
      <c r="L20" s="114">
        <f>L11*'Consolidated Financials'!Q46-K11*'Consolidated Financials'!P46</f>
        <v>-0.46206201098659605</v>
      </c>
      <c r="N20" s="129" t="s">
        <v>199</v>
      </c>
      <c r="O20" s="144">
        <f>O17-O18</f>
        <v>990.36074453764945</v>
      </c>
    </row>
    <row r="21" spans="2:15" x14ac:dyDescent="0.15">
      <c r="B21" s="149" t="s">
        <v>206</v>
      </c>
      <c r="C21" s="150">
        <f>C13-C16-C17+C19-C20</f>
        <v>15.443306545478393</v>
      </c>
      <c r="D21" s="150">
        <f t="shared" ref="D21:L21" si="2">D13-D16-D17+D19-D20</f>
        <v>23.691697637950423</v>
      </c>
      <c r="E21" s="150">
        <f t="shared" si="2"/>
        <v>38.035610035249711</v>
      </c>
      <c r="F21" s="150">
        <f t="shared" si="2"/>
        <v>57.566267409609544</v>
      </c>
      <c r="G21" s="150">
        <f t="shared" si="2"/>
        <v>72.562472948921311</v>
      </c>
      <c r="H21" s="150">
        <f t="shared" si="2"/>
        <v>82.783102085897525</v>
      </c>
      <c r="I21" s="150">
        <f t="shared" si="2"/>
        <v>93.316099288444377</v>
      </c>
      <c r="J21" s="150">
        <f t="shared" si="2"/>
        <v>102.37738194070023</v>
      </c>
      <c r="K21" s="150">
        <f t="shared" si="2"/>
        <v>112.52574494343656</v>
      </c>
      <c r="L21" s="150">
        <f t="shared" si="2"/>
        <v>108.77103358006543</v>
      </c>
      <c r="N21" s="101" t="s">
        <v>200</v>
      </c>
      <c r="O21" s="105">
        <v>41</v>
      </c>
    </row>
    <row r="22" spans="2:15" x14ac:dyDescent="0.15">
      <c r="N22" s="134" t="s">
        <v>201</v>
      </c>
      <c r="O22" s="147">
        <f>O20/O21</f>
        <v>24.155140110674377</v>
      </c>
    </row>
    <row r="23" spans="2:15" x14ac:dyDescent="0.15">
      <c r="B23" t="s">
        <v>193</v>
      </c>
      <c r="C23" s="114">
        <v>1</v>
      </c>
      <c r="D23" s="114">
        <f>C23+1</f>
        <v>2</v>
      </c>
      <c r="E23" s="114">
        <f t="shared" ref="E23:L23" si="3">D23+1</f>
        <v>3</v>
      </c>
      <c r="F23" s="114">
        <f t="shared" si="3"/>
        <v>4</v>
      </c>
      <c r="G23" s="114">
        <f t="shared" si="3"/>
        <v>5</v>
      </c>
      <c r="H23" s="114">
        <f t="shared" si="3"/>
        <v>6</v>
      </c>
      <c r="I23" s="114">
        <f t="shared" si="3"/>
        <v>7</v>
      </c>
      <c r="J23" s="114">
        <f t="shared" si="3"/>
        <v>8</v>
      </c>
      <c r="K23" s="114">
        <f t="shared" si="3"/>
        <v>9</v>
      </c>
      <c r="L23" s="114">
        <f t="shared" si="3"/>
        <v>10</v>
      </c>
    </row>
    <row r="24" spans="2:15" x14ac:dyDescent="0.15">
      <c r="B24" s="151" t="s">
        <v>207</v>
      </c>
      <c r="C24" s="141">
        <f>C21/(1+C5)^C23</f>
        <v>13.975843027582256</v>
      </c>
      <c r="D24" s="141">
        <f t="shared" ref="D24:L24" si="4">D21/(1+D5)^D23</f>
        <v>19.40312248967091</v>
      </c>
      <c r="E24" s="141">
        <f t="shared" si="4"/>
        <v>28.190550191631864</v>
      </c>
      <c r="F24" s="141">
        <f t="shared" si="4"/>
        <v>38.611703153454798</v>
      </c>
      <c r="G24" s="141">
        <f t="shared" si="4"/>
        <v>44.045412846764179</v>
      </c>
      <c r="H24" s="141">
        <f t="shared" si="4"/>
        <v>45.474510021027065</v>
      </c>
      <c r="I24" s="141">
        <f t="shared" si="4"/>
        <v>46.389600278507373</v>
      </c>
      <c r="J24" s="141">
        <f t="shared" si="4"/>
        <v>46.058076324573065</v>
      </c>
      <c r="K24" s="141">
        <f t="shared" si="4"/>
        <v>45.813280882139438</v>
      </c>
      <c r="L24" s="142">
        <f t="shared" si="4"/>
        <v>40.076563568839937</v>
      </c>
    </row>
  </sheetData>
  <mergeCells count="3">
    <mergeCell ref="N5:O5"/>
    <mergeCell ref="N16:O16"/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CEDC-1BB2-264B-A120-59FDB22F4F8B}">
  <dimension ref="B1:M40"/>
  <sheetViews>
    <sheetView showGridLines="0" workbookViewId="0">
      <selection activeCell="N25" sqref="N25"/>
    </sheetView>
  </sheetViews>
  <sheetFormatPr baseColWidth="10" defaultRowHeight="13" x14ac:dyDescent="0.15"/>
  <cols>
    <col min="1" max="1" width="5.1640625" style="2" customWidth="1"/>
    <col min="2" max="2" width="32.5" style="2" customWidth="1"/>
    <col min="3" max="7" width="10.83203125" style="2"/>
    <col min="8" max="8" width="11.33203125" style="2" customWidth="1"/>
    <col min="9" max="16384" width="10.83203125" style="2"/>
  </cols>
  <sheetData>
    <row r="1" spans="2:13" x14ac:dyDescent="0.15">
      <c r="B1" s="153"/>
      <c r="C1" s="153"/>
      <c r="D1" s="153"/>
      <c r="E1" s="153"/>
      <c r="F1" s="153"/>
      <c r="G1" s="153"/>
      <c r="H1" s="153"/>
    </row>
    <row r="2" spans="2:13" ht="16" x14ac:dyDescent="0.15">
      <c r="B2" s="191" t="s">
        <v>210</v>
      </c>
      <c r="C2" s="191"/>
      <c r="D2" s="191"/>
      <c r="E2" s="191"/>
      <c r="F2" s="191"/>
      <c r="G2" s="191"/>
      <c r="H2" s="191"/>
    </row>
    <row r="3" spans="2:13" x14ac:dyDescent="0.15">
      <c r="B3" s="153" t="s">
        <v>237</v>
      </c>
      <c r="C3" s="155"/>
      <c r="D3" s="155"/>
      <c r="E3" s="155"/>
      <c r="F3" s="155"/>
      <c r="G3" s="155"/>
      <c r="H3" s="155"/>
    </row>
    <row r="4" spans="2:13" x14ac:dyDescent="0.15">
      <c r="B4" s="153"/>
      <c r="C4" s="153"/>
      <c r="D4" s="153"/>
      <c r="E4" s="153"/>
      <c r="F4" s="153"/>
      <c r="G4" s="153"/>
      <c r="H4" s="153"/>
    </row>
    <row r="5" spans="2:13" x14ac:dyDescent="0.15">
      <c r="B5" s="154" t="s">
        <v>238</v>
      </c>
      <c r="C5" s="154"/>
      <c r="D5" s="154"/>
      <c r="E5" s="154"/>
      <c r="F5" s="154"/>
      <c r="G5" s="154"/>
      <c r="H5" s="154"/>
    </row>
    <row r="6" spans="2:13" x14ac:dyDescent="0.15">
      <c r="B6" s="156" t="s">
        <v>211</v>
      </c>
      <c r="C6" s="167">
        <v>35</v>
      </c>
      <c r="D6" s="160" t="s">
        <v>212</v>
      </c>
      <c r="F6" s="153"/>
      <c r="G6" s="153"/>
      <c r="H6" s="153"/>
    </row>
    <row r="7" spans="2:13" x14ac:dyDescent="0.15">
      <c r="B7" s="156" t="s">
        <v>213</v>
      </c>
      <c r="C7" s="168">
        <v>41</v>
      </c>
      <c r="D7" s="160" t="s">
        <v>214</v>
      </c>
      <c r="F7" s="153"/>
      <c r="G7" s="153"/>
      <c r="H7" s="153"/>
    </row>
    <row r="8" spans="2:13" x14ac:dyDescent="0.15">
      <c r="B8" s="156" t="s">
        <v>215</v>
      </c>
      <c r="C8" s="166">
        <v>359.7</v>
      </c>
      <c r="D8" s="160" t="s">
        <v>216</v>
      </c>
      <c r="F8" s="153"/>
      <c r="G8" s="153"/>
      <c r="H8" s="153"/>
    </row>
    <row r="9" spans="2:13" x14ac:dyDescent="0.15">
      <c r="B9" s="156" t="s">
        <v>217</v>
      </c>
      <c r="C9" s="166">
        <v>122.4</v>
      </c>
      <c r="D9" s="160" t="s">
        <v>218</v>
      </c>
      <c r="F9" s="153"/>
      <c r="G9" s="153"/>
      <c r="H9" s="153"/>
    </row>
    <row r="10" spans="2:13" x14ac:dyDescent="0.15">
      <c r="B10" s="156" t="s">
        <v>219</v>
      </c>
      <c r="C10" s="169">
        <v>0.02</v>
      </c>
      <c r="D10" s="160" t="s">
        <v>220</v>
      </c>
      <c r="F10" s="153"/>
      <c r="G10" s="153"/>
      <c r="H10" s="153"/>
    </row>
    <row r="11" spans="2:13" x14ac:dyDescent="0.15">
      <c r="B11" s="156" t="s">
        <v>221</v>
      </c>
      <c r="C11" s="169">
        <v>0.02</v>
      </c>
      <c r="D11" s="160" t="s">
        <v>220</v>
      </c>
      <c r="F11" s="153"/>
      <c r="G11" s="153"/>
      <c r="H11" s="153"/>
    </row>
    <row r="12" spans="2:13" x14ac:dyDescent="0.15">
      <c r="B12" s="156" t="s">
        <v>222</v>
      </c>
      <c r="C12" s="166">
        <f>'Consolidated Financials'!I21</f>
        <v>47.630934441727426</v>
      </c>
      <c r="D12" s="160" t="s">
        <v>239</v>
      </c>
      <c r="F12" s="153"/>
      <c r="G12" s="153"/>
      <c r="H12" s="153"/>
    </row>
    <row r="13" spans="2:13" x14ac:dyDescent="0.15">
      <c r="B13" s="156" t="s">
        <v>223</v>
      </c>
      <c r="C13" s="174">
        <v>6</v>
      </c>
      <c r="D13" s="160" t="s">
        <v>224</v>
      </c>
      <c r="F13" s="153"/>
      <c r="G13" s="153"/>
      <c r="H13" s="153"/>
    </row>
    <row r="14" spans="2:13" x14ac:dyDescent="0.15">
      <c r="B14" s="156" t="s">
        <v>225</v>
      </c>
      <c r="C14" s="203">
        <v>5</v>
      </c>
      <c r="D14" s="160" t="s">
        <v>226</v>
      </c>
      <c r="F14" s="153"/>
      <c r="G14" s="153"/>
      <c r="H14" s="153"/>
      <c r="M14"/>
    </row>
    <row r="15" spans="2:13" x14ac:dyDescent="0.15">
      <c r="B15" s="153"/>
      <c r="C15" s="153"/>
      <c r="D15" s="153"/>
      <c r="E15" s="153"/>
      <c r="F15" s="153"/>
      <c r="G15" s="153"/>
      <c r="H15" s="153"/>
    </row>
    <row r="16" spans="2:13" x14ac:dyDescent="0.15">
      <c r="B16" s="154" t="s">
        <v>227</v>
      </c>
      <c r="C16" s="154"/>
      <c r="D16" s="154"/>
      <c r="E16" s="154"/>
      <c r="F16" s="154"/>
      <c r="G16" s="154"/>
      <c r="H16" s="154"/>
    </row>
    <row r="17" spans="2:8" x14ac:dyDescent="0.15">
      <c r="B17" s="157" t="s">
        <v>228</v>
      </c>
      <c r="C17" s="157" t="s">
        <v>55</v>
      </c>
      <c r="D17" s="157" t="s">
        <v>56</v>
      </c>
      <c r="E17" s="157" t="s">
        <v>57</v>
      </c>
      <c r="F17" s="157" t="s">
        <v>58</v>
      </c>
      <c r="G17" s="157" t="s">
        <v>59</v>
      </c>
      <c r="H17" s="172" t="s">
        <v>240</v>
      </c>
    </row>
    <row r="18" spans="2:8" x14ac:dyDescent="0.15">
      <c r="B18" s="156" t="s">
        <v>176</v>
      </c>
      <c r="C18" s="166">
        <f>'Consolidated Financials'!I7</f>
        <v>511.48650000000009</v>
      </c>
      <c r="D18" s="166">
        <f>'Consolidated Financials'!J7</f>
        <v>550.54978500000016</v>
      </c>
      <c r="E18" s="166">
        <f>'Consolidated Financials'!K7</f>
        <v>587.55922671000019</v>
      </c>
      <c r="F18" s="166">
        <f>'Consolidated Financials'!L7</f>
        <v>624.37252622610015</v>
      </c>
      <c r="G18" s="166">
        <f>'Consolidated Financials'!M7</f>
        <v>660.61825631967918</v>
      </c>
      <c r="H18" s="172"/>
    </row>
    <row r="19" spans="2:8" x14ac:dyDescent="0.15">
      <c r="B19" s="156" t="s">
        <v>262</v>
      </c>
      <c r="C19" s="166">
        <f>'Consolidated Financials'!I21</f>
        <v>47.630934441727426</v>
      </c>
      <c r="D19" s="166">
        <f>'Consolidated Financials'!J21</f>
        <v>62.977659212043548</v>
      </c>
      <c r="E19" s="166">
        <f>'Consolidated Financials'!K21</f>
        <v>84.296856571037466</v>
      </c>
      <c r="F19" s="166">
        <f>'Consolidated Financials'!L21</f>
        <v>100.40360335461475</v>
      </c>
      <c r="G19" s="166">
        <f>'Consolidated Financials'!M21</f>
        <v>112.30510357434555</v>
      </c>
      <c r="H19" s="172"/>
    </row>
    <row r="20" spans="2:8" x14ac:dyDescent="0.15">
      <c r="B20" s="201" t="s">
        <v>40</v>
      </c>
      <c r="C20" s="200">
        <f>'Consolidated Financials'!I22</f>
        <v>9.3122564215726941E-2</v>
      </c>
      <c r="D20" s="200">
        <f>'Consolidated Financials'!J22</f>
        <v>0.11439048915811224</v>
      </c>
      <c r="E20" s="200">
        <f>'Consolidated Financials'!K22</f>
        <v>0.14346954781571936</v>
      </c>
      <c r="F20" s="200">
        <f>'Consolidated Financials'!L22</f>
        <v>0.1608072090575238</v>
      </c>
      <c r="G20" s="200">
        <f>'Consolidated Financials'!M22</f>
        <v>0.17000000000000015</v>
      </c>
      <c r="H20" s="172"/>
    </row>
    <row r="21" spans="2:8" x14ac:dyDescent="0.15">
      <c r="B21" s="156" t="s">
        <v>254</v>
      </c>
      <c r="C21" s="177">
        <f>'Consolidated Financials'!H14</f>
        <v>34.439807379470466</v>
      </c>
      <c r="D21" s="177">
        <f>'Consolidated Financials'!I14</f>
        <v>37.036912949832903</v>
      </c>
      <c r="E21" s="177">
        <f>'Consolidated Financials'!J14</f>
        <v>39.86549881882361</v>
      </c>
      <c r="F21" s="177">
        <f>'Consolidated Financials'!K14</f>
        <v>42.545365190536614</v>
      </c>
      <c r="G21" s="177">
        <f>'Consolidated Financials'!L14</f>
        <v>45.211028838695306</v>
      </c>
      <c r="H21" s="172"/>
    </row>
    <row r="22" spans="2:8" x14ac:dyDescent="0.15">
      <c r="B22" s="156" t="s">
        <v>229</v>
      </c>
      <c r="C22" s="177">
        <f>'Consolidated Financials'!I45*C18</f>
        <v>24.796609776750007</v>
      </c>
      <c r="D22" s="177">
        <f>'Consolidated Financials'!J45*D18</f>
        <v>25.875839895000006</v>
      </c>
      <c r="E22" s="177">
        <f>'Consolidated Financials'!K45*E18</f>
        <v>27.615283655370011</v>
      </c>
      <c r="F22" s="177">
        <f>'Consolidated Financials'!L45*F18</f>
        <v>28.721136206400605</v>
      </c>
      <c r="G22" s="177">
        <f>'Consolidated Financials'!M45*G18</f>
        <v>30.388439790705242</v>
      </c>
      <c r="H22" s="172"/>
    </row>
    <row r="23" spans="2:8" x14ac:dyDescent="0.15">
      <c r="B23" s="156" t="s">
        <v>230</v>
      </c>
      <c r="C23" s="171">
        <f>'DCF Valuation'!D20</f>
        <v>-0.8573729729730033</v>
      </c>
      <c r="D23" s="171">
        <f>'DCF Valuation'!E20</f>
        <v>-0.93379071820617021</v>
      </c>
      <c r="E23" s="171">
        <f>'DCF Valuation'!F20</f>
        <v>-0.88469449394208333</v>
      </c>
      <c r="F23" s="171">
        <f>'DCF Valuation'!G20</f>
        <v>-0.88000580070718115</v>
      </c>
      <c r="G23" s="171">
        <f>'DCF Valuation'!H20</f>
        <v>-0.86643830225722596</v>
      </c>
      <c r="H23" s="172"/>
    </row>
    <row r="24" spans="2:8" x14ac:dyDescent="0.15">
      <c r="B24" s="156" t="s">
        <v>188</v>
      </c>
      <c r="C24" s="166" t="s">
        <v>37</v>
      </c>
      <c r="D24" s="166" t="s">
        <v>37</v>
      </c>
      <c r="E24" s="166" t="s">
        <v>37</v>
      </c>
      <c r="F24" s="166" t="s">
        <v>37</v>
      </c>
      <c r="G24" s="166" t="s">
        <v>37</v>
      </c>
      <c r="H24" s="172"/>
    </row>
    <row r="25" spans="2:8" x14ac:dyDescent="0.15">
      <c r="B25" s="156" t="s">
        <v>231</v>
      </c>
      <c r="C25" s="170">
        <v>0.09</v>
      </c>
      <c r="D25" s="170">
        <v>0.09</v>
      </c>
      <c r="E25" s="170">
        <v>0.09</v>
      </c>
      <c r="F25" s="170">
        <v>0.09</v>
      </c>
      <c r="G25" s="170">
        <v>0.09</v>
      </c>
      <c r="H25" s="172"/>
    </row>
    <row r="26" spans="2:8" x14ac:dyDescent="0.15">
      <c r="B26" s="153"/>
      <c r="C26" s="153"/>
      <c r="D26" s="153"/>
      <c r="E26" s="153"/>
      <c r="F26" s="153"/>
      <c r="G26" s="153"/>
      <c r="H26" s="153"/>
    </row>
    <row r="27" spans="2:8" x14ac:dyDescent="0.15">
      <c r="B27" s="156" t="s">
        <v>232</v>
      </c>
      <c r="C27" s="169">
        <v>0.01</v>
      </c>
      <c r="D27" s="153"/>
      <c r="E27" s="153"/>
      <c r="F27" s="153"/>
      <c r="G27" s="153"/>
      <c r="H27" s="153"/>
    </row>
    <row r="28" spans="2:8" x14ac:dyDescent="0.15">
      <c r="B28" s="156" t="s">
        <v>233</v>
      </c>
      <c r="C28" s="169">
        <v>1</v>
      </c>
      <c r="D28" s="153"/>
      <c r="E28" s="153"/>
      <c r="F28" s="153"/>
      <c r="G28" s="153"/>
      <c r="H28" s="153"/>
    </row>
    <row r="29" spans="2:8" x14ac:dyDescent="0.15">
      <c r="B29" s="156" t="s">
        <v>234</v>
      </c>
      <c r="C29" s="174">
        <v>12</v>
      </c>
      <c r="D29" s="153"/>
      <c r="E29" s="153"/>
      <c r="F29" s="153"/>
      <c r="G29" s="153"/>
      <c r="H29" s="153"/>
    </row>
    <row r="30" spans="2:8" x14ac:dyDescent="0.15">
      <c r="B30" s="156" t="s">
        <v>235</v>
      </c>
      <c r="C30" s="169">
        <v>0.01</v>
      </c>
      <c r="D30" s="153"/>
      <c r="E30" s="153"/>
      <c r="F30" s="153"/>
      <c r="G30" s="153"/>
      <c r="H30" s="153"/>
    </row>
    <row r="31" spans="2:8" x14ac:dyDescent="0.15">
      <c r="B31" s="153"/>
      <c r="C31" s="153"/>
      <c r="D31" s="153"/>
      <c r="E31" s="153"/>
      <c r="F31" s="153"/>
      <c r="G31" s="153"/>
      <c r="H31" s="153"/>
    </row>
    <row r="32" spans="2:8" x14ac:dyDescent="0.15">
      <c r="B32" s="173"/>
      <c r="C32" s="173"/>
      <c r="D32" s="173"/>
      <c r="E32" s="173"/>
      <c r="F32" s="173"/>
      <c r="G32" s="173"/>
      <c r="H32" s="173"/>
    </row>
    <row r="33" spans="2:8" x14ac:dyDescent="0.15">
      <c r="B33" s="158"/>
      <c r="C33" s="158"/>
      <c r="D33" s="158"/>
      <c r="E33" s="158"/>
      <c r="F33" s="158"/>
      <c r="G33" s="158"/>
      <c r="H33" s="158"/>
    </row>
    <row r="34" spans="2:8" x14ac:dyDescent="0.15">
      <c r="B34" s="158"/>
      <c r="C34" s="158"/>
      <c r="D34" s="158"/>
      <c r="E34" s="158"/>
      <c r="F34" s="158"/>
      <c r="G34" s="158"/>
      <c r="H34" s="158"/>
    </row>
    <row r="35" spans="2:8" x14ac:dyDescent="0.15">
      <c r="B35" s="158"/>
      <c r="C35" s="158"/>
      <c r="D35" s="158"/>
      <c r="E35" s="158"/>
      <c r="F35" s="158"/>
      <c r="G35" s="158"/>
      <c r="H35" s="158"/>
    </row>
    <row r="36" spans="2:8" x14ac:dyDescent="0.15">
      <c r="B36" s="159"/>
      <c r="C36" s="159"/>
      <c r="D36" s="159"/>
      <c r="E36" s="159"/>
      <c r="F36" s="159"/>
      <c r="G36" s="159"/>
      <c r="H36" s="159"/>
    </row>
    <row r="37" spans="2:8" x14ac:dyDescent="0.15">
      <c r="B37" s="159"/>
      <c r="C37" s="159"/>
      <c r="D37" s="159"/>
      <c r="E37" s="159"/>
      <c r="F37" s="159"/>
      <c r="G37" s="159"/>
      <c r="H37" s="159"/>
    </row>
    <row r="38" spans="2:8" x14ac:dyDescent="0.15">
      <c r="B38" s="60"/>
      <c r="C38" s="60"/>
      <c r="D38" s="60"/>
      <c r="E38" s="60"/>
      <c r="F38" s="60"/>
      <c r="G38" s="60"/>
      <c r="H38" s="60"/>
    </row>
    <row r="39" spans="2:8" x14ac:dyDescent="0.15">
      <c r="B39" s="60"/>
      <c r="C39" s="60"/>
      <c r="D39" s="60"/>
      <c r="E39" s="60"/>
      <c r="F39" s="60"/>
      <c r="G39" s="60"/>
      <c r="H39" s="60"/>
    </row>
    <row r="40" spans="2:8" x14ac:dyDescent="0.15">
      <c r="B40" s="60"/>
      <c r="C40" s="60"/>
      <c r="D40" s="60"/>
      <c r="E40" s="60"/>
      <c r="F40" s="60"/>
      <c r="G40" s="60"/>
      <c r="H40" s="60"/>
    </row>
  </sheetData>
  <mergeCells count="4">
    <mergeCell ref="B2:H2"/>
    <mergeCell ref="B5:H5"/>
    <mergeCell ref="B16:H16"/>
    <mergeCell ref="H17:H25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D046-33EF-4348-8845-848326F321FF}">
  <dimension ref="B1:P38"/>
  <sheetViews>
    <sheetView showGridLines="0" tabSelected="1" workbookViewId="0">
      <selection activeCell="K25" sqref="K25"/>
    </sheetView>
  </sheetViews>
  <sheetFormatPr baseColWidth="10" defaultColWidth="12.1640625" defaultRowHeight="13" x14ac:dyDescent="0.15"/>
  <cols>
    <col min="1" max="1" width="2.5" customWidth="1"/>
    <col min="2" max="2" width="46.33203125" customWidth="1"/>
    <col min="3" max="9" width="12.33203125" customWidth="1"/>
    <col min="11" max="11" width="24.5" customWidth="1"/>
    <col min="12" max="16" width="10.83203125" customWidth="1"/>
  </cols>
  <sheetData>
    <row r="1" spans="2:16" ht="16" x14ac:dyDescent="0.15">
      <c r="B1" s="55" t="s">
        <v>241</v>
      </c>
      <c r="C1" s="4"/>
      <c r="D1" s="4"/>
      <c r="E1" s="4"/>
      <c r="F1" s="4"/>
      <c r="G1" s="4"/>
      <c r="H1" s="4"/>
      <c r="I1" s="4"/>
      <c r="J1" s="204">
        <v>6</v>
      </c>
      <c r="K1" s="206" t="s">
        <v>236</v>
      </c>
      <c r="L1" s="206"/>
      <c r="M1" s="206"/>
      <c r="N1" s="206"/>
      <c r="O1" s="206"/>
      <c r="P1" s="206"/>
    </row>
    <row r="2" spans="2:16" x14ac:dyDescent="0.15">
      <c r="B2" t="s">
        <v>237</v>
      </c>
      <c r="J2" s="204">
        <v>12</v>
      </c>
      <c r="K2" s="164" t="s">
        <v>269</v>
      </c>
      <c r="L2" s="202">
        <v>4</v>
      </c>
      <c r="M2" s="202">
        <f>L2+1</f>
        <v>5</v>
      </c>
      <c r="N2" s="202">
        <f>M2+1</f>
        <v>6</v>
      </c>
      <c r="O2" s="202">
        <f>N2+1</f>
        <v>7</v>
      </c>
      <c r="P2" s="202">
        <f>O2+1</f>
        <v>8</v>
      </c>
    </row>
    <row r="3" spans="2:16" x14ac:dyDescent="0.15">
      <c r="B3" s="181"/>
      <c r="K3" s="162">
        <v>10</v>
      </c>
      <c r="L3" s="161">
        <v>-7.1956958485715927E-2</v>
      </c>
      <c r="M3" s="161">
        <v>-7.8979945835500609E-2</v>
      </c>
      <c r="N3" s="161">
        <v>-8.5456748297284779E-2</v>
      </c>
      <c r="O3" s="161">
        <v>-9.2542704119923713E-2</v>
      </c>
      <c r="P3" s="161">
        <v>-0.10033395735076389</v>
      </c>
    </row>
    <row r="4" spans="2:16" x14ac:dyDescent="0.15">
      <c r="K4" s="162">
        <f>K3+1</f>
        <v>11</v>
      </c>
      <c r="L4" s="161">
        <v>-5.4398387376687451E-2</v>
      </c>
      <c r="M4" s="161">
        <v>-6.0397414595673493E-2</v>
      </c>
      <c r="N4" s="161">
        <v>-6.5817790146069699E-2</v>
      </c>
      <c r="O4" s="161">
        <v>-7.1715856998449734E-2</v>
      </c>
      <c r="P4" s="161">
        <v>-7.8160933123829324E-2</v>
      </c>
    </row>
    <row r="5" spans="2:16" x14ac:dyDescent="0.15">
      <c r="B5" s="187" t="s">
        <v>242</v>
      </c>
      <c r="C5" s="187"/>
      <c r="D5" s="187"/>
      <c r="E5" s="188" t="s">
        <v>246</v>
      </c>
      <c r="F5" s="188"/>
      <c r="G5" s="187"/>
      <c r="H5" s="188" t="s">
        <v>247</v>
      </c>
      <c r="I5" s="188"/>
      <c r="K5" s="162">
        <f>K4+1</f>
        <v>12</v>
      </c>
      <c r="L5" s="161">
        <v>-3.8054712917032329E-2</v>
      </c>
      <c r="M5" s="161">
        <v>-4.3178290310818879E-2</v>
      </c>
      <c r="N5" s="163">
        <v>-4.7703615976767533E-2</v>
      </c>
      <c r="O5" s="205">
        <v>-5.2605978776319007E-2</v>
      </c>
      <c r="P5" s="161">
        <v>-5.7936332207774943E-2</v>
      </c>
    </row>
    <row r="6" spans="2:16" x14ac:dyDescent="0.15">
      <c r="K6" s="162">
        <f>K5+1</f>
        <v>13</v>
      </c>
      <c r="L6" s="161">
        <v>-2.2751745720097527E-2</v>
      </c>
      <c r="M6" s="161">
        <v>-2.7116260084179222E-2</v>
      </c>
      <c r="N6" s="161">
        <v>-3.0871232995720588E-2</v>
      </c>
      <c r="O6" s="161">
        <v>-3.492408990992002E-2</v>
      </c>
      <c r="P6" s="161">
        <v>-3.9312708202932978E-2</v>
      </c>
    </row>
    <row r="7" spans="2:16" x14ac:dyDescent="0.15">
      <c r="B7" t="s">
        <v>199</v>
      </c>
      <c r="C7" s="182">
        <f>'LBO Assumptions'!C6*'LBO Assumptions'!C7</f>
        <v>1435</v>
      </c>
      <c r="E7" t="s">
        <v>251</v>
      </c>
      <c r="F7" s="185">
        <f>'LBO Assumptions'!C12*'LBO Assumptions'!C13</f>
        <v>285.78560665036457</v>
      </c>
      <c r="H7" t="s">
        <v>248</v>
      </c>
      <c r="I7" s="114">
        <f>C8</f>
        <v>1794.7</v>
      </c>
      <c r="K7" s="162">
        <f>K6+1</f>
        <v>14</v>
      </c>
      <c r="L7" s="161">
        <v>-8.3512995519346989E-3</v>
      </c>
      <c r="M7" s="161">
        <v>-1.2049835655537633E-2</v>
      </c>
      <c r="N7" s="161">
        <v>-1.513302268595984E-2</v>
      </c>
      <c r="O7" s="161">
        <v>-1.8450450213528091E-2</v>
      </c>
      <c r="P7" s="161">
        <v>-2.2030376335580804E-2</v>
      </c>
    </row>
    <row r="8" spans="2:16" x14ac:dyDescent="0.15">
      <c r="B8" s="63" t="s">
        <v>243</v>
      </c>
      <c r="C8" s="63">
        <f>C7+'LBO Assumptions'!C8</f>
        <v>1794.7</v>
      </c>
      <c r="E8" t="s">
        <v>252</v>
      </c>
      <c r="F8" s="185"/>
      <c r="H8" t="s">
        <v>249</v>
      </c>
      <c r="I8" s="114">
        <f>I7*'LBO Assumptions'!C10</f>
        <v>35.893999999999998</v>
      </c>
      <c r="K8" s="162">
        <f>K7+1</f>
        <v>15</v>
      </c>
      <c r="L8" s="161">
        <v>5.2582179954454578E-3</v>
      </c>
      <c r="M8" s="161">
        <v>2.1499181984256932E-3</v>
      </c>
      <c r="N8" s="161">
        <v>-3.4089510520241006E-4</v>
      </c>
      <c r="O8" s="161">
        <v>-3.0138061819676709E-3</v>
      </c>
      <c r="P8" s="161">
        <v>-5.8897993159083839E-3</v>
      </c>
    </row>
    <row r="9" spans="2:16" x14ac:dyDescent="0.15">
      <c r="B9" t="s">
        <v>244</v>
      </c>
      <c r="C9" s="186">
        <f>'LBO Assumptions'!C12</f>
        <v>47.630934441727426</v>
      </c>
      <c r="F9" s="185"/>
      <c r="H9" t="s">
        <v>250</v>
      </c>
      <c r="I9" s="114">
        <f>F7*'LBO Assumptions'!C11</f>
        <v>5.7157121330072913</v>
      </c>
      <c r="K9" s="162">
        <f>K8+1</f>
        <v>16</v>
      </c>
      <c r="L9" s="161">
        <v>1.8168307287835583E-2</v>
      </c>
      <c r="M9" s="161">
        <v>1.5587694992972523E-2</v>
      </c>
      <c r="N9" s="161">
        <v>1.3624227737278227E-2</v>
      </c>
      <c r="O9" s="161">
        <v>1.1522075310752999E-2</v>
      </c>
      <c r="P9" s="161">
        <v>9.2658849388165265E-3</v>
      </c>
    </row>
    <row r="10" spans="2:16" x14ac:dyDescent="0.15">
      <c r="B10" t="s">
        <v>245</v>
      </c>
      <c r="C10" s="186">
        <f>C8/C9</f>
        <v>37.679294371091324</v>
      </c>
      <c r="F10" s="185"/>
      <c r="I10" s="114"/>
      <c r="K10" s="2"/>
      <c r="L10" s="2"/>
      <c r="M10" s="2"/>
      <c r="N10" s="2"/>
      <c r="O10" s="2"/>
      <c r="P10" s="2"/>
    </row>
    <row r="11" spans="2:16" x14ac:dyDescent="0.15">
      <c r="C11" s="156"/>
      <c r="E11" t="s">
        <v>252</v>
      </c>
      <c r="F11" s="185">
        <f>I11-F7</f>
        <v>1550.5241054826429</v>
      </c>
      <c r="H11" t="s">
        <v>253</v>
      </c>
      <c r="I11" s="114">
        <f>SUM(I7:I9)</f>
        <v>1836.3097121330075</v>
      </c>
      <c r="K11" s="2"/>
      <c r="L11" s="2"/>
      <c r="M11" s="2"/>
      <c r="N11" s="2"/>
      <c r="O11" s="2"/>
      <c r="P11" s="2"/>
    </row>
    <row r="12" spans="2:16" x14ac:dyDescent="0.15">
      <c r="C12" s="156"/>
    </row>
    <row r="13" spans="2:16" x14ac:dyDescent="0.15">
      <c r="C13" s="156"/>
    </row>
    <row r="14" spans="2:16" x14ac:dyDescent="0.15">
      <c r="C14" s="156"/>
    </row>
    <row r="15" spans="2:16" x14ac:dyDescent="0.15">
      <c r="C15" s="78" t="s">
        <v>42</v>
      </c>
      <c r="D15" s="78"/>
      <c r="E15" s="78"/>
      <c r="F15" s="78"/>
      <c r="G15" s="78"/>
      <c r="H15" s="179"/>
      <c r="I15" s="179"/>
      <c r="J15" s="179"/>
      <c r="K15" s="179"/>
      <c r="L15" s="179"/>
    </row>
    <row r="16" spans="2:16" x14ac:dyDescent="0.15">
      <c r="C16" s="110">
        <v>46022</v>
      </c>
      <c r="D16" s="110">
        <f>C16+365</f>
        <v>46387</v>
      </c>
      <c r="E16" s="110">
        <f t="shared" ref="E16" si="0">D16+365</f>
        <v>46752</v>
      </c>
      <c r="F16" s="110">
        <f>E16+366</f>
        <v>47118</v>
      </c>
      <c r="G16" s="110">
        <f>F16+365</f>
        <v>47483</v>
      </c>
      <c r="H16" s="178"/>
      <c r="I16" s="178"/>
      <c r="J16" s="178"/>
      <c r="K16" s="178"/>
      <c r="L16" s="178"/>
    </row>
    <row r="17" spans="2:12" ht="7" customHeight="1" x14ac:dyDescent="0.15">
      <c r="B17" s="125"/>
      <c r="C17" s="178"/>
      <c r="D17" s="178"/>
      <c r="E17" s="178"/>
      <c r="F17" s="178"/>
      <c r="G17" s="178"/>
      <c r="H17" s="178"/>
      <c r="I17" s="178"/>
      <c r="J17" s="178"/>
      <c r="K17" s="178"/>
      <c r="L17" s="178"/>
    </row>
    <row r="18" spans="2:12" x14ac:dyDescent="0.15">
      <c r="B18" s="152" t="s">
        <v>176</v>
      </c>
      <c r="C18" s="175">
        <f>'LBO Assumptions'!C18</f>
        <v>511.48650000000009</v>
      </c>
      <c r="D18" s="175">
        <f>'LBO Assumptions'!D18</f>
        <v>550.54978500000016</v>
      </c>
      <c r="E18" s="175">
        <f>'LBO Assumptions'!E18</f>
        <v>587.55922671000019</v>
      </c>
      <c r="F18" s="175">
        <f>'LBO Assumptions'!F18</f>
        <v>624.37252622610015</v>
      </c>
      <c r="G18" s="175">
        <f>'LBO Assumptions'!G18</f>
        <v>660.61825631967918</v>
      </c>
    </row>
    <row r="19" spans="2:12" x14ac:dyDescent="0.15">
      <c r="B19" s="152" t="s">
        <v>263</v>
      </c>
      <c r="C19" s="175">
        <f>'LBO Assumptions'!C19</f>
        <v>47.630934441727426</v>
      </c>
      <c r="D19" s="175">
        <f>'LBO Assumptions'!D19</f>
        <v>62.977659212043548</v>
      </c>
      <c r="E19" s="175">
        <f>'LBO Assumptions'!E19</f>
        <v>84.296856571037466</v>
      </c>
      <c r="F19" s="175">
        <f>'LBO Assumptions'!F19</f>
        <v>100.40360335461475</v>
      </c>
      <c r="G19" s="175">
        <f>'LBO Assumptions'!G19</f>
        <v>112.30510357434555</v>
      </c>
    </row>
    <row r="20" spans="2:12" x14ac:dyDescent="0.15">
      <c r="B20" s="194" t="s">
        <v>40</v>
      </c>
      <c r="C20" s="195">
        <f>'LBO Assumptions'!C20</f>
        <v>9.3122564215726941E-2</v>
      </c>
      <c r="D20" s="195">
        <f>'LBO Assumptions'!D20</f>
        <v>0.11439048915811224</v>
      </c>
      <c r="E20" s="195">
        <f>'LBO Assumptions'!E20</f>
        <v>0.14346954781571936</v>
      </c>
      <c r="F20" s="195">
        <f>'LBO Assumptions'!F20</f>
        <v>0.1608072090575238</v>
      </c>
      <c r="G20" s="195">
        <f>'LBO Assumptions'!G20</f>
        <v>0.17000000000000015</v>
      </c>
    </row>
    <row r="21" spans="2:12" x14ac:dyDescent="0.15">
      <c r="B21" s="152" t="s">
        <v>261</v>
      </c>
      <c r="C21" s="175">
        <f>'LBO Assumptions'!C21</f>
        <v>34.439807379470466</v>
      </c>
      <c r="D21" s="175">
        <f>'LBO Assumptions'!D21</f>
        <v>37.036912949832903</v>
      </c>
      <c r="E21" s="175">
        <f>'LBO Assumptions'!E21</f>
        <v>39.86549881882361</v>
      </c>
      <c r="F21" s="175">
        <f>'LBO Assumptions'!F21</f>
        <v>42.545365190536614</v>
      </c>
      <c r="G21" s="175">
        <f>'LBO Assumptions'!G21</f>
        <v>45.211028838695306</v>
      </c>
      <c r="K21" s="207"/>
    </row>
    <row r="22" spans="2:12" x14ac:dyDescent="0.15">
      <c r="B22" s="152" t="s">
        <v>260</v>
      </c>
      <c r="C22" s="175">
        <f>'LBO Assumptions'!C22</f>
        <v>24.796609776750007</v>
      </c>
      <c r="D22" s="175">
        <f>'LBO Assumptions'!D22</f>
        <v>25.875839895000006</v>
      </c>
      <c r="E22" s="175">
        <f>'LBO Assumptions'!E22</f>
        <v>27.615283655370011</v>
      </c>
      <c r="F22" s="175">
        <f>'LBO Assumptions'!F22</f>
        <v>28.721136206400605</v>
      </c>
      <c r="G22" s="175">
        <f>'LBO Assumptions'!G22</f>
        <v>30.388439790705242</v>
      </c>
    </row>
    <row r="23" spans="2:12" x14ac:dyDescent="0.15">
      <c r="B23" s="152" t="s">
        <v>230</v>
      </c>
      <c r="C23" s="176">
        <f>'LBO Assumptions'!C23</f>
        <v>-0.8573729729730033</v>
      </c>
      <c r="D23" s="176">
        <f>'LBO Assumptions'!D23</f>
        <v>-0.93379071820617021</v>
      </c>
      <c r="E23" s="176">
        <f>'LBO Assumptions'!E23</f>
        <v>-0.88469449394208333</v>
      </c>
      <c r="F23" s="176">
        <f>'LBO Assumptions'!F23</f>
        <v>-0.88000580070718115</v>
      </c>
      <c r="G23" s="176">
        <f>'LBO Assumptions'!G23</f>
        <v>-0.86643830225722596</v>
      </c>
    </row>
    <row r="24" spans="2:12" x14ac:dyDescent="0.15">
      <c r="B24" s="152" t="s">
        <v>188</v>
      </c>
      <c r="C24" s="175" t="str">
        <f>'LBO Assumptions'!C24</f>
        <v>-</v>
      </c>
      <c r="D24" s="175" t="str">
        <f>'LBO Assumptions'!D24</f>
        <v>-</v>
      </c>
      <c r="E24" s="175" t="str">
        <f>'LBO Assumptions'!E24</f>
        <v>-</v>
      </c>
      <c r="F24" s="175" t="str">
        <f>'LBO Assumptions'!F24</f>
        <v>-</v>
      </c>
      <c r="G24" s="175" t="str">
        <f>'LBO Assumptions'!G24</f>
        <v>-</v>
      </c>
    </row>
    <row r="25" spans="2:12" x14ac:dyDescent="0.15">
      <c r="B25" s="152" t="s">
        <v>231</v>
      </c>
      <c r="C25" s="180">
        <f>'LBO Assumptions'!C25</f>
        <v>0.09</v>
      </c>
      <c r="D25" s="180">
        <f>'LBO Assumptions'!D25</f>
        <v>0.09</v>
      </c>
      <c r="E25" s="180">
        <f>'LBO Assumptions'!E25</f>
        <v>0.09</v>
      </c>
      <c r="F25" s="180">
        <f>'LBO Assumptions'!F25</f>
        <v>0.09</v>
      </c>
      <c r="G25" s="180">
        <f>'LBO Assumptions'!G25</f>
        <v>0.09</v>
      </c>
    </row>
    <row r="26" spans="2:12" x14ac:dyDescent="0.15">
      <c r="B26" s="152" t="s">
        <v>255</v>
      </c>
      <c r="C26" s="114">
        <f>C29*C25</f>
        <v>25.720704598532809</v>
      </c>
      <c r="D26" s="114">
        <f t="shared" ref="D26:G26" si="1">D29*D25</f>
        <v>25.463497552547484</v>
      </c>
      <c r="E26" s="114">
        <f t="shared" si="1"/>
        <v>24.332007429104284</v>
      </c>
      <c r="F26" s="114">
        <f t="shared" si="1"/>
        <v>21.340924030858808</v>
      </c>
      <c r="G26" s="114">
        <f t="shared" si="1"/>
        <v>16.730984628233184</v>
      </c>
    </row>
    <row r="27" spans="2:12" x14ac:dyDescent="0.15">
      <c r="B27" s="67" t="s">
        <v>256</v>
      </c>
      <c r="C27" s="141">
        <f>(C18*C20)-C26-C22-C23</f>
        <v>-2.0290069605823859</v>
      </c>
      <c r="D27" s="141">
        <f t="shared" ref="D27:G27" si="2">(D18*D20)-D26-D22-D23</f>
        <v>12.572112482702218</v>
      </c>
      <c r="E27" s="141">
        <f t="shared" si="2"/>
        <v>33.234259980505264</v>
      </c>
      <c r="F27" s="141">
        <f t="shared" si="2"/>
        <v>51.22154891806251</v>
      </c>
      <c r="G27" s="142">
        <f t="shared" si="2"/>
        <v>66.052117457664366</v>
      </c>
    </row>
    <row r="29" spans="2:12" x14ac:dyDescent="0.15">
      <c r="B29" s="152" t="s">
        <v>257</v>
      </c>
      <c r="C29" s="114">
        <f>F7</f>
        <v>285.78560665036457</v>
      </c>
      <c r="D29" s="114">
        <f>C32</f>
        <v>282.92775058386093</v>
      </c>
      <c r="E29" s="114">
        <f t="shared" ref="E29:G29" si="3">D32</f>
        <v>270.35563810115872</v>
      </c>
      <c r="F29" s="114">
        <f t="shared" si="3"/>
        <v>237.12137812065345</v>
      </c>
      <c r="G29" s="114">
        <f t="shared" si="3"/>
        <v>185.89982920259092</v>
      </c>
    </row>
    <row r="30" spans="2:12" x14ac:dyDescent="0.15">
      <c r="B30" s="152" t="s">
        <v>258</v>
      </c>
      <c r="C30" s="114">
        <f>$F$7*'LBO Assumptions'!$C$27</f>
        <v>2.8578560665036457</v>
      </c>
      <c r="D30" s="114">
        <f>$F$7*'LBO Assumptions'!$C$27</f>
        <v>2.8578560665036457</v>
      </c>
      <c r="E30" s="114">
        <f>$F$7*'LBO Assumptions'!$C$27</f>
        <v>2.8578560665036457</v>
      </c>
      <c r="F30" s="114">
        <f>$F$7*'LBO Assumptions'!$C$27</f>
        <v>2.8578560665036457</v>
      </c>
      <c r="G30" s="114">
        <f>$F$7*'LBO Assumptions'!$C$27</f>
        <v>2.8578560665036457</v>
      </c>
    </row>
    <row r="31" spans="2:12" x14ac:dyDescent="0.15">
      <c r="B31" s="152" t="s">
        <v>268</v>
      </c>
      <c r="C31" s="114">
        <f>MAX(C27-C30,0)</f>
        <v>0</v>
      </c>
      <c r="D31" s="114">
        <f t="shared" ref="D31:G31" si="4">MAX(D27-D30,0)</f>
        <v>9.7142564161985732</v>
      </c>
      <c r="E31" s="114">
        <f t="shared" si="4"/>
        <v>30.376403914001617</v>
      </c>
      <c r="F31" s="114">
        <f t="shared" si="4"/>
        <v>48.363692851558866</v>
      </c>
      <c r="G31" s="114">
        <f t="shared" si="4"/>
        <v>63.194261391160722</v>
      </c>
    </row>
    <row r="32" spans="2:12" x14ac:dyDescent="0.15">
      <c r="B32" s="183" t="s">
        <v>259</v>
      </c>
      <c r="C32" s="184">
        <f>C29-C30-C31</f>
        <v>282.92775058386093</v>
      </c>
      <c r="D32" s="184">
        <f t="shared" ref="D32:G32" si="5">D29-D30-D31</f>
        <v>270.35563810115872</v>
      </c>
      <c r="E32" s="184">
        <f t="shared" si="5"/>
        <v>237.12137812065345</v>
      </c>
      <c r="F32" s="184">
        <f t="shared" si="5"/>
        <v>185.89982920259092</v>
      </c>
      <c r="G32" s="184">
        <f t="shared" si="5"/>
        <v>119.84771174492656</v>
      </c>
    </row>
    <row r="33" spans="2:7" x14ac:dyDescent="0.15">
      <c r="C33" s="114"/>
      <c r="D33" s="114"/>
      <c r="E33" s="114"/>
      <c r="F33" s="114"/>
      <c r="G33" s="114"/>
    </row>
    <row r="34" spans="2:7" x14ac:dyDescent="0.15">
      <c r="B34" s="152" t="s">
        <v>265</v>
      </c>
      <c r="C34" s="114">
        <f>G19*'LBO Assumptions'!C29</f>
        <v>1347.6612428921467</v>
      </c>
      <c r="D34" s="114"/>
      <c r="E34" s="114"/>
      <c r="F34" s="114"/>
      <c r="G34" s="114"/>
    </row>
    <row r="35" spans="2:7" x14ac:dyDescent="0.15">
      <c r="B35" s="152" t="s">
        <v>264</v>
      </c>
      <c r="C35" s="114">
        <f>C34-G32-('LBO Assumptions'!C30*C34)</f>
        <v>1214.3369187182986</v>
      </c>
      <c r="D35" s="114"/>
      <c r="E35" s="114"/>
      <c r="F35" s="114"/>
      <c r="G35" s="114"/>
    </row>
    <row r="37" spans="2:7" x14ac:dyDescent="0.15">
      <c r="B37" s="126" t="s">
        <v>266</v>
      </c>
      <c r="C37" s="192">
        <f>(C35/F11)^(1/5)-1</f>
        <v>-4.7703615976767533E-2</v>
      </c>
    </row>
    <row r="38" spans="2:7" x14ac:dyDescent="0.15">
      <c r="B38" s="193" t="s">
        <v>267</v>
      </c>
      <c r="C38" s="208">
        <f>C35/F11</f>
        <v>0.78317835525704593</v>
      </c>
    </row>
  </sheetData>
  <mergeCells count="3">
    <mergeCell ref="C15:G15"/>
    <mergeCell ref="E5:F5"/>
    <mergeCell ref="H5:I5"/>
  </mergeCells>
  <pageMargins left="0.7" right="0.7" top="0.75" bottom="0.75" header="0.3" footer="0.3"/>
  <ignoredErrors>
    <ignoredError sqref="F1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A732-8919-6F44-A69A-397F774BA31C}">
  <dimension ref="A1:M324"/>
  <sheetViews>
    <sheetView workbookViewId="0">
      <selection activeCell="A13" sqref="A13"/>
    </sheetView>
  </sheetViews>
  <sheetFormatPr baseColWidth="10" defaultRowHeight="13" x14ac:dyDescent="0.15"/>
  <cols>
    <col min="1" max="1" width="34.5" style="2" customWidth="1"/>
    <col min="2" max="16384" width="10.83203125" style="2"/>
  </cols>
  <sheetData>
    <row r="1" spans="1:6" x14ac:dyDescent="0.15">
      <c r="A1" t="s">
        <v>0</v>
      </c>
      <c r="B1"/>
      <c r="C1"/>
      <c r="D1"/>
      <c r="E1"/>
      <c r="F1"/>
    </row>
    <row r="2" spans="1:6" x14ac:dyDescent="0.15">
      <c r="A2" t="s">
        <v>1</v>
      </c>
      <c r="B2"/>
      <c r="C2"/>
      <c r="D2"/>
      <c r="E2"/>
      <c r="F2"/>
    </row>
    <row r="3" spans="1:6" x14ac:dyDescent="0.15">
      <c r="A3"/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15">
      <c r="A4" t="s">
        <v>2</v>
      </c>
      <c r="B4" s="1">
        <v>43830</v>
      </c>
      <c r="C4" s="1">
        <v>44196</v>
      </c>
      <c r="D4" s="1">
        <v>44561</v>
      </c>
      <c r="E4" s="1">
        <v>44926</v>
      </c>
      <c r="F4" s="1">
        <v>45291</v>
      </c>
    </row>
    <row r="5" spans="1:6" x14ac:dyDescent="0.15">
      <c r="A5" t="s">
        <v>3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15">
      <c r="A6" t="s">
        <v>5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15">
      <c r="A7" t="s">
        <v>7</v>
      </c>
      <c r="B7">
        <v>200.88200000000001</v>
      </c>
      <c r="C7">
        <v>271.14100000000002</v>
      </c>
      <c r="D7">
        <v>368.43299999999999</v>
      </c>
      <c r="E7">
        <v>431.892</v>
      </c>
      <c r="F7">
        <v>448.78800000000001</v>
      </c>
    </row>
    <row r="8" spans="1:6" x14ac:dyDescent="0.15">
      <c r="A8" t="s">
        <v>8</v>
      </c>
      <c r="B8">
        <v>63.534999999999997</v>
      </c>
      <c r="C8">
        <v>83.028000000000006</v>
      </c>
      <c r="D8">
        <v>114.21599999999999</v>
      </c>
      <c r="E8">
        <v>133.98099999999999</v>
      </c>
      <c r="F8">
        <v>130.673</v>
      </c>
    </row>
    <row r="9" spans="1:6" x14ac:dyDescent="0.15">
      <c r="A9" t="s">
        <v>9</v>
      </c>
      <c r="B9">
        <v>137.34700000000001</v>
      </c>
      <c r="C9">
        <v>188.113</v>
      </c>
      <c r="D9">
        <v>254.21700000000001</v>
      </c>
      <c r="E9">
        <v>297.911</v>
      </c>
      <c r="F9">
        <v>318.11500000000001</v>
      </c>
    </row>
    <row r="10" spans="1:6" x14ac:dyDescent="0.15">
      <c r="A10" t="s">
        <v>10</v>
      </c>
      <c r="B10">
        <v>124.816</v>
      </c>
      <c r="C10">
        <v>179.81800000000001</v>
      </c>
      <c r="D10">
        <v>217.869</v>
      </c>
      <c r="E10">
        <v>234.79400000000001</v>
      </c>
      <c r="F10">
        <v>217.39</v>
      </c>
    </row>
    <row r="11" spans="1:6" x14ac:dyDescent="0.15">
      <c r="A11" t="s">
        <v>11</v>
      </c>
      <c r="B11">
        <v>49.521999999999998</v>
      </c>
      <c r="C11">
        <v>61.914999999999999</v>
      </c>
      <c r="D11">
        <v>80.936999999999998</v>
      </c>
      <c r="E11">
        <v>94.039000000000001</v>
      </c>
      <c r="F11">
        <v>91.173000000000002</v>
      </c>
    </row>
    <row r="12" spans="1:6" x14ac:dyDescent="0.15">
      <c r="A12" t="s">
        <v>12</v>
      </c>
      <c r="B12">
        <v>10.199999999999999</v>
      </c>
      <c r="C12">
        <v>18.600000000000001</v>
      </c>
      <c r="D12">
        <v>31.7</v>
      </c>
      <c r="E12">
        <v>35.700000000000003</v>
      </c>
      <c r="F12">
        <v>33.200000000000003</v>
      </c>
    </row>
    <row r="13" spans="1:6" x14ac:dyDescent="0.15">
      <c r="A13" t="s">
        <v>13</v>
      </c>
      <c r="B13"/>
      <c r="C13"/>
      <c r="D13"/>
      <c r="E13"/>
      <c r="F13"/>
    </row>
    <row r="14" spans="1:6" x14ac:dyDescent="0.15">
      <c r="A14" t="s">
        <v>14</v>
      </c>
      <c r="B14">
        <v>1.4</v>
      </c>
      <c r="C14">
        <v>0.4</v>
      </c>
      <c r="D14">
        <v>-7.2</v>
      </c>
      <c r="E14">
        <v>-1.7</v>
      </c>
      <c r="F14">
        <v>25.1</v>
      </c>
    </row>
    <row r="15" spans="1:6" x14ac:dyDescent="0.15">
      <c r="A15" t="s">
        <v>15</v>
      </c>
      <c r="B15"/>
      <c r="C15"/>
      <c r="D15"/>
      <c r="E15"/>
      <c r="F15"/>
    </row>
    <row r="16" spans="1:6" x14ac:dyDescent="0.15">
      <c r="A16" t="s">
        <v>16</v>
      </c>
      <c r="B16">
        <v>249.5</v>
      </c>
      <c r="C16">
        <v>343.8</v>
      </c>
      <c r="D16">
        <v>437.5</v>
      </c>
      <c r="E16">
        <v>496.8</v>
      </c>
      <c r="F16">
        <v>497.5</v>
      </c>
    </row>
    <row r="17" spans="1:6" x14ac:dyDescent="0.15">
      <c r="A17" t="s">
        <v>17</v>
      </c>
      <c r="B17">
        <v>-48.634</v>
      </c>
      <c r="C17">
        <v>-72.66</v>
      </c>
      <c r="D17">
        <v>-69.067999999999998</v>
      </c>
      <c r="E17">
        <v>-64.941000000000003</v>
      </c>
      <c r="F17">
        <v>-48.722999999999999</v>
      </c>
    </row>
    <row r="18" spans="1:6" x14ac:dyDescent="0.15">
      <c r="A18" t="s">
        <v>18</v>
      </c>
      <c r="B18">
        <v>-3</v>
      </c>
      <c r="C18">
        <v>-22.1</v>
      </c>
      <c r="D18">
        <v>-35.6</v>
      </c>
      <c r="E18">
        <v>0.6</v>
      </c>
      <c r="F18">
        <v>4.3</v>
      </c>
    </row>
    <row r="19" spans="1:6" x14ac:dyDescent="0.15">
      <c r="A19" t="s">
        <v>19</v>
      </c>
      <c r="B19"/>
      <c r="C19"/>
      <c r="D19"/>
      <c r="E19"/>
      <c r="F19">
        <v>0.3</v>
      </c>
    </row>
    <row r="20" spans="1:6" x14ac:dyDescent="0.15">
      <c r="A20" t="s">
        <v>20</v>
      </c>
      <c r="B20">
        <v>-0.2</v>
      </c>
      <c r="C20">
        <v>-0.9</v>
      </c>
      <c r="D20">
        <v>-2.7</v>
      </c>
      <c r="E20">
        <v>0.8</v>
      </c>
      <c r="F20">
        <v>0.5</v>
      </c>
    </row>
    <row r="21" spans="1:6" x14ac:dyDescent="0.15">
      <c r="A21" t="s">
        <v>21</v>
      </c>
      <c r="B21">
        <v>-51.825000000000003</v>
      </c>
      <c r="C21">
        <v>-95.662999999999997</v>
      </c>
      <c r="D21">
        <v>-107.375</v>
      </c>
      <c r="E21">
        <v>-63.572000000000003</v>
      </c>
      <c r="F21">
        <v>-43.597000000000001</v>
      </c>
    </row>
    <row r="22" spans="1:6" x14ac:dyDescent="0.15">
      <c r="A22" t="s">
        <v>22</v>
      </c>
      <c r="B22">
        <v>0.42499999999999999</v>
      </c>
      <c r="C22">
        <v>-2.2669999999999999</v>
      </c>
      <c r="D22">
        <v>-12.579000000000001</v>
      </c>
      <c r="E22">
        <v>-2.3980000000000001</v>
      </c>
      <c r="F22">
        <v>3.7080000000000002</v>
      </c>
    </row>
    <row r="23" spans="1:6" x14ac:dyDescent="0.15">
      <c r="A23" t="s">
        <v>23</v>
      </c>
      <c r="B23">
        <v>-52.25</v>
      </c>
      <c r="C23">
        <v>-93.396000000000001</v>
      </c>
      <c r="D23">
        <v>-94.796000000000006</v>
      </c>
      <c r="E23">
        <v>-61.173999999999999</v>
      </c>
      <c r="F23">
        <v>-47.305</v>
      </c>
    </row>
    <row r="24" spans="1:6" x14ac:dyDescent="0.15">
      <c r="A24" t="s">
        <v>24</v>
      </c>
      <c r="B24"/>
      <c r="C24"/>
      <c r="D24"/>
      <c r="E24"/>
      <c r="F24"/>
    </row>
    <row r="25" spans="1:6" x14ac:dyDescent="0.15">
      <c r="A25" t="s">
        <v>25</v>
      </c>
      <c r="B25">
        <v>-1.58</v>
      </c>
      <c r="C25">
        <v>-2.7</v>
      </c>
      <c r="D25">
        <v>-2.5</v>
      </c>
      <c r="E25">
        <v>-1.54</v>
      </c>
      <c r="F25">
        <v>-1.1599999999999999</v>
      </c>
    </row>
    <row r="26" spans="1:6" x14ac:dyDescent="0.15">
      <c r="A26" t="s">
        <v>26</v>
      </c>
      <c r="B26">
        <v>-1.58</v>
      </c>
      <c r="C26">
        <v>-2.7</v>
      </c>
      <c r="D26">
        <v>-2.5</v>
      </c>
      <c r="E26">
        <v>-1.54</v>
      </c>
      <c r="F26">
        <v>-1.1599999999999999</v>
      </c>
    </row>
    <row r="27" spans="1:6" x14ac:dyDescent="0.15">
      <c r="A27" t="s">
        <v>27</v>
      </c>
      <c r="B27">
        <v>-1.55</v>
      </c>
      <c r="C27">
        <v>-2.69</v>
      </c>
      <c r="D27">
        <v>-2.62</v>
      </c>
      <c r="E27">
        <v>-1.56</v>
      </c>
      <c r="F27">
        <v>-0.77</v>
      </c>
    </row>
    <row r="28" spans="1:6" x14ac:dyDescent="0.15">
      <c r="A28" t="s">
        <v>28</v>
      </c>
      <c r="B28">
        <v>33</v>
      </c>
      <c r="C28">
        <v>35</v>
      </c>
      <c r="D28">
        <v>38</v>
      </c>
      <c r="E28">
        <v>40</v>
      </c>
      <c r="F28">
        <v>41</v>
      </c>
    </row>
    <row r="29" spans="1:6" x14ac:dyDescent="0.15">
      <c r="A29" t="s">
        <v>29</v>
      </c>
      <c r="B29">
        <v>-1.58</v>
      </c>
      <c r="C29">
        <v>-2.7</v>
      </c>
      <c r="D29">
        <v>-2.5</v>
      </c>
      <c r="E29">
        <v>-1.54</v>
      </c>
      <c r="F29">
        <v>-1.1599999999999999</v>
      </c>
    </row>
    <row r="30" spans="1:6" x14ac:dyDescent="0.15">
      <c r="A30" t="s">
        <v>30</v>
      </c>
      <c r="B30">
        <v>-1.58</v>
      </c>
      <c r="C30">
        <v>-2.7</v>
      </c>
      <c r="D30">
        <v>-2.5</v>
      </c>
      <c r="E30">
        <v>-1.54</v>
      </c>
      <c r="F30">
        <v>-1.1599999999999999</v>
      </c>
    </row>
    <row r="31" spans="1:6" x14ac:dyDescent="0.15">
      <c r="A31" t="s">
        <v>31</v>
      </c>
      <c r="B31">
        <v>-1.55</v>
      </c>
      <c r="C31">
        <v>-2.69</v>
      </c>
      <c r="D31">
        <v>-2.62</v>
      </c>
      <c r="E31">
        <v>-1.56</v>
      </c>
      <c r="F31">
        <v>-0.77</v>
      </c>
    </row>
    <row r="32" spans="1:6" x14ac:dyDescent="0.15">
      <c r="A32" t="s">
        <v>32</v>
      </c>
      <c r="B32">
        <v>33</v>
      </c>
      <c r="C32">
        <v>35</v>
      </c>
      <c r="D32">
        <v>38</v>
      </c>
      <c r="E32">
        <v>40</v>
      </c>
      <c r="F32">
        <v>41</v>
      </c>
    </row>
    <row r="33" spans="1:6" x14ac:dyDescent="0.15">
      <c r="A33" t="s">
        <v>33</v>
      </c>
      <c r="B33"/>
      <c r="C33"/>
      <c r="D33"/>
      <c r="E33"/>
      <c r="F33"/>
    </row>
    <row r="34" spans="1:6" x14ac:dyDescent="0.15">
      <c r="A34" t="s">
        <v>34</v>
      </c>
      <c r="B34">
        <v>948</v>
      </c>
      <c r="C34">
        <v>1344</v>
      </c>
      <c r="D34">
        <v>1952</v>
      </c>
      <c r="E34">
        <v>1713</v>
      </c>
      <c r="F34">
        <v>1593</v>
      </c>
    </row>
    <row r="35" spans="1:6" x14ac:dyDescent="0.15">
      <c r="A35"/>
      <c r="B35"/>
      <c r="C35"/>
      <c r="D35"/>
      <c r="E35"/>
      <c r="F35"/>
    </row>
    <row r="36" spans="1:6" x14ac:dyDescent="0.15">
      <c r="A36"/>
      <c r="B36"/>
      <c r="C36"/>
      <c r="D36"/>
      <c r="E36"/>
      <c r="F36"/>
    </row>
    <row r="37" spans="1:6" x14ac:dyDescent="0.15">
      <c r="A37" t="s">
        <v>0</v>
      </c>
      <c r="B37"/>
      <c r="C37"/>
      <c r="D37"/>
      <c r="E37"/>
      <c r="F37"/>
    </row>
    <row r="38" spans="1:6" x14ac:dyDescent="0.15">
      <c r="A38" t="s">
        <v>64</v>
      </c>
      <c r="B38"/>
      <c r="C38"/>
      <c r="D38"/>
      <c r="E38"/>
      <c r="F38"/>
    </row>
    <row r="39" spans="1:6" x14ac:dyDescent="0.15">
      <c r="A39" t="s">
        <v>2</v>
      </c>
      <c r="B39" s="1">
        <v>43830</v>
      </c>
      <c r="C39" s="1">
        <v>44196</v>
      </c>
      <c r="D39" s="1">
        <v>44561</v>
      </c>
      <c r="E39" s="1">
        <v>44926</v>
      </c>
      <c r="F39" s="1">
        <v>45291</v>
      </c>
    </row>
    <row r="40" spans="1:6" x14ac:dyDescent="0.15">
      <c r="A40" t="s">
        <v>3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</row>
    <row r="41" spans="1:6" x14ac:dyDescent="0.15">
      <c r="A41" t="s">
        <v>5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15">
      <c r="A42" t="s">
        <v>65</v>
      </c>
      <c r="B42">
        <v>531.57500000000005</v>
      </c>
      <c r="C42">
        <v>467.17099999999999</v>
      </c>
      <c r="D42">
        <v>488.03500000000003</v>
      </c>
      <c r="E42">
        <v>198.72499999999999</v>
      </c>
      <c r="F42">
        <v>122.44</v>
      </c>
    </row>
    <row r="43" spans="1:6" x14ac:dyDescent="0.15">
      <c r="A43" t="s">
        <v>66</v>
      </c>
      <c r="B43">
        <v>531.57500000000005</v>
      </c>
      <c r="C43">
        <v>467.17099999999999</v>
      </c>
      <c r="D43">
        <v>488.03500000000003</v>
      </c>
      <c r="E43">
        <v>198.72499999999999</v>
      </c>
      <c r="F43">
        <v>122.44</v>
      </c>
    </row>
    <row r="44" spans="1:6" x14ac:dyDescent="0.15">
      <c r="A44" t="s">
        <v>67</v>
      </c>
      <c r="B44">
        <v>68.641999999999996</v>
      </c>
      <c r="C44">
        <v>94.376000000000005</v>
      </c>
      <c r="D44">
        <v>120.995</v>
      </c>
      <c r="E44">
        <v>127.496</v>
      </c>
      <c r="F44">
        <v>127.78400000000001</v>
      </c>
    </row>
    <row r="45" spans="1:6" x14ac:dyDescent="0.15">
      <c r="A45" t="s">
        <v>68</v>
      </c>
      <c r="B45"/>
      <c r="C45"/>
      <c r="D45"/>
      <c r="E45"/>
      <c r="F45"/>
    </row>
    <row r="46" spans="1:6" x14ac:dyDescent="0.15">
      <c r="A46" t="s">
        <v>69</v>
      </c>
      <c r="B46">
        <v>6.7</v>
      </c>
      <c r="C46">
        <v>11.8</v>
      </c>
      <c r="D46">
        <v>13.7</v>
      </c>
      <c r="E46">
        <v>13.1</v>
      </c>
      <c r="F46">
        <v>12.9</v>
      </c>
    </row>
    <row r="47" spans="1:6" x14ac:dyDescent="0.15">
      <c r="A47" t="s">
        <v>70</v>
      </c>
      <c r="B47">
        <v>18.2</v>
      </c>
      <c r="C47">
        <v>25.1</v>
      </c>
      <c r="D47">
        <v>32.299999999999997</v>
      </c>
      <c r="E47">
        <v>32.9</v>
      </c>
      <c r="F47">
        <v>30.3</v>
      </c>
    </row>
    <row r="48" spans="1:6" x14ac:dyDescent="0.15">
      <c r="A48" t="s">
        <v>71</v>
      </c>
      <c r="B48">
        <v>625.13</v>
      </c>
      <c r="C48">
        <v>598.452</v>
      </c>
      <c r="D48">
        <v>655.11900000000003</v>
      </c>
      <c r="E48">
        <v>372.24099999999999</v>
      </c>
      <c r="F48">
        <v>293.43299999999999</v>
      </c>
    </row>
    <row r="49" spans="1:6" x14ac:dyDescent="0.15">
      <c r="A49" t="s">
        <v>72</v>
      </c>
      <c r="B49">
        <v>27.3</v>
      </c>
      <c r="C49">
        <v>30.2</v>
      </c>
      <c r="D49">
        <v>41.4</v>
      </c>
      <c r="E49">
        <v>38.299999999999997</v>
      </c>
      <c r="F49">
        <v>40.700000000000003</v>
      </c>
    </row>
    <row r="50" spans="1:6" x14ac:dyDescent="0.15">
      <c r="A50" t="s">
        <v>73</v>
      </c>
      <c r="B50">
        <v>-7.931</v>
      </c>
      <c r="C50">
        <v>-7.3920000000000003</v>
      </c>
      <c r="D50">
        <v>-11.021000000000001</v>
      </c>
      <c r="E50">
        <v>-11.412000000000001</v>
      </c>
      <c r="F50">
        <v>-16.317</v>
      </c>
    </row>
    <row r="51" spans="1:6" x14ac:dyDescent="0.15">
      <c r="A51" t="s">
        <v>74</v>
      </c>
      <c r="B51">
        <v>19.399999999999999</v>
      </c>
      <c r="C51">
        <v>22.8</v>
      </c>
      <c r="D51">
        <v>30.3</v>
      </c>
      <c r="E51">
        <v>26.9</v>
      </c>
      <c r="F51">
        <v>24.4</v>
      </c>
    </row>
    <row r="52" spans="1:6" x14ac:dyDescent="0.15">
      <c r="A52" t="s">
        <v>75</v>
      </c>
      <c r="B52">
        <v>91.421000000000006</v>
      </c>
      <c r="C52">
        <v>187.411</v>
      </c>
      <c r="D52">
        <v>531.16300000000001</v>
      </c>
      <c r="E52">
        <v>508.78100000000001</v>
      </c>
      <c r="F52">
        <v>517.18399999999997</v>
      </c>
    </row>
    <row r="53" spans="1:6" x14ac:dyDescent="0.15">
      <c r="A53" t="s">
        <v>76</v>
      </c>
      <c r="B53">
        <v>81.387</v>
      </c>
      <c r="C53">
        <v>130.09100000000001</v>
      </c>
      <c r="D53">
        <v>242.03899999999999</v>
      </c>
      <c r="E53">
        <v>193.547</v>
      </c>
      <c r="F53">
        <v>161.89400000000001</v>
      </c>
    </row>
    <row r="54" spans="1:6" x14ac:dyDescent="0.15">
      <c r="A54" t="s">
        <v>77</v>
      </c>
      <c r="B54"/>
      <c r="C54"/>
      <c r="D54"/>
      <c r="E54"/>
      <c r="F54"/>
    </row>
    <row r="55" spans="1:6" x14ac:dyDescent="0.15">
      <c r="A55" t="s">
        <v>78</v>
      </c>
      <c r="B55"/>
      <c r="C55"/>
      <c r="D55"/>
      <c r="E55"/>
      <c r="F55"/>
    </row>
    <row r="56" spans="1:6" x14ac:dyDescent="0.15">
      <c r="A56" t="s">
        <v>79</v>
      </c>
      <c r="B56">
        <v>20</v>
      </c>
      <c r="C56">
        <v>22.2</v>
      </c>
      <c r="D56">
        <v>20.3</v>
      </c>
      <c r="E56">
        <v>24.2</v>
      </c>
      <c r="F56">
        <v>29</v>
      </c>
    </row>
    <row r="57" spans="1:6" x14ac:dyDescent="0.15">
      <c r="A57" t="s">
        <v>80</v>
      </c>
      <c r="B57"/>
      <c r="C57"/>
      <c r="D57"/>
      <c r="E57"/>
      <c r="F57"/>
    </row>
    <row r="58" spans="1:6" x14ac:dyDescent="0.15">
      <c r="A58" t="s">
        <v>81</v>
      </c>
      <c r="B58">
        <v>837.29600000000005</v>
      </c>
      <c r="C58">
        <v>960.94399999999996</v>
      </c>
      <c r="D58">
        <v>1479.0150000000001</v>
      </c>
      <c r="E58">
        <v>1125.664</v>
      </c>
      <c r="F58">
        <v>1025.885</v>
      </c>
    </row>
    <row r="59" spans="1:6" x14ac:dyDescent="0.15">
      <c r="A59" t="s">
        <v>82</v>
      </c>
      <c r="B59">
        <v>7.8079999999999998</v>
      </c>
      <c r="C59">
        <v>9.6980000000000004</v>
      </c>
      <c r="D59">
        <v>16.001999999999999</v>
      </c>
      <c r="E59">
        <v>10.853999999999999</v>
      </c>
      <c r="F59">
        <v>15.013</v>
      </c>
    </row>
    <row r="60" spans="1:6" x14ac:dyDescent="0.15">
      <c r="A60" t="s">
        <v>83</v>
      </c>
      <c r="B60"/>
      <c r="C60"/>
      <c r="D60"/>
      <c r="E60"/>
      <c r="F60"/>
    </row>
    <row r="61" spans="1:6" x14ac:dyDescent="0.15">
      <c r="A61" t="s">
        <v>84</v>
      </c>
      <c r="B61">
        <v>30.3</v>
      </c>
      <c r="C61">
        <v>39.200000000000003</v>
      </c>
      <c r="D61">
        <v>57</v>
      </c>
      <c r="E61">
        <v>48.5</v>
      </c>
      <c r="F61">
        <v>73</v>
      </c>
    </row>
    <row r="62" spans="1:6" x14ac:dyDescent="0.15">
      <c r="A62" t="s">
        <v>85</v>
      </c>
      <c r="B62">
        <v>0</v>
      </c>
      <c r="C62">
        <v>0</v>
      </c>
      <c r="D62">
        <v>0</v>
      </c>
      <c r="E62">
        <v>0</v>
      </c>
      <c r="F62">
        <v>63.1</v>
      </c>
    </row>
    <row r="63" spans="1:6" x14ac:dyDescent="0.1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15">
      <c r="A64" t="s">
        <v>87</v>
      </c>
      <c r="B64">
        <v>131.19999999999999</v>
      </c>
      <c r="C64">
        <v>187.4</v>
      </c>
      <c r="D64">
        <v>231.4</v>
      </c>
      <c r="E64">
        <v>242</v>
      </c>
      <c r="F64">
        <v>247.9</v>
      </c>
    </row>
    <row r="65" spans="1:6" x14ac:dyDescent="0.15">
      <c r="A65" t="s">
        <v>88</v>
      </c>
      <c r="B65">
        <v>169.36600000000001</v>
      </c>
      <c r="C65">
        <v>236.22800000000001</v>
      </c>
      <c r="D65">
        <v>304.33</v>
      </c>
      <c r="E65">
        <v>301.40699999999998</v>
      </c>
      <c r="F65">
        <v>399</v>
      </c>
    </row>
    <row r="66" spans="1:6" x14ac:dyDescent="0.15">
      <c r="A66" t="s">
        <v>89</v>
      </c>
      <c r="B66">
        <v>430.3</v>
      </c>
      <c r="C66">
        <v>441.5</v>
      </c>
      <c r="D66">
        <v>665.7</v>
      </c>
      <c r="E66">
        <v>500.3</v>
      </c>
      <c r="F66">
        <v>296.60000000000002</v>
      </c>
    </row>
    <row r="67" spans="1:6" x14ac:dyDescent="0.15">
      <c r="A67" t="s">
        <v>90</v>
      </c>
      <c r="B67"/>
      <c r="C67"/>
      <c r="D67"/>
      <c r="E67"/>
      <c r="F67"/>
    </row>
    <row r="68" spans="1:6" x14ac:dyDescent="0.15">
      <c r="A68" t="s">
        <v>91</v>
      </c>
      <c r="B68">
        <v>430.28199999999998</v>
      </c>
      <c r="C68">
        <v>441.51400000000001</v>
      </c>
      <c r="D68">
        <v>665.69500000000005</v>
      </c>
      <c r="E68">
        <v>500.298</v>
      </c>
      <c r="F68">
        <v>296.56099999999998</v>
      </c>
    </row>
    <row r="69" spans="1:6" x14ac:dyDescent="0.15">
      <c r="A69" t="s">
        <v>92</v>
      </c>
      <c r="B69">
        <v>2.0019999999999998</v>
      </c>
      <c r="C69">
        <v>10.065</v>
      </c>
      <c r="D69">
        <v>16.082000000000001</v>
      </c>
      <c r="E69">
        <v>6.2359999999999998</v>
      </c>
      <c r="F69">
        <v>4.3179999999999996</v>
      </c>
    </row>
    <row r="70" spans="1:6" x14ac:dyDescent="0.15">
      <c r="A70" t="s">
        <v>93</v>
      </c>
      <c r="B70">
        <v>15.3</v>
      </c>
      <c r="C70">
        <v>20.8</v>
      </c>
      <c r="D70">
        <v>30.2</v>
      </c>
      <c r="E70">
        <v>28.6</v>
      </c>
      <c r="F70">
        <v>23.7</v>
      </c>
    </row>
    <row r="71" spans="1:6" x14ac:dyDescent="0.15">
      <c r="A71" t="s">
        <v>94</v>
      </c>
      <c r="B71"/>
      <c r="C71"/>
      <c r="D71"/>
      <c r="E71"/>
      <c r="F71"/>
    </row>
    <row r="72" spans="1:6" x14ac:dyDescent="0.15">
      <c r="A72" t="s">
        <v>95</v>
      </c>
      <c r="B72">
        <v>616.98400000000004</v>
      </c>
      <c r="C72">
        <v>708.63900000000001</v>
      </c>
      <c r="D72">
        <v>1016.326</v>
      </c>
      <c r="E72">
        <v>836.553</v>
      </c>
      <c r="F72">
        <v>723.57600000000002</v>
      </c>
    </row>
    <row r="73" spans="1:6" x14ac:dyDescent="0.15">
      <c r="A73" t="s">
        <v>202</v>
      </c>
      <c r="B73"/>
      <c r="C73"/>
      <c r="D73"/>
      <c r="E73"/>
      <c r="F73"/>
    </row>
    <row r="74" spans="1:6" x14ac:dyDescent="0.15">
      <c r="A74" t="s">
        <v>96</v>
      </c>
      <c r="B74"/>
      <c r="C74"/>
      <c r="D74"/>
      <c r="E74"/>
      <c r="F74"/>
    </row>
    <row r="75" spans="1:6" x14ac:dyDescent="0.15">
      <c r="A75" t="s">
        <v>97</v>
      </c>
      <c r="B75"/>
      <c r="C75"/>
      <c r="D75"/>
      <c r="E75"/>
      <c r="F75"/>
    </row>
    <row r="76" spans="1:6" x14ac:dyDescent="0.15">
      <c r="A76" t="s">
        <v>98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15">
      <c r="A77" t="s">
        <v>99</v>
      </c>
      <c r="B77">
        <v>425.94499999999999</v>
      </c>
      <c r="C77">
        <v>542.77599999999995</v>
      </c>
      <c r="D77">
        <v>853.66399999999999</v>
      </c>
      <c r="E77">
        <v>721.14300000000003</v>
      </c>
      <c r="F77">
        <v>771.779</v>
      </c>
    </row>
    <row r="78" spans="1:6" x14ac:dyDescent="0.15">
      <c r="A78" t="s">
        <v>100</v>
      </c>
      <c r="B78">
        <v>-199.92</v>
      </c>
      <c r="C78">
        <v>-293.31599999999997</v>
      </c>
      <c r="D78">
        <v>-388.11200000000002</v>
      </c>
      <c r="E78">
        <v>-402.12400000000002</v>
      </c>
      <c r="F78">
        <v>-449.42899999999997</v>
      </c>
    </row>
    <row r="79" spans="1:6" x14ac:dyDescent="0.15">
      <c r="A79" t="s">
        <v>101</v>
      </c>
      <c r="B79"/>
      <c r="C79"/>
      <c r="D79"/>
      <c r="E79"/>
      <c r="F79"/>
    </row>
    <row r="80" spans="1:6" x14ac:dyDescent="0.15">
      <c r="A80" t="s">
        <v>102</v>
      </c>
      <c r="B80"/>
      <c r="C80"/>
      <c r="D80"/>
      <c r="E80"/>
      <c r="F80"/>
    </row>
    <row r="81" spans="1:13" x14ac:dyDescent="0.15">
      <c r="A81" t="s">
        <v>103</v>
      </c>
      <c r="B81"/>
      <c r="C81"/>
      <c r="D81"/>
      <c r="E81"/>
      <c r="F81"/>
    </row>
    <row r="82" spans="1:13" x14ac:dyDescent="0.15">
      <c r="A82" t="s">
        <v>104</v>
      </c>
      <c r="B82">
        <v>-5.7469999999999999</v>
      </c>
      <c r="C82">
        <v>2.81</v>
      </c>
      <c r="D82">
        <v>-2.9020000000000001</v>
      </c>
      <c r="E82">
        <v>-29.948</v>
      </c>
      <c r="F82">
        <v>-20.082000000000001</v>
      </c>
    </row>
    <row r="83" spans="1:13" x14ac:dyDescent="0.15">
      <c r="A83" t="s">
        <v>105</v>
      </c>
      <c r="B83">
        <v>220.31200000000001</v>
      </c>
      <c r="C83">
        <v>252.30500000000001</v>
      </c>
      <c r="D83">
        <v>462.68900000000002</v>
      </c>
      <c r="E83">
        <v>289.11099999999999</v>
      </c>
      <c r="F83">
        <v>302.30900000000003</v>
      </c>
    </row>
    <row r="84" spans="1:13" x14ac:dyDescent="0.15">
      <c r="A84" t="s">
        <v>106</v>
      </c>
      <c r="B84">
        <v>837.29600000000005</v>
      </c>
      <c r="C84">
        <v>960.94399999999996</v>
      </c>
      <c r="D84">
        <v>1479.0150000000001</v>
      </c>
      <c r="E84">
        <v>1125.664</v>
      </c>
      <c r="F84">
        <v>1025.885</v>
      </c>
    </row>
    <row r="85" spans="1:13" x14ac:dyDescent="0.15">
      <c r="A85" t="s">
        <v>107</v>
      </c>
      <c r="B85">
        <v>34</v>
      </c>
      <c r="C85">
        <v>35</v>
      </c>
      <c r="D85">
        <v>39</v>
      </c>
      <c r="E85">
        <v>40</v>
      </c>
      <c r="F85">
        <v>41</v>
      </c>
    </row>
    <row r="86" spans="1:13" x14ac:dyDescent="0.15">
      <c r="A86"/>
      <c r="B86"/>
      <c r="C86"/>
      <c r="D86"/>
      <c r="E86"/>
      <c r="F86"/>
    </row>
    <row r="87" spans="1:13" x14ac:dyDescent="0.15">
      <c r="A87"/>
      <c r="B87"/>
      <c r="C87"/>
      <c r="D87"/>
      <c r="E87"/>
      <c r="F87"/>
    </row>
    <row r="88" spans="1:13" x14ac:dyDescent="0.15">
      <c r="A88" t="s">
        <v>0</v>
      </c>
      <c r="B88"/>
      <c r="C88"/>
      <c r="D88"/>
      <c r="E88"/>
      <c r="F88"/>
    </row>
    <row r="89" spans="1:13" x14ac:dyDescent="0.15">
      <c r="A89" t="s">
        <v>108</v>
      </c>
      <c r="B89"/>
      <c r="C89"/>
      <c r="D89"/>
      <c r="E89"/>
      <c r="F89"/>
    </row>
    <row r="90" spans="1:13" x14ac:dyDescent="0.15">
      <c r="A90" t="s">
        <v>2</v>
      </c>
      <c r="B90" s="1">
        <v>43830</v>
      </c>
      <c r="C90" s="1">
        <v>44196</v>
      </c>
      <c r="D90" s="1">
        <v>44561</v>
      </c>
      <c r="E90" s="1">
        <v>44926</v>
      </c>
      <c r="F90" s="1">
        <v>45291</v>
      </c>
    </row>
    <row r="91" spans="1:13" x14ac:dyDescent="0.15">
      <c r="A91" t="s">
        <v>3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</row>
    <row r="92" spans="1:13" x14ac:dyDescent="0.15">
      <c r="A92" t="s">
        <v>5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</row>
    <row r="93" spans="1:13" x14ac:dyDescent="0.15">
      <c r="A93" t="s">
        <v>23</v>
      </c>
      <c r="B93">
        <v>-52.25</v>
      </c>
      <c r="C93">
        <v>-93.396000000000001</v>
      </c>
      <c r="D93">
        <v>-94.796000000000006</v>
      </c>
      <c r="E93">
        <v>-61.173999999999999</v>
      </c>
      <c r="F93">
        <v>-47.305</v>
      </c>
      <c r="I93" s="2">
        <v>-2.8230503479654723E-2</v>
      </c>
      <c r="J93" s="2">
        <v>-2.8230503479654723E-2</v>
      </c>
      <c r="K93" s="2">
        <v>-2.8230503479654723E-2</v>
      </c>
      <c r="L93" s="2">
        <v>-2.8230503479654723E-2</v>
      </c>
      <c r="M93" s="2">
        <v>-2.8230503479654723E-2</v>
      </c>
    </row>
    <row r="94" spans="1:13" x14ac:dyDescent="0.15">
      <c r="A94" t="s">
        <v>109</v>
      </c>
      <c r="B94">
        <v>-5.6710000000000003</v>
      </c>
      <c r="C94">
        <v>-6.867</v>
      </c>
      <c r="D94">
        <v>-4.4939999999999998</v>
      </c>
      <c r="E94">
        <v>-26.344999999999999</v>
      </c>
      <c r="F94">
        <v>3.2450000000000001</v>
      </c>
    </row>
    <row r="95" spans="1:13" x14ac:dyDescent="0.15">
      <c r="A95"/>
      <c r="B95">
        <f>B94/B7</f>
        <v>-2.8230503479654723E-2</v>
      </c>
      <c r="C95">
        <f t="shared" ref="C95:F95" si="0">C94/C7</f>
        <v>-2.5326306239189203E-2</v>
      </c>
      <c r="D95">
        <f t="shared" si="0"/>
        <v>-1.2197604449112864E-2</v>
      </c>
      <c r="E95">
        <f t="shared" si="0"/>
        <v>-6.0999046057810744E-2</v>
      </c>
      <c r="F95">
        <f t="shared" si="0"/>
        <v>7.2305854880255266E-3</v>
      </c>
    </row>
    <row r="96" spans="1:13" ht="14" customHeight="1" x14ac:dyDescent="0.15">
      <c r="A96" t="s">
        <v>110</v>
      </c>
      <c r="B96">
        <v>10.317</v>
      </c>
      <c r="C96">
        <v>15.803000000000001</v>
      </c>
      <c r="D96">
        <v>22.193000000000001</v>
      </c>
      <c r="E96">
        <v>20.167000000000002</v>
      </c>
      <c r="F96">
        <v>72.575000000000003</v>
      </c>
    </row>
    <row r="97" spans="1:13" x14ac:dyDescent="0.15">
      <c r="A97" t="s">
        <v>111</v>
      </c>
      <c r="B97">
        <v>-13.087999999999999</v>
      </c>
      <c r="C97">
        <v>-30.047000000000001</v>
      </c>
      <c r="D97">
        <v>-19.751999999999999</v>
      </c>
      <c r="E97">
        <v>-18.527000000000001</v>
      </c>
      <c r="F97">
        <v>-21.757000000000001</v>
      </c>
    </row>
    <row r="98" spans="1:13" x14ac:dyDescent="0.15">
      <c r="A98"/>
      <c r="B98">
        <f>B97/B7</f>
        <v>-6.5152676695771641E-2</v>
      </c>
      <c r="C98">
        <f t="shared" ref="C98:F98" si="1">C97/C7</f>
        <v>-0.11081688125366507</v>
      </c>
      <c r="D98">
        <f t="shared" si="1"/>
        <v>-5.3610832905847193E-2</v>
      </c>
      <c r="E98">
        <f t="shared" si="1"/>
        <v>-4.2897298398673747E-2</v>
      </c>
      <c r="F98">
        <f t="shared" si="1"/>
        <v>-4.8479460235122153E-2</v>
      </c>
      <c r="I98" s="2">
        <v>-6.5152676695771641E-2</v>
      </c>
      <c r="J98" s="2">
        <v>-0.11081688125366507</v>
      </c>
      <c r="K98" s="2">
        <v>-5.3610832905847193E-2</v>
      </c>
      <c r="L98" s="2">
        <v>-4.2897298398673747E-2</v>
      </c>
      <c r="M98" s="2">
        <v>-4.8479460235122153E-2</v>
      </c>
    </row>
    <row r="99" spans="1:13" x14ac:dyDescent="0.15">
      <c r="A99" t="s">
        <v>112</v>
      </c>
      <c r="B99"/>
      <c r="C99"/>
      <c r="D99"/>
      <c r="E99"/>
      <c r="F99"/>
    </row>
    <row r="100" spans="1:13" x14ac:dyDescent="0.15">
      <c r="A100" t="s">
        <v>113</v>
      </c>
      <c r="B100"/>
      <c r="C100"/>
      <c r="D100"/>
      <c r="E100"/>
      <c r="F100"/>
    </row>
    <row r="101" spans="1:13" x14ac:dyDescent="0.15">
      <c r="A101" t="s">
        <v>114</v>
      </c>
      <c r="B101"/>
      <c r="C101"/>
      <c r="D101"/>
      <c r="E101"/>
      <c r="F101">
        <v>4.3680000000000003</v>
      </c>
    </row>
    <row r="102" spans="1:13" x14ac:dyDescent="0.15">
      <c r="A102" t="s">
        <v>115</v>
      </c>
      <c r="B102">
        <v>-58.418999999999997</v>
      </c>
      <c r="C102">
        <v>-55.137999999999998</v>
      </c>
      <c r="D102">
        <v>-262.084</v>
      </c>
      <c r="E102">
        <v>-1.585</v>
      </c>
      <c r="F102">
        <v>0</v>
      </c>
    </row>
    <row r="103" spans="1:13" x14ac:dyDescent="0.15">
      <c r="A103" t="s">
        <v>116</v>
      </c>
      <c r="B103">
        <v>47.765000000000001</v>
      </c>
      <c r="C103">
        <v>0</v>
      </c>
      <c r="D103">
        <v>0</v>
      </c>
      <c r="E103"/>
      <c r="F103"/>
    </row>
    <row r="104" spans="1:13" x14ac:dyDescent="0.15">
      <c r="A104" t="s">
        <v>117</v>
      </c>
      <c r="B104">
        <v>-11.486000000000001</v>
      </c>
      <c r="C104">
        <v>-55.137999999999998</v>
      </c>
      <c r="D104">
        <v>-262.084</v>
      </c>
      <c r="E104">
        <v>-0.36599999999999999</v>
      </c>
      <c r="F104">
        <v>4.4560000000000004</v>
      </c>
    </row>
    <row r="105" spans="1:13" x14ac:dyDescent="0.15">
      <c r="A105" t="s">
        <v>118</v>
      </c>
      <c r="B105">
        <v>-24.574000000000002</v>
      </c>
      <c r="C105">
        <v>-85.185000000000002</v>
      </c>
      <c r="D105">
        <v>-281.83600000000001</v>
      </c>
      <c r="E105">
        <v>-18.893000000000001</v>
      </c>
      <c r="F105">
        <v>-17.300999999999998</v>
      </c>
    </row>
    <row r="106" spans="1:13" x14ac:dyDescent="0.15">
      <c r="A106" t="s">
        <v>119</v>
      </c>
      <c r="B106"/>
      <c r="C106"/>
      <c r="D106"/>
      <c r="E106"/>
      <c r="F106"/>
    </row>
    <row r="107" spans="1:13" x14ac:dyDescent="0.15">
      <c r="A107" t="s">
        <v>120</v>
      </c>
      <c r="B107">
        <v>347.29899999999998</v>
      </c>
      <c r="C107">
        <v>-0.13100000000000001</v>
      </c>
      <c r="D107">
        <v>281.25700000000001</v>
      </c>
      <c r="E107">
        <v>-288.76100000000002</v>
      </c>
      <c r="F107">
        <v>-129.57900000000001</v>
      </c>
    </row>
    <row r="108" spans="1:13" x14ac:dyDescent="0.15">
      <c r="A108" t="s">
        <v>121</v>
      </c>
      <c r="B108">
        <v>158.858</v>
      </c>
      <c r="C108">
        <v>11.548999999999999</v>
      </c>
      <c r="D108">
        <v>7.7</v>
      </c>
      <c r="E108">
        <v>3.3090000000000002</v>
      </c>
      <c r="F108">
        <v>5.61</v>
      </c>
    </row>
    <row r="109" spans="1:13" x14ac:dyDescent="0.15">
      <c r="A109" t="s">
        <v>122</v>
      </c>
      <c r="B109"/>
      <c r="C109"/>
      <c r="D109"/>
      <c r="E109"/>
      <c r="F109"/>
    </row>
    <row r="110" spans="1:13" x14ac:dyDescent="0.15">
      <c r="A110" t="s">
        <v>123</v>
      </c>
      <c r="B110">
        <v>494.101</v>
      </c>
      <c r="C110">
        <v>5.0540000000000003</v>
      </c>
      <c r="D110">
        <v>276.34399999999999</v>
      </c>
      <c r="E110">
        <v>-290.52</v>
      </c>
      <c r="F110">
        <v>-131.898</v>
      </c>
    </row>
    <row r="111" spans="1:13" x14ac:dyDescent="0.15">
      <c r="A111" t="s">
        <v>124</v>
      </c>
      <c r="B111">
        <v>-0.25</v>
      </c>
      <c r="C111">
        <v>0.29599999999999999</v>
      </c>
      <c r="D111">
        <v>0.42699999999999999</v>
      </c>
      <c r="E111">
        <v>-1.9179999999999999</v>
      </c>
      <c r="F111">
        <v>0.40100000000000002</v>
      </c>
    </row>
    <row r="112" spans="1:13" x14ac:dyDescent="0.15">
      <c r="A112" t="s">
        <v>125</v>
      </c>
      <c r="B112">
        <v>479.59399999999999</v>
      </c>
      <c r="C112">
        <v>-64.031999999999996</v>
      </c>
      <c r="D112">
        <v>17.128</v>
      </c>
      <c r="E112">
        <v>-291.16399999999999</v>
      </c>
      <c r="F112">
        <v>-76.222999999999999</v>
      </c>
    </row>
    <row r="113" spans="1:6" x14ac:dyDescent="0.15">
      <c r="A113" t="s">
        <v>126</v>
      </c>
      <c r="B113">
        <v>60.067999999999998</v>
      </c>
      <c r="C113">
        <v>539.66200000000003</v>
      </c>
      <c r="D113">
        <v>475.63</v>
      </c>
      <c r="E113">
        <v>492.75799999999998</v>
      </c>
      <c r="F113">
        <v>201.59399999999999</v>
      </c>
    </row>
    <row r="114" spans="1:6" x14ac:dyDescent="0.15">
      <c r="A114" t="s">
        <v>127</v>
      </c>
      <c r="B114">
        <v>539.66200000000003</v>
      </c>
      <c r="C114">
        <v>475.63</v>
      </c>
      <c r="D114">
        <v>492.75799999999998</v>
      </c>
      <c r="E114">
        <v>201.59399999999999</v>
      </c>
      <c r="F114">
        <v>125.371</v>
      </c>
    </row>
    <row r="115" spans="1:6" x14ac:dyDescent="0.15">
      <c r="A115"/>
      <c r="B115"/>
      <c r="C115"/>
      <c r="D115"/>
      <c r="E115"/>
      <c r="F115"/>
    </row>
    <row r="116" spans="1:6" x14ac:dyDescent="0.15">
      <c r="A116"/>
      <c r="B116"/>
      <c r="C116"/>
      <c r="D116"/>
      <c r="E116"/>
      <c r="F116"/>
    </row>
    <row r="117" spans="1:6" x14ac:dyDescent="0.15">
      <c r="A117" t="s">
        <v>0</v>
      </c>
      <c r="B117"/>
      <c r="C117"/>
      <c r="D117"/>
      <c r="E117"/>
      <c r="F117"/>
    </row>
    <row r="118" spans="1:6" x14ac:dyDescent="0.15">
      <c r="A118" t="s">
        <v>128</v>
      </c>
      <c r="B118"/>
      <c r="C118"/>
      <c r="D118"/>
      <c r="E118"/>
      <c r="F118"/>
    </row>
    <row r="119" spans="1:6" x14ac:dyDescent="0.15">
      <c r="A119" t="s">
        <v>2</v>
      </c>
      <c r="B119" s="1">
        <v>43830</v>
      </c>
      <c r="C119" s="1">
        <v>44196</v>
      </c>
      <c r="D119" s="1">
        <v>44561</v>
      </c>
      <c r="E119" s="1">
        <v>44926</v>
      </c>
      <c r="F119" s="1">
        <v>45291</v>
      </c>
    </row>
    <row r="120" spans="1:6" x14ac:dyDescent="0.15">
      <c r="A120" t="s">
        <v>3</v>
      </c>
      <c r="B120"/>
      <c r="C120"/>
      <c r="D120"/>
      <c r="E120"/>
      <c r="F120"/>
    </row>
    <row r="121" spans="1:6" x14ac:dyDescent="0.15">
      <c r="A121" t="s">
        <v>5</v>
      </c>
      <c r="B121"/>
      <c r="C121"/>
      <c r="D121"/>
      <c r="E121"/>
      <c r="F121"/>
    </row>
    <row r="122" spans="1:6" x14ac:dyDescent="0.15">
      <c r="A122" t="s">
        <v>129</v>
      </c>
      <c r="B122"/>
      <c r="C122"/>
      <c r="D122"/>
      <c r="E122"/>
      <c r="F122"/>
    </row>
    <row r="123" spans="1:6" x14ac:dyDescent="0.15">
      <c r="A123" t="s">
        <v>130</v>
      </c>
      <c r="B123">
        <v>68.37</v>
      </c>
      <c r="C123">
        <v>69.38</v>
      </c>
      <c r="D123">
        <v>69</v>
      </c>
      <c r="E123">
        <v>68.98</v>
      </c>
      <c r="F123">
        <v>70.88</v>
      </c>
    </row>
    <row r="124" spans="1:6" x14ac:dyDescent="0.15">
      <c r="A124" t="s">
        <v>38</v>
      </c>
      <c r="B124">
        <v>-24.21</v>
      </c>
      <c r="C124">
        <v>-26.8</v>
      </c>
      <c r="D124">
        <v>-18.75</v>
      </c>
      <c r="E124">
        <v>-15.04</v>
      </c>
      <c r="F124">
        <v>-10.86</v>
      </c>
    </row>
    <row r="125" spans="1:6" x14ac:dyDescent="0.15">
      <c r="A125" t="s">
        <v>131</v>
      </c>
      <c r="B125">
        <v>-25.8</v>
      </c>
      <c r="C125">
        <v>-35.28</v>
      </c>
      <c r="D125">
        <v>-29.14</v>
      </c>
      <c r="E125">
        <v>-14.72</v>
      </c>
      <c r="F125">
        <v>-9.7100000000000009</v>
      </c>
    </row>
    <row r="126" spans="1:6" x14ac:dyDescent="0.15">
      <c r="A126" t="s">
        <v>132</v>
      </c>
      <c r="B126"/>
      <c r="C126"/>
      <c r="D126"/>
      <c r="E126"/>
      <c r="F126"/>
    </row>
    <row r="127" spans="1:6" x14ac:dyDescent="0.15">
      <c r="A127" t="s">
        <v>133</v>
      </c>
      <c r="B127">
        <v>-26.01</v>
      </c>
      <c r="C127">
        <v>-34.450000000000003</v>
      </c>
      <c r="D127">
        <v>-25.73</v>
      </c>
      <c r="E127">
        <v>-14.16</v>
      </c>
      <c r="F127">
        <v>-10.54</v>
      </c>
    </row>
    <row r="128" spans="1:6" x14ac:dyDescent="0.15">
      <c r="A128" t="s">
        <v>134</v>
      </c>
      <c r="B128">
        <v>-47.2</v>
      </c>
      <c r="C128">
        <v>-72.2</v>
      </c>
      <c r="D128">
        <v>-76.2</v>
      </c>
      <c r="E128">
        <v>-65.900000000000006</v>
      </c>
      <c r="F128">
        <v>-23.6</v>
      </c>
    </row>
    <row r="129" spans="1:6" x14ac:dyDescent="0.15">
      <c r="A129" t="s">
        <v>135</v>
      </c>
      <c r="B129">
        <v>-27.1</v>
      </c>
      <c r="C129">
        <v>-41.4</v>
      </c>
      <c r="D129">
        <v>-16.600000000000001</v>
      </c>
      <c r="E129">
        <v>-0.7</v>
      </c>
      <c r="F129">
        <v>39.5</v>
      </c>
    </row>
    <row r="130" spans="1:6" x14ac:dyDescent="0.15">
      <c r="A130" t="s">
        <v>136</v>
      </c>
      <c r="B130">
        <v>-14.4</v>
      </c>
      <c r="C130">
        <v>-15.5</v>
      </c>
      <c r="D130">
        <v>-4.3</v>
      </c>
      <c r="E130">
        <v>-1</v>
      </c>
      <c r="F130">
        <v>2.2999999999999998</v>
      </c>
    </row>
    <row r="131" spans="1:6" x14ac:dyDescent="0.15">
      <c r="A131" t="s">
        <v>137</v>
      </c>
      <c r="B131"/>
      <c r="C131"/>
      <c r="D131"/>
      <c r="E131"/>
      <c r="F131"/>
    </row>
    <row r="132" spans="1:6" x14ac:dyDescent="0.15">
      <c r="A132" t="s">
        <v>138</v>
      </c>
      <c r="B132">
        <v>-25.9</v>
      </c>
      <c r="C132">
        <v>-38.799999999999997</v>
      </c>
      <c r="D132">
        <v>-24.9</v>
      </c>
      <c r="E132">
        <v>-22.5</v>
      </c>
      <c r="F132">
        <v>-10.6</v>
      </c>
    </row>
    <row r="133" spans="1:6" x14ac:dyDescent="0.15">
      <c r="A133" t="s">
        <v>139</v>
      </c>
      <c r="B133">
        <v>-13.5</v>
      </c>
      <c r="C133">
        <v>-13.6</v>
      </c>
      <c r="D133">
        <v>-9.4</v>
      </c>
      <c r="E133">
        <v>-6.1</v>
      </c>
      <c r="F133">
        <v>-4.5</v>
      </c>
    </row>
    <row r="134" spans="1:6" x14ac:dyDescent="0.15">
      <c r="A134" t="s">
        <v>140</v>
      </c>
      <c r="B134">
        <v>-9.5</v>
      </c>
      <c r="C134">
        <v>-10.199999999999999</v>
      </c>
      <c r="D134">
        <v>-7.2</v>
      </c>
      <c r="E134">
        <v>-4.5999999999999996</v>
      </c>
      <c r="F134">
        <v>-3</v>
      </c>
    </row>
    <row r="135" spans="1:6" x14ac:dyDescent="0.15">
      <c r="A135" t="s">
        <v>141</v>
      </c>
      <c r="B135"/>
      <c r="C135"/>
      <c r="D135"/>
      <c r="E135"/>
      <c r="F135"/>
    </row>
    <row r="136" spans="1:6" x14ac:dyDescent="0.15">
      <c r="A136" t="s">
        <v>142</v>
      </c>
      <c r="B136">
        <v>625.1</v>
      </c>
      <c r="C136">
        <v>598.5</v>
      </c>
      <c r="D136">
        <v>655.1</v>
      </c>
      <c r="E136">
        <v>372.2</v>
      </c>
      <c r="F136">
        <v>293.39999999999998</v>
      </c>
    </row>
    <row r="137" spans="1:6" x14ac:dyDescent="0.15">
      <c r="A137" t="s">
        <v>143</v>
      </c>
      <c r="B137">
        <v>3.69</v>
      </c>
      <c r="C137">
        <v>2.5299999999999998</v>
      </c>
      <c r="D137">
        <v>2.15</v>
      </c>
      <c r="E137">
        <v>1.24</v>
      </c>
      <c r="F137">
        <v>0.74</v>
      </c>
    </row>
    <row r="138" spans="1:6" x14ac:dyDescent="0.15">
      <c r="A138" t="s">
        <v>144</v>
      </c>
      <c r="B138">
        <v>3.69</v>
      </c>
      <c r="C138">
        <v>2.5299999999999998</v>
      </c>
      <c r="D138">
        <v>2.15</v>
      </c>
      <c r="E138">
        <v>1.24</v>
      </c>
      <c r="F138">
        <v>0.74</v>
      </c>
    </row>
    <row r="139" spans="1:6" x14ac:dyDescent="0.15">
      <c r="A139" t="s">
        <v>145</v>
      </c>
      <c r="B139">
        <v>-101.3</v>
      </c>
      <c r="C139">
        <v>-25.7</v>
      </c>
      <c r="D139">
        <v>177.7</v>
      </c>
      <c r="E139">
        <v>301.60000000000002</v>
      </c>
      <c r="F139">
        <v>237.2</v>
      </c>
    </row>
    <row r="140" spans="1:6" x14ac:dyDescent="0.15">
      <c r="A140" t="s">
        <v>146</v>
      </c>
      <c r="B140">
        <v>100</v>
      </c>
      <c r="C140">
        <v>100</v>
      </c>
      <c r="D140">
        <v>100</v>
      </c>
      <c r="E140">
        <v>100</v>
      </c>
      <c r="F140">
        <v>98.1</v>
      </c>
    </row>
    <row r="141" spans="1:6" x14ac:dyDescent="0.15">
      <c r="A141" t="s">
        <v>147</v>
      </c>
      <c r="B141">
        <v>66.099999999999994</v>
      </c>
      <c r="C141">
        <v>63.6</v>
      </c>
      <c r="D141">
        <v>59</v>
      </c>
      <c r="E141">
        <v>63.4</v>
      </c>
      <c r="F141">
        <v>49.5</v>
      </c>
    </row>
    <row r="142" spans="1:6" x14ac:dyDescent="0.15">
      <c r="A142" t="s">
        <v>148</v>
      </c>
      <c r="B142">
        <v>0</v>
      </c>
      <c r="C142">
        <v>0</v>
      </c>
      <c r="D142">
        <v>38.4</v>
      </c>
      <c r="E142">
        <v>104.3</v>
      </c>
      <c r="F142">
        <v>57.6</v>
      </c>
    </row>
    <row r="143" spans="1:6" x14ac:dyDescent="0.15">
      <c r="A143" t="s">
        <v>149</v>
      </c>
      <c r="B143"/>
      <c r="C143"/>
      <c r="D143"/>
      <c r="E143"/>
      <c r="F143"/>
    </row>
    <row r="144" spans="1:6" x14ac:dyDescent="0.15">
      <c r="A144" t="s">
        <v>150</v>
      </c>
      <c r="B144">
        <v>66.099999999999994</v>
      </c>
      <c r="C144">
        <v>63.6</v>
      </c>
      <c r="D144">
        <v>59</v>
      </c>
      <c r="E144">
        <v>63.4</v>
      </c>
      <c r="F144">
        <v>49.5</v>
      </c>
    </row>
    <row r="145" spans="1:6" x14ac:dyDescent="0.15">
      <c r="A145" t="s">
        <v>151</v>
      </c>
      <c r="B145">
        <v>51.4</v>
      </c>
      <c r="C145">
        <v>45.9</v>
      </c>
      <c r="D145">
        <v>45</v>
      </c>
      <c r="E145">
        <v>44.4</v>
      </c>
      <c r="F145">
        <v>28.9</v>
      </c>
    </row>
    <row r="146" spans="1:6" x14ac:dyDescent="0.15">
      <c r="A146" t="s">
        <v>152</v>
      </c>
      <c r="B146"/>
      <c r="C146"/>
      <c r="D146"/>
      <c r="E146"/>
      <c r="F146"/>
    </row>
    <row r="147" spans="1:6" x14ac:dyDescent="0.15">
      <c r="A147" t="s">
        <v>153</v>
      </c>
      <c r="B147">
        <v>3.8</v>
      </c>
      <c r="C147">
        <v>3.8</v>
      </c>
      <c r="D147">
        <v>3.2</v>
      </c>
      <c r="E147">
        <v>3.9</v>
      </c>
      <c r="F147">
        <v>3.4</v>
      </c>
    </row>
    <row r="148" spans="1:6" x14ac:dyDescent="0.15">
      <c r="A148" t="s">
        <v>154</v>
      </c>
      <c r="B148"/>
      <c r="C148"/>
      <c r="D148"/>
      <c r="E148"/>
      <c r="F148"/>
    </row>
    <row r="149" spans="1:6" x14ac:dyDescent="0.15">
      <c r="A149" t="s">
        <v>155</v>
      </c>
      <c r="B149"/>
      <c r="C149"/>
      <c r="D149"/>
      <c r="E149"/>
      <c r="F149"/>
    </row>
    <row r="150" spans="1:6" x14ac:dyDescent="0.15">
      <c r="A150" t="s">
        <v>156</v>
      </c>
      <c r="B150"/>
      <c r="C150"/>
      <c r="D150"/>
      <c r="E150"/>
      <c r="F150"/>
    </row>
    <row r="151" spans="1:6" x14ac:dyDescent="0.15">
      <c r="A151" t="s">
        <v>157</v>
      </c>
      <c r="B151">
        <v>45</v>
      </c>
      <c r="C151">
        <v>43</v>
      </c>
      <c r="D151">
        <v>51</v>
      </c>
      <c r="E151">
        <v>30</v>
      </c>
      <c r="F151">
        <v>42</v>
      </c>
    </row>
    <row r="152" spans="1:6" x14ac:dyDescent="0.15">
      <c r="A152" t="s">
        <v>158</v>
      </c>
      <c r="B152"/>
      <c r="C152"/>
      <c r="D152"/>
      <c r="E152"/>
      <c r="F152"/>
    </row>
    <row r="153" spans="1:6" x14ac:dyDescent="0.15">
      <c r="A153" t="s">
        <v>159</v>
      </c>
      <c r="B153">
        <v>0.24</v>
      </c>
      <c r="C153">
        <v>0.28199999999999997</v>
      </c>
      <c r="D153">
        <v>0.249</v>
      </c>
      <c r="E153">
        <v>0.38400000000000001</v>
      </c>
      <c r="F153">
        <v>0.437</v>
      </c>
    </row>
    <row r="154" spans="1:6" x14ac:dyDescent="0.15">
      <c r="A154" t="s">
        <v>160</v>
      </c>
      <c r="B154"/>
      <c r="C154"/>
      <c r="D154"/>
      <c r="E154"/>
      <c r="F154"/>
    </row>
    <row r="155" spans="1:6" x14ac:dyDescent="0.15">
      <c r="A155" t="s">
        <v>161</v>
      </c>
      <c r="B155"/>
      <c r="C155"/>
      <c r="D155"/>
      <c r="E155"/>
      <c r="F155"/>
    </row>
    <row r="156" spans="1:6" x14ac:dyDescent="0.15">
      <c r="A156" t="s">
        <v>162</v>
      </c>
      <c r="B156">
        <v>8.1</v>
      </c>
      <c r="C156">
        <v>8.6</v>
      </c>
      <c r="D156">
        <v>7.1</v>
      </c>
      <c r="E156">
        <v>12.3</v>
      </c>
      <c r="F156">
        <v>8.6999999999999993</v>
      </c>
    </row>
    <row r="157" spans="1:6" x14ac:dyDescent="0.15">
      <c r="A157" t="s">
        <v>163</v>
      </c>
      <c r="B157"/>
      <c r="C157"/>
      <c r="D157"/>
      <c r="E157"/>
      <c r="F157"/>
    </row>
    <row r="158" spans="1:6" x14ac:dyDescent="0.15">
      <c r="A158" t="s">
        <v>164</v>
      </c>
      <c r="B158">
        <v>0.4</v>
      </c>
      <c r="C158">
        <v>0.8</v>
      </c>
      <c r="D158">
        <v>1.1000000000000001</v>
      </c>
      <c r="E158">
        <v>6.1</v>
      </c>
      <c r="F158">
        <v>0</v>
      </c>
    </row>
    <row r="159" spans="1:6" x14ac:dyDescent="0.15">
      <c r="A159" t="s">
        <v>165</v>
      </c>
      <c r="B159">
        <v>0.4</v>
      </c>
      <c r="C159">
        <v>0.6</v>
      </c>
      <c r="D159">
        <v>0.8</v>
      </c>
      <c r="E159">
        <v>2.2000000000000002</v>
      </c>
      <c r="F159">
        <v>3.7</v>
      </c>
    </row>
    <row r="160" spans="1:6" x14ac:dyDescent="0.15">
      <c r="A160" t="s">
        <v>166</v>
      </c>
      <c r="B160">
        <v>10.4</v>
      </c>
      <c r="C160">
        <v>11.9</v>
      </c>
      <c r="D160">
        <v>12.1</v>
      </c>
      <c r="E160">
        <v>16.100000000000001</v>
      </c>
      <c r="F160">
        <v>18.399999999999999</v>
      </c>
    </row>
    <row r="161" spans="1:6" x14ac:dyDescent="0.15">
      <c r="A161" t="s">
        <v>167</v>
      </c>
      <c r="B161"/>
      <c r="C161"/>
      <c r="D161"/>
      <c r="E161"/>
      <c r="F161"/>
    </row>
    <row r="162" spans="1:6" x14ac:dyDescent="0.15">
      <c r="A162" t="s">
        <v>168</v>
      </c>
      <c r="B162">
        <v>-2.7709999999999999</v>
      </c>
      <c r="C162">
        <v>-14.244</v>
      </c>
      <c r="D162">
        <v>2.4409999999999998</v>
      </c>
      <c r="E162">
        <v>1.64</v>
      </c>
      <c r="F162">
        <v>50.817999999999998</v>
      </c>
    </row>
    <row r="163" spans="1:6" x14ac:dyDescent="0.15">
      <c r="A163" t="s">
        <v>169</v>
      </c>
      <c r="B163">
        <v>-0.08</v>
      </c>
      <c r="C163">
        <v>-0.41</v>
      </c>
      <c r="D163">
        <v>0.06</v>
      </c>
      <c r="E163">
        <v>0.04</v>
      </c>
      <c r="F163">
        <v>1.23</v>
      </c>
    </row>
    <row r="164" spans="1:6" x14ac:dyDescent="0.15">
      <c r="A164" t="s">
        <v>170</v>
      </c>
      <c r="B164">
        <v>6.51</v>
      </c>
      <c r="C164">
        <v>7.12</v>
      </c>
      <c r="D164">
        <v>11.75</v>
      </c>
      <c r="E164">
        <v>7.2</v>
      </c>
      <c r="F164">
        <v>7.34</v>
      </c>
    </row>
    <row r="165" spans="1:6" x14ac:dyDescent="0.15">
      <c r="A165" t="s">
        <v>171</v>
      </c>
      <c r="B165">
        <v>47.5</v>
      </c>
      <c r="C165">
        <v>-65.2</v>
      </c>
      <c r="D165">
        <v>-310.5</v>
      </c>
      <c r="E165">
        <v>-413.2</v>
      </c>
      <c r="F165">
        <v>-376.8</v>
      </c>
    </row>
    <row r="166" spans="1:6" x14ac:dyDescent="0.15">
      <c r="A166" t="s">
        <v>172</v>
      </c>
      <c r="B166">
        <v>1.403</v>
      </c>
      <c r="C166">
        <v>-1.839</v>
      </c>
      <c r="D166">
        <v>-7.883</v>
      </c>
      <c r="E166">
        <v>-10.298</v>
      </c>
      <c r="F166">
        <v>-9.1449999999999996</v>
      </c>
    </row>
    <row r="167" spans="1:6" x14ac:dyDescent="0.15">
      <c r="A167" t="s">
        <v>173</v>
      </c>
      <c r="B167"/>
      <c r="C167"/>
      <c r="D167"/>
      <c r="E167"/>
      <c r="F167"/>
    </row>
    <row r="168" spans="1:6" x14ac:dyDescent="0.15">
      <c r="A168"/>
      <c r="B168"/>
      <c r="C168"/>
      <c r="D168"/>
      <c r="E168"/>
      <c r="F168"/>
    </row>
    <row r="169" spans="1:6" x14ac:dyDescent="0.15">
      <c r="A169"/>
      <c r="B169"/>
      <c r="C169"/>
      <c r="D169"/>
      <c r="E169"/>
      <c r="F169"/>
    </row>
    <row r="170" spans="1:6" x14ac:dyDescent="0.15">
      <c r="A170"/>
      <c r="B170"/>
      <c r="C170"/>
      <c r="D170"/>
      <c r="E170"/>
      <c r="F170"/>
    </row>
    <row r="171" spans="1:6" x14ac:dyDescent="0.15">
      <c r="A171"/>
      <c r="B171"/>
      <c r="C171"/>
      <c r="D171"/>
      <c r="E171"/>
      <c r="F171"/>
    </row>
    <row r="172" spans="1:6" x14ac:dyDescent="0.15">
      <c r="A172"/>
      <c r="B172"/>
      <c r="C172"/>
      <c r="D172"/>
      <c r="E172"/>
      <c r="F172"/>
    </row>
    <row r="173" spans="1:6" x14ac:dyDescent="0.15">
      <c r="A173"/>
      <c r="B173"/>
      <c r="C173"/>
      <c r="D173"/>
      <c r="E173"/>
      <c r="F173"/>
    </row>
    <row r="174" spans="1:6" x14ac:dyDescent="0.15">
      <c r="A174"/>
      <c r="B174"/>
      <c r="C174"/>
      <c r="D174"/>
      <c r="E174"/>
      <c r="F174"/>
    </row>
    <row r="175" spans="1:6" x14ac:dyDescent="0.15">
      <c r="A175"/>
      <c r="B175"/>
      <c r="C175"/>
      <c r="D175"/>
      <c r="E175"/>
      <c r="F175"/>
    </row>
    <row r="176" spans="1:6" x14ac:dyDescent="0.15">
      <c r="A176"/>
      <c r="B176"/>
      <c r="C176"/>
      <c r="D176"/>
      <c r="E176"/>
      <c r="F176"/>
    </row>
    <row r="177" spans="1:6" x14ac:dyDescent="0.15">
      <c r="A177"/>
      <c r="B177"/>
      <c r="C177"/>
      <c r="D177"/>
      <c r="E177"/>
      <c r="F177"/>
    </row>
    <row r="178" spans="1:6" x14ac:dyDescent="0.15">
      <c r="A178"/>
      <c r="B178"/>
      <c r="C178"/>
      <c r="D178"/>
      <c r="E178"/>
      <c r="F178"/>
    </row>
    <row r="179" spans="1:6" x14ac:dyDescent="0.15">
      <c r="A179"/>
      <c r="B179"/>
      <c r="C179"/>
      <c r="D179"/>
      <c r="E179"/>
      <c r="F179"/>
    </row>
    <row r="180" spans="1:6" x14ac:dyDescent="0.15">
      <c r="A180"/>
      <c r="B180"/>
      <c r="C180"/>
      <c r="D180"/>
      <c r="E180"/>
      <c r="F180"/>
    </row>
    <row r="181" spans="1:6" x14ac:dyDescent="0.15">
      <c r="A181"/>
      <c r="B181"/>
      <c r="C181"/>
      <c r="D181"/>
      <c r="E181"/>
      <c r="F181"/>
    </row>
    <row r="182" spans="1:6" x14ac:dyDescent="0.15">
      <c r="A182"/>
      <c r="B182"/>
      <c r="C182"/>
      <c r="D182"/>
      <c r="E182"/>
      <c r="F182"/>
    </row>
    <row r="183" spans="1:6" x14ac:dyDescent="0.15">
      <c r="A183"/>
      <c r="B183"/>
      <c r="C183"/>
      <c r="D183"/>
      <c r="E183"/>
      <c r="F183"/>
    </row>
    <row r="184" spans="1:6" x14ac:dyDescent="0.15">
      <c r="A184"/>
      <c r="B184"/>
      <c r="C184"/>
      <c r="D184"/>
      <c r="E184"/>
      <c r="F184"/>
    </row>
    <row r="185" spans="1:6" x14ac:dyDescent="0.15">
      <c r="A185"/>
      <c r="B185"/>
      <c r="C185"/>
      <c r="D185"/>
      <c r="E185"/>
      <c r="F185"/>
    </row>
    <row r="186" spans="1:6" x14ac:dyDescent="0.15">
      <c r="A186"/>
      <c r="B186"/>
      <c r="C186"/>
      <c r="D186"/>
      <c r="E186"/>
      <c r="F186"/>
    </row>
    <row r="187" spans="1:6" x14ac:dyDescent="0.15">
      <c r="A187"/>
      <c r="B187"/>
      <c r="C187"/>
      <c r="D187"/>
      <c r="E187"/>
      <c r="F187"/>
    </row>
    <row r="188" spans="1:6" x14ac:dyDescent="0.15">
      <c r="A188"/>
      <c r="B188"/>
      <c r="C188"/>
      <c r="D188"/>
      <c r="E188"/>
      <c r="F188"/>
    </row>
    <row r="189" spans="1:6" x14ac:dyDescent="0.15">
      <c r="A189"/>
      <c r="B189"/>
      <c r="C189"/>
      <c r="D189"/>
      <c r="E189"/>
      <c r="F189"/>
    </row>
    <row r="190" spans="1:6" x14ac:dyDescent="0.15">
      <c r="A190"/>
      <c r="B190"/>
      <c r="C190"/>
      <c r="D190"/>
      <c r="E190"/>
      <c r="F190"/>
    </row>
    <row r="191" spans="1:6" x14ac:dyDescent="0.15">
      <c r="A191"/>
      <c r="B191"/>
      <c r="C191"/>
      <c r="D191"/>
      <c r="E191"/>
      <c r="F191"/>
    </row>
    <row r="192" spans="1:6" x14ac:dyDescent="0.15">
      <c r="A192"/>
      <c r="B192"/>
      <c r="C192"/>
      <c r="D192"/>
      <c r="E192"/>
      <c r="F192"/>
    </row>
    <row r="193" spans="1:6" x14ac:dyDescent="0.15">
      <c r="A193"/>
      <c r="B193"/>
      <c r="C193"/>
      <c r="D193"/>
      <c r="E193"/>
      <c r="F193"/>
    </row>
    <row r="194" spans="1:6" x14ac:dyDescent="0.15">
      <c r="A194"/>
      <c r="B194"/>
      <c r="C194"/>
      <c r="D194"/>
      <c r="E194"/>
      <c r="F194"/>
    </row>
    <row r="195" spans="1:6" x14ac:dyDescent="0.15">
      <c r="A195"/>
      <c r="B195"/>
      <c r="C195"/>
      <c r="D195"/>
      <c r="E195"/>
      <c r="F195"/>
    </row>
    <row r="196" spans="1:6" x14ac:dyDescent="0.15">
      <c r="A196"/>
      <c r="B196"/>
      <c r="C196"/>
      <c r="D196"/>
      <c r="E196"/>
      <c r="F196"/>
    </row>
    <row r="197" spans="1:6" x14ac:dyDescent="0.15">
      <c r="A197"/>
      <c r="B197"/>
      <c r="C197"/>
      <c r="D197"/>
      <c r="E197"/>
      <c r="F197"/>
    </row>
    <row r="198" spans="1:6" x14ac:dyDescent="0.15">
      <c r="A198"/>
      <c r="B198"/>
      <c r="C198"/>
      <c r="D198"/>
      <c r="E198"/>
      <c r="F198"/>
    </row>
    <row r="199" spans="1:6" x14ac:dyDescent="0.15">
      <c r="A199"/>
      <c r="B199"/>
      <c r="C199"/>
      <c r="D199"/>
      <c r="E199"/>
      <c r="F199"/>
    </row>
    <row r="200" spans="1:6" x14ac:dyDescent="0.15">
      <c r="A200"/>
      <c r="B200"/>
      <c r="C200"/>
      <c r="D200"/>
      <c r="E200"/>
      <c r="F200"/>
    </row>
    <row r="201" spans="1:6" x14ac:dyDescent="0.15">
      <c r="A201"/>
      <c r="B201"/>
      <c r="C201"/>
      <c r="D201"/>
      <c r="E201"/>
      <c r="F201"/>
    </row>
    <row r="202" spans="1:6" x14ac:dyDescent="0.15">
      <c r="A202"/>
      <c r="B202"/>
      <c r="C202"/>
      <c r="D202"/>
      <c r="E202"/>
      <c r="F202"/>
    </row>
    <row r="203" spans="1:6" x14ac:dyDescent="0.15">
      <c r="A203"/>
      <c r="B203"/>
      <c r="C203"/>
      <c r="D203"/>
      <c r="E203"/>
      <c r="F203"/>
    </row>
    <row r="204" spans="1:6" x14ac:dyDescent="0.15">
      <c r="A204"/>
      <c r="B204"/>
      <c r="C204"/>
      <c r="D204"/>
      <c r="E204"/>
      <c r="F204"/>
    </row>
    <row r="205" spans="1:6" x14ac:dyDescent="0.15">
      <c r="A205"/>
      <c r="B205"/>
      <c r="C205"/>
      <c r="D205"/>
      <c r="E205"/>
      <c r="F205"/>
    </row>
    <row r="206" spans="1:6" x14ac:dyDescent="0.15">
      <c r="A206"/>
      <c r="B206"/>
      <c r="C206"/>
      <c r="D206"/>
      <c r="E206"/>
      <c r="F206"/>
    </row>
    <row r="207" spans="1:6" x14ac:dyDescent="0.15">
      <c r="A207"/>
      <c r="B207"/>
      <c r="C207"/>
      <c r="D207"/>
      <c r="E207"/>
      <c r="F207"/>
    </row>
    <row r="208" spans="1:6" x14ac:dyDescent="0.15">
      <c r="A208"/>
      <c r="B208"/>
      <c r="C208"/>
      <c r="D208"/>
      <c r="E208"/>
      <c r="F208"/>
    </row>
    <row r="209" spans="1:6" x14ac:dyDescent="0.15">
      <c r="A209"/>
      <c r="B209"/>
      <c r="C209"/>
      <c r="D209"/>
      <c r="E209"/>
      <c r="F209"/>
    </row>
    <row r="210" spans="1:6" x14ac:dyDescent="0.15">
      <c r="A210"/>
      <c r="B210"/>
      <c r="C210"/>
      <c r="D210"/>
      <c r="E210"/>
      <c r="F210"/>
    </row>
    <row r="211" spans="1:6" x14ac:dyDescent="0.15">
      <c r="A211"/>
      <c r="B211"/>
      <c r="C211"/>
      <c r="D211"/>
      <c r="E211"/>
      <c r="F211"/>
    </row>
    <row r="212" spans="1:6" x14ac:dyDescent="0.15">
      <c r="A212"/>
      <c r="B212"/>
      <c r="C212"/>
      <c r="D212"/>
      <c r="E212"/>
      <c r="F212"/>
    </row>
    <row r="213" spans="1:6" x14ac:dyDescent="0.15">
      <c r="A213"/>
      <c r="B213"/>
      <c r="C213"/>
      <c r="D213"/>
      <c r="E213"/>
      <c r="F213"/>
    </row>
    <row r="214" spans="1:6" x14ac:dyDescent="0.15">
      <c r="A214"/>
      <c r="B214"/>
      <c r="C214"/>
      <c r="D214"/>
      <c r="E214"/>
      <c r="F214"/>
    </row>
    <row r="215" spans="1:6" x14ac:dyDescent="0.15">
      <c r="A215"/>
      <c r="B215"/>
      <c r="C215"/>
      <c r="D215"/>
      <c r="E215"/>
      <c r="F215"/>
    </row>
    <row r="216" spans="1:6" x14ac:dyDescent="0.15">
      <c r="A216"/>
      <c r="B216"/>
      <c r="C216"/>
      <c r="D216"/>
      <c r="E216"/>
      <c r="F216"/>
    </row>
    <row r="217" spans="1:6" x14ac:dyDescent="0.15">
      <c r="A217"/>
      <c r="B217"/>
      <c r="C217"/>
      <c r="D217"/>
      <c r="E217"/>
      <c r="F217"/>
    </row>
    <row r="218" spans="1:6" x14ac:dyDescent="0.15">
      <c r="A218"/>
      <c r="B218"/>
      <c r="C218"/>
      <c r="D218"/>
      <c r="E218"/>
      <c r="F218"/>
    </row>
    <row r="219" spans="1:6" x14ac:dyDescent="0.15">
      <c r="A219"/>
      <c r="B219"/>
      <c r="C219"/>
      <c r="D219"/>
      <c r="E219"/>
      <c r="F219"/>
    </row>
    <row r="220" spans="1:6" x14ac:dyDescent="0.15">
      <c r="A220"/>
      <c r="B220"/>
      <c r="C220"/>
      <c r="D220"/>
      <c r="E220"/>
      <c r="F220"/>
    </row>
    <row r="221" spans="1:6" x14ac:dyDescent="0.15">
      <c r="A221"/>
      <c r="B221"/>
      <c r="C221"/>
      <c r="D221"/>
      <c r="E221"/>
      <c r="F221"/>
    </row>
    <row r="222" spans="1:6" x14ac:dyDescent="0.15">
      <c r="A222"/>
      <c r="B222"/>
      <c r="C222"/>
      <c r="D222"/>
      <c r="E222"/>
      <c r="F222"/>
    </row>
    <row r="223" spans="1:6" x14ac:dyDescent="0.15">
      <c r="A223"/>
      <c r="B223"/>
      <c r="C223"/>
      <c r="D223"/>
      <c r="E223"/>
      <c r="F223"/>
    </row>
    <row r="224" spans="1:6" x14ac:dyDescent="0.15">
      <c r="A224"/>
      <c r="B224"/>
      <c r="C224"/>
      <c r="D224"/>
      <c r="E224"/>
      <c r="F224"/>
    </row>
    <row r="225" spans="1:6" x14ac:dyDescent="0.15">
      <c r="A225"/>
      <c r="B225"/>
      <c r="C225"/>
      <c r="D225"/>
      <c r="E225"/>
      <c r="F225"/>
    </row>
    <row r="226" spans="1:6" x14ac:dyDescent="0.15">
      <c r="A226"/>
      <c r="B226"/>
      <c r="C226"/>
      <c r="D226"/>
      <c r="E226"/>
      <c r="F226"/>
    </row>
    <row r="227" spans="1:6" x14ac:dyDescent="0.15">
      <c r="A227"/>
      <c r="B227"/>
      <c r="C227"/>
      <c r="D227"/>
      <c r="E227"/>
      <c r="F227"/>
    </row>
    <row r="228" spans="1:6" x14ac:dyDescent="0.15">
      <c r="A228"/>
      <c r="B228"/>
      <c r="C228"/>
      <c r="D228"/>
      <c r="E228"/>
      <c r="F228"/>
    </row>
    <row r="229" spans="1:6" x14ac:dyDescent="0.15">
      <c r="A229"/>
      <c r="B229"/>
      <c r="C229"/>
      <c r="D229"/>
      <c r="E229"/>
      <c r="F229"/>
    </row>
    <row r="230" spans="1:6" x14ac:dyDescent="0.15">
      <c r="A230"/>
      <c r="B230"/>
      <c r="C230"/>
      <c r="D230"/>
      <c r="E230"/>
      <c r="F230"/>
    </row>
    <row r="231" spans="1:6" x14ac:dyDescent="0.15">
      <c r="A231"/>
      <c r="B231"/>
      <c r="C231"/>
      <c r="D231"/>
      <c r="E231"/>
      <c r="F231"/>
    </row>
    <row r="232" spans="1:6" x14ac:dyDescent="0.15">
      <c r="A232"/>
      <c r="B232"/>
      <c r="C232"/>
      <c r="D232"/>
      <c r="E232"/>
      <c r="F232"/>
    </row>
    <row r="233" spans="1:6" x14ac:dyDescent="0.15">
      <c r="A233"/>
      <c r="B233"/>
      <c r="C233"/>
      <c r="D233"/>
      <c r="E233"/>
      <c r="F233"/>
    </row>
    <row r="234" spans="1:6" x14ac:dyDescent="0.15">
      <c r="A234"/>
      <c r="B234"/>
      <c r="C234"/>
      <c r="D234"/>
      <c r="E234"/>
      <c r="F234"/>
    </row>
    <row r="235" spans="1:6" x14ac:dyDescent="0.15">
      <c r="A235"/>
      <c r="B235"/>
      <c r="C235"/>
      <c r="D235"/>
      <c r="E235"/>
      <c r="F235"/>
    </row>
    <row r="236" spans="1:6" x14ac:dyDescent="0.15">
      <c r="A236"/>
      <c r="B236"/>
      <c r="C236"/>
      <c r="D236"/>
      <c r="E236"/>
      <c r="F236"/>
    </row>
    <row r="237" spans="1:6" x14ac:dyDescent="0.15">
      <c r="A237"/>
      <c r="B237"/>
      <c r="C237"/>
      <c r="D237"/>
      <c r="E237"/>
      <c r="F237"/>
    </row>
    <row r="238" spans="1:6" x14ac:dyDescent="0.15">
      <c r="A238"/>
      <c r="B238"/>
      <c r="C238"/>
      <c r="D238"/>
      <c r="E238"/>
      <c r="F238"/>
    </row>
    <row r="239" spans="1:6" x14ac:dyDescent="0.15">
      <c r="A239"/>
      <c r="B239"/>
      <c r="C239"/>
      <c r="D239"/>
      <c r="E239"/>
      <c r="F239"/>
    </row>
    <row r="240" spans="1:6" x14ac:dyDescent="0.15">
      <c r="A240"/>
      <c r="B240"/>
      <c r="C240"/>
      <c r="D240"/>
      <c r="E240"/>
      <c r="F240"/>
    </row>
    <row r="241" spans="1:6" x14ac:dyDescent="0.15">
      <c r="A241"/>
      <c r="B241"/>
      <c r="C241"/>
      <c r="D241"/>
      <c r="E241"/>
      <c r="F241"/>
    </row>
    <row r="242" spans="1:6" x14ac:dyDescent="0.15">
      <c r="A242"/>
      <c r="B242"/>
      <c r="C242"/>
      <c r="D242"/>
      <c r="E242"/>
      <c r="F242"/>
    </row>
    <row r="243" spans="1:6" x14ac:dyDescent="0.15">
      <c r="A243"/>
      <c r="B243"/>
      <c r="C243"/>
      <c r="D243"/>
      <c r="E243"/>
      <c r="F243"/>
    </row>
    <row r="244" spans="1:6" x14ac:dyDescent="0.15">
      <c r="A244"/>
      <c r="B244"/>
      <c r="C244"/>
      <c r="D244"/>
      <c r="E244"/>
      <c r="F244"/>
    </row>
    <row r="245" spans="1:6" x14ac:dyDescent="0.15">
      <c r="A245"/>
      <c r="B245"/>
      <c r="C245"/>
      <c r="D245"/>
      <c r="E245"/>
      <c r="F245"/>
    </row>
    <row r="246" spans="1:6" x14ac:dyDescent="0.15">
      <c r="A246"/>
      <c r="B246"/>
      <c r="C246"/>
      <c r="D246"/>
      <c r="E246"/>
      <c r="F246"/>
    </row>
    <row r="247" spans="1:6" x14ac:dyDescent="0.15">
      <c r="A247"/>
      <c r="B247"/>
      <c r="C247"/>
      <c r="D247"/>
      <c r="E247"/>
      <c r="F247"/>
    </row>
    <row r="248" spans="1:6" x14ac:dyDescent="0.15">
      <c r="A248"/>
      <c r="B248"/>
      <c r="C248"/>
      <c r="D248"/>
      <c r="E248"/>
      <c r="F248"/>
    </row>
    <row r="249" spans="1:6" x14ac:dyDescent="0.15">
      <c r="A249"/>
      <c r="B249"/>
      <c r="C249"/>
      <c r="D249"/>
      <c r="E249"/>
      <c r="F249"/>
    </row>
    <row r="250" spans="1:6" x14ac:dyDescent="0.15">
      <c r="A250"/>
      <c r="B250"/>
      <c r="C250"/>
      <c r="D250"/>
      <c r="E250"/>
      <c r="F250"/>
    </row>
    <row r="251" spans="1:6" x14ac:dyDescent="0.15">
      <c r="A251"/>
      <c r="B251"/>
      <c r="C251"/>
      <c r="D251"/>
      <c r="E251"/>
      <c r="F251"/>
    </row>
    <row r="252" spans="1:6" x14ac:dyDescent="0.15">
      <c r="A252"/>
      <c r="B252"/>
      <c r="C252"/>
      <c r="D252"/>
      <c r="E252"/>
      <c r="F252"/>
    </row>
    <row r="253" spans="1:6" x14ac:dyDescent="0.15">
      <c r="A253"/>
      <c r="B253"/>
      <c r="C253"/>
      <c r="D253"/>
      <c r="E253"/>
      <c r="F253"/>
    </row>
    <row r="254" spans="1:6" x14ac:dyDescent="0.15">
      <c r="A254"/>
      <c r="B254"/>
      <c r="C254"/>
      <c r="D254"/>
      <c r="E254"/>
      <c r="F254"/>
    </row>
    <row r="255" spans="1:6" x14ac:dyDescent="0.15">
      <c r="A255"/>
      <c r="B255"/>
      <c r="C255"/>
      <c r="D255"/>
      <c r="E255"/>
      <c r="F255"/>
    </row>
    <row r="256" spans="1:6" x14ac:dyDescent="0.15">
      <c r="A256"/>
      <c r="B256"/>
      <c r="C256"/>
      <c r="D256"/>
      <c r="E256"/>
      <c r="F256"/>
    </row>
    <row r="257" spans="1:6" x14ac:dyDescent="0.15">
      <c r="A257"/>
      <c r="B257"/>
      <c r="C257"/>
      <c r="D257"/>
      <c r="E257"/>
      <c r="F257"/>
    </row>
    <row r="258" spans="1:6" x14ac:dyDescent="0.15">
      <c r="A258"/>
      <c r="B258"/>
      <c r="C258"/>
      <c r="D258"/>
      <c r="E258"/>
      <c r="F258"/>
    </row>
    <row r="259" spans="1:6" x14ac:dyDescent="0.15">
      <c r="A259"/>
      <c r="B259"/>
      <c r="C259"/>
      <c r="D259"/>
      <c r="E259"/>
      <c r="F259"/>
    </row>
    <row r="260" spans="1:6" x14ac:dyDescent="0.15">
      <c r="A260"/>
      <c r="B260"/>
      <c r="C260"/>
      <c r="D260"/>
      <c r="E260"/>
      <c r="F260"/>
    </row>
    <row r="261" spans="1:6" x14ac:dyDescent="0.15">
      <c r="A261"/>
      <c r="B261"/>
      <c r="C261"/>
      <c r="D261"/>
      <c r="E261"/>
      <c r="F261"/>
    </row>
    <row r="262" spans="1:6" x14ac:dyDescent="0.15">
      <c r="A262"/>
      <c r="B262"/>
      <c r="C262"/>
      <c r="D262"/>
      <c r="E262"/>
      <c r="F262"/>
    </row>
    <row r="263" spans="1:6" x14ac:dyDescent="0.15">
      <c r="A263"/>
      <c r="B263"/>
      <c r="C263"/>
      <c r="D263"/>
      <c r="E263"/>
      <c r="F263"/>
    </row>
    <row r="264" spans="1:6" x14ac:dyDescent="0.15">
      <c r="A264"/>
      <c r="B264"/>
      <c r="C264"/>
      <c r="D264"/>
      <c r="E264"/>
      <c r="F264"/>
    </row>
    <row r="265" spans="1:6" x14ac:dyDescent="0.15">
      <c r="A265"/>
      <c r="B265"/>
      <c r="C265"/>
      <c r="D265"/>
      <c r="E265"/>
      <c r="F265"/>
    </row>
    <row r="266" spans="1:6" x14ac:dyDescent="0.15">
      <c r="A266"/>
      <c r="B266"/>
      <c r="C266"/>
      <c r="D266"/>
      <c r="E266"/>
      <c r="F266"/>
    </row>
    <row r="267" spans="1:6" x14ac:dyDescent="0.15">
      <c r="A267"/>
      <c r="B267"/>
      <c r="C267"/>
      <c r="D267"/>
      <c r="E267"/>
      <c r="F267"/>
    </row>
    <row r="268" spans="1:6" x14ac:dyDescent="0.15">
      <c r="A268"/>
      <c r="B268"/>
      <c r="C268"/>
      <c r="D268"/>
      <c r="E268"/>
      <c r="F268"/>
    </row>
    <row r="269" spans="1:6" x14ac:dyDescent="0.15">
      <c r="A269"/>
      <c r="B269"/>
      <c r="C269"/>
      <c r="D269"/>
      <c r="E269"/>
      <c r="F269"/>
    </row>
    <row r="270" spans="1:6" x14ac:dyDescent="0.15">
      <c r="A270"/>
      <c r="B270"/>
      <c r="C270"/>
      <c r="D270"/>
      <c r="E270"/>
      <c r="F270"/>
    </row>
    <row r="271" spans="1:6" x14ac:dyDescent="0.15">
      <c r="A271"/>
      <c r="B271"/>
      <c r="C271"/>
      <c r="D271"/>
      <c r="E271"/>
      <c r="F271"/>
    </row>
    <row r="272" spans="1:6" x14ac:dyDescent="0.15">
      <c r="A272"/>
      <c r="B272"/>
      <c r="C272"/>
      <c r="D272"/>
      <c r="E272"/>
      <c r="F272"/>
    </row>
    <row r="273" spans="1:6" x14ac:dyDescent="0.15">
      <c r="A273"/>
      <c r="B273"/>
      <c r="C273"/>
      <c r="D273"/>
      <c r="E273"/>
      <c r="F273"/>
    </row>
    <row r="274" spans="1:6" x14ac:dyDescent="0.15">
      <c r="A274"/>
      <c r="B274"/>
      <c r="C274"/>
      <c r="D274"/>
      <c r="E274"/>
      <c r="F274"/>
    </row>
    <row r="275" spans="1:6" x14ac:dyDescent="0.15">
      <c r="A275"/>
      <c r="B275"/>
      <c r="C275"/>
      <c r="D275"/>
      <c r="E275"/>
      <c r="F275"/>
    </row>
    <row r="276" spans="1:6" x14ac:dyDescent="0.15">
      <c r="A276"/>
      <c r="B276"/>
      <c r="C276"/>
      <c r="D276"/>
      <c r="E276"/>
      <c r="F276"/>
    </row>
    <row r="277" spans="1:6" x14ac:dyDescent="0.15">
      <c r="A277"/>
      <c r="B277"/>
      <c r="C277"/>
      <c r="D277"/>
      <c r="E277"/>
      <c r="F277"/>
    </row>
    <row r="278" spans="1:6" x14ac:dyDescent="0.15">
      <c r="A278"/>
      <c r="B278"/>
      <c r="C278"/>
      <c r="D278"/>
      <c r="E278"/>
      <c r="F278"/>
    </row>
    <row r="279" spans="1:6" x14ac:dyDescent="0.15">
      <c r="A279"/>
      <c r="B279"/>
      <c r="C279"/>
      <c r="D279"/>
      <c r="E279"/>
      <c r="F279"/>
    </row>
    <row r="280" spans="1:6" x14ac:dyDescent="0.15">
      <c r="A280"/>
      <c r="B280"/>
      <c r="C280"/>
      <c r="D280"/>
      <c r="E280"/>
      <c r="F280"/>
    </row>
    <row r="281" spans="1:6" x14ac:dyDescent="0.15">
      <c r="A281"/>
      <c r="B281"/>
      <c r="C281"/>
      <c r="D281"/>
      <c r="E281"/>
      <c r="F281"/>
    </row>
    <row r="282" spans="1:6" x14ac:dyDescent="0.15">
      <c r="A282"/>
      <c r="B282"/>
      <c r="C282"/>
      <c r="D282"/>
      <c r="E282"/>
      <c r="F282"/>
    </row>
    <row r="283" spans="1:6" x14ac:dyDescent="0.15">
      <c r="A283"/>
      <c r="B283"/>
      <c r="C283"/>
      <c r="D283"/>
      <c r="E283"/>
      <c r="F283"/>
    </row>
    <row r="284" spans="1:6" x14ac:dyDescent="0.15">
      <c r="A284"/>
      <c r="B284"/>
      <c r="C284"/>
      <c r="D284"/>
      <c r="E284"/>
      <c r="F284"/>
    </row>
    <row r="285" spans="1:6" x14ac:dyDescent="0.15">
      <c r="A285"/>
      <c r="B285"/>
      <c r="C285"/>
      <c r="D285"/>
      <c r="E285"/>
      <c r="F285"/>
    </row>
    <row r="286" spans="1:6" x14ac:dyDescent="0.15">
      <c r="A286"/>
      <c r="B286"/>
      <c r="C286"/>
      <c r="D286"/>
      <c r="E286"/>
      <c r="F286"/>
    </row>
    <row r="287" spans="1:6" x14ac:dyDescent="0.15">
      <c r="A287"/>
      <c r="B287"/>
      <c r="C287"/>
      <c r="D287"/>
      <c r="E287"/>
      <c r="F287"/>
    </row>
    <row r="288" spans="1:6" x14ac:dyDescent="0.15">
      <c r="A288"/>
      <c r="B288"/>
      <c r="C288"/>
      <c r="D288"/>
      <c r="E288"/>
      <c r="F288"/>
    </row>
    <row r="289" spans="1:6" x14ac:dyDescent="0.15">
      <c r="A289"/>
      <c r="B289"/>
      <c r="C289"/>
      <c r="D289"/>
      <c r="E289"/>
      <c r="F289"/>
    </row>
    <row r="290" spans="1:6" x14ac:dyDescent="0.15">
      <c r="A290"/>
      <c r="B290"/>
      <c r="C290"/>
      <c r="D290"/>
      <c r="E290"/>
      <c r="F290"/>
    </row>
    <row r="291" spans="1:6" x14ac:dyDescent="0.15">
      <c r="A291"/>
      <c r="B291"/>
      <c r="C291"/>
      <c r="D291"/>
      <c r="E291"/>
      <c r="F291"/>
    </row>
    <row r="292" spans="1:6" x14ac:dyDescent="0.15">
      <c r="A292"/>
      <c r="B292"/>
      <c r="C292"/>
      <c r="D292"/>
      <c r="E292"/>
      <c r="F292"/>
    </row>
    <row r="293" spans="1:6" x14ac:dyDescent="0.15">
      <c r="A293"/>
      <c r="B293"/>
      <c r="C293"/>
      <c r="D293"/>
      <c r="E293"/>
      <c r="F293"/>
    </row>
    <row r="294" spans="1:6" x14ac:dyDescent="0.15">
      <c r="A294"/>
      <c r="B294"/>
      <c r="C294"/>
      <c r="D294"/>
      <c r="E294"/>
      <c r="F294"/>
    </row>
    <row r="295" spans="1:6" x14ac:dyDescent="0.15">
      <c r="A295"/>
      <c r="B295"/>
      <c r="C295"/>
      <c r="D295"/>
      <c r="E295"/>
      <c r="F295"/>
    </row>
    <row r="296" spans="1:6" x14ac:dyDescent="0.15">
      <c r="A296"/>
      <c r="B296"/>
      <c r="C296"/>
      <c r="D296"/>
      <c r="E296"/>
      <c r="F296"/>
    </row>
    <row r="297" spans="1:6" x14ac:dyDescent="0.15">
      <c r="A297"/>
      <c r="B297"/>
      <c r="C297"/>
      <c r="D297"/>
      <c r="E297"/>
      <c r="F297"/>
    </row>
    <row r="298" spans="1:6" x14ac:dyDescent="0.15">
      <c r="A298"/>
      <c r="B298"/>
      <c r="C298"/>
      <c r="D298"/>
      <c r="E298"/>
      <c r="F298"/>
    </row>
    <row r="299" spans="1:6" x14ac:dyDescent="0.15">
      <c r="A299"/>
      <c r="B299"/>
      <c r="C299"/>
      <c r="D299"/>
      <c r="E299"/>
      <c r="F299"/>
    </row>
    <row r="300" spans="1:6" x14ac:dyDescent="0.15">
      <c r="A300"/>
      <c r="B300"/>
      <c r="C300"/>
      <c r="D300"/>
      <c r="E300"/>
      <c r="F300"/>
    </row>
    <row r="301" spans="1:6" x14ac:dyDescent="0.15">
      <c r="A301"/>
      <c r="B301"/>
      <c r="C301"/>
      <c r="D301"/>
      <c r="E301"/>
      <c r="F301"/>
    </row>
    <row r="302" spans="1:6" x14ac:dyDescent="0.15">
      <c r="A302"/>
      <c r="B302"/>
      <c r="C302"/>
      <c r="D302"/>
      <c r="E302"/>
      <c r="F302"/>
    </row>
    <row r="303" spans="1:6" x14ac:dyDescent="0.15">
      <c r="A303"/>
      <c r="B303"/>
      <c r="C303"/>
      <c r="D303"/>
      <c r="E303"/>
      <c r="F303"/>
    </row>
    <row r="304" spans="1:6" x14ac:dyDescent="0.15">
      <c r="A304"/>
      <c r="B304"/>
      <c r="C304"/>
      <c r="D304"/>
      <c r="E304"/>
      <c r="F304"/>
    </row>
    <row r="305" spans="1:6" x14ac:dyDescent="0.15">
      <c r="A305"/>
      <c r="B305"/>
      <c r="C305"/>
      <c r="D305"/>
      <c r="E305"/>
      <c r="F305"/>
    </row>
    <row r="306" spans="1:6" x14ac:dyDescent="0.15">
      <c r="A306"/>
      <c r="B306"/>
      <c r="C306"/>
      <c r="D306"/>
      <c r="E306"/>
      <c r="F306"/>
    </row>
    <row r="307" spans="1:6" x14ac:dyDescent="0.15">
      <c r="A307"/>
      <c r="B307"/>
      <c r="C307"/>
      <c r="D307"/>
      <c r="E307"/>
      <c r="F307"/>
    </row>
    <row r="308" spans="1:6" x14ac:dyDescent="0.15">
      <c r="A308"/>
      <c r="B308"/>
      <c r="C308"/>
      <c r="D308"/>
      <c r="E308"/>
      <c r="F308"/>
    </row>
    <row r="309" spans="1:6" x14ac:dyDescent="0.15">
      <c r="A309"/>
      <c r="B309"/>
      <c r="C309"/>
      <c r="D309"/>
      <c r="E309"/>
      <c r="F309"/>
    </row>
    <row r="310" spans="1:6" x14ac:dyDescent="0.15">
      <c r="A310"/>
      <c r="B310"/>
      <c r="C310"/>
      <c r="D310"/>
      <c r="E310"/>
      <c r="F310"/>
    </row>
    <row r="311" spans="1:6" x14ac:dyDescent="0.15">
      <c r="A311"/>
      <c r="B311"/>
      <c r="C311"/>
      <c r="D311"/>
      <c r="E311"/>
      <c r="F311"/>
    </row>
    <row r="312" spans="1:6" x14ac:dyDescent="0.15">
      <c r="A312"/>
      <c r="B312"/>
      <c r="C312"/>
      <c r="D312"/>
      <c r="E312"/>
      <c r="F312"/>
    </row>
    <row r="313" spans="1:6" x14ac:dyDescent="0.15">
      <c r="A313"/>
      <c r="B313"/>
      <c r="C313"/>
      <c r="D313"/>
      <c r="E313"/>
      <c r="F313"/>
    </row>
    <row r="314" spans="1:6" x14ac:dyDescent="0.15">
      <c r="A314"/>
      <c r="B314"/>
      <c r="C314"/>
      <c r="D314"/>
      <c r="E314"/>
      <c r="F314"/>
    </row>
    <row r="315" spans="1:6" x14ac:dyDescent="0.15">
      <c r="A315"/>
      <c r="B315"/>
      <c r="C315"/>
      <c r="D315"/>
      <c r="E315"/>
      <c r="F315"/>
    </row>
    <row r="316" spans="1:6" x14ac:dyDescent="0.15">
      <c r="A316"/>
      <c r="B316"/>
      <c r="C316"/>
      <c r="D316"/>
      <c r="E316"/>
      <c r="F316"/>
    </row>
    <row r="317" spans="1:6" x14ac:dyDescent="0.15">
      <c r="A317"/>
      <c r="B317"/>
      <c r="C317"/>
      <c r="D317"/>
      <c r="E317"/>
      <c r="F317"/>
    </row>
    <row r="318" spans="1:6" x14ac:dyDescent="0.15">
      <c r="A318"/>
      <c r="B318"/>
      <c r="C318"/>
      <c r="D318"/>
      <c r="E318"/>
      <c r="F318"/>
    </row>
    <row r="319" spans="1:6" x14ac:dyDescent="0.15">
      <c r="A319"/>
      <c r="B319"/>
      <c r="C319"/>
      <c r="D319"/>
      <c r="E319"/>
      <c r="F319"/>
    </row>
    <row r="320" spans="1:6" x14ac:dyDescent="0.15">
      <c r="A320"/>
      <c r="B320"/>
      <c r="C320"/>
      <c r="D320"/>
      <c r="E320"/>
      <c r="F320"/>
    </row>
    <row r="321" spans="1:6" x14ac:dyDescent="0.15">
      <c r="A321"/>
      <c r="B321"/>
      <c r="C321"/>
      <c r="D321"/>
      <c r="E321"/>
      <c r="F321"/>
    </row>
    <row r="322" spans="1:6" x14ac:dyDescent="0.15">
      <c r="A322"/>
      <c r="B322"/>
      <c r="C322"/>
      <c r="D322"/>
      <c r="E322"/>
      <c r="F322"/>
    </row>
    <row r="323" spans="1:6" x14ac:dyDescent="0.15">
      <c r="A323"/>
      <c r="B323"/>
      <c r="C323"/>
      <c r="D323"/>
      <c r="E323"/>
      <c r="F323"/>
    </row>
    <row r="324" spans="1:6" x14ac:dyDescent="0.15">
      <c r="A324"/>
      <c r="B324"/>
      <c r="C324"/>
      <c r="D324"/>
      <c r="E324"/>
      <c r="F324"/>
    </row>
  </sheetData>
  <sortState xmlns:xlrd2="http://schemas.microsoft.com/office/spreadsheetml/2017/richdata2" columnSort="1" ref="B3:F208">
    <sortCondition descending="1" ref="B3:F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Financials</vt:lpstr>
      <vt:lpstr>Revenue Build</vt:lpstr>
      <vt:lpstr>DCF Valuation</vt:lpstr>
      <vt:lpstr>LBO Assumptions</vt:lpstr>
      <vt:lpstr>LBO Model</vt:lpstr>
      <vt:lpstr>raw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Hassan</dc:creator>
  <cp:lastModifiedBy>Evan Hassan</cp:lastModifiedBy>
  <dcterms:created xsi:type="dcterms:W3CDTF">2026-07-12T19:45:42Z</dcterms:created>
  <dcterms:modified xsi:type="dcterms:W3CDTF">2026-07-13T02:19:20Z</dcterms:modified>
</cp:coreProperties>
</file>