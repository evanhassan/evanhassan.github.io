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mc:AlternateContent xmlns:mc="http://schemas.openxmlformats.org/markup-compatibility/2006">
    <mc:Choice Requires="x15">
      <x15ac:absPath xmlns:x15ac="http://schemas.microsoft.com/office/spreadsheetml/2010/11/ac" url="/Users/evanhassan/Downloads/"/>
    </mc:Choice>
  </mc:AlternateContent>
  <xr:revisionPtr revIDLastSave="0" documentId="13_ncr:1_{ED3E4DFC-5D60-1948-A2C4-BFF2C1850BFB}" xr6:coauthVersionLast="47" xr6:coauthVersionMax="47" xr10:uidLastSave="{00000000-0000-0000-0000-000000000000}"/>
  <bookViews>
    <workbookView xWindow="0" yWindow="760" windowWidth="30240" windowHeight="18880" activeTab="8" xr2:uid="{C95B8557-C6CD-3945-95AF-494C4846E90E}"/>
  </bookViews>
  <sheets>
    <sheet name="Table of Contents" sheetId="12" r:id="rId1"/>
    <sheet name="Assumptions Tab" sheetId="3" r:id="rId2"/>
    <sheet name="H.B. Fuller BAS Operating" sheetId="2" r:id="rId3"/>
    <sheet name="BAS Carveout" sheetId="8" r:id="rId4"/>
    <sheet name="Sources And Uses" sheetId="4" r:id="rId5"/>
    <sheet name="Debt Schedule" sheetId="6" r:id="rId6"/>
    <sheet name="LBO Returns Exit" sheetId="7" r:id="rId7"/>
    <sheet name="Seller Impact" sheetId="11" r:id="rId8"/>
    <sheet name="Precedent Transactions" sheetId="10" r:id="rId9"/>
    <sheet name="old artifcats" sheetId="13" state="hidden"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 i="10" l="1"/>
  <c r="A1" i="11"/>
  <c r="A1" i="7"/>
  <c r="A1" i="6"/>
  <c r="A1" i="4"/>
  <c r="A1" i="8"/>
  <c r="A1" i="2"/>
  <c r="A1" i="3"/>
  <c r="C8" i="11"/>
  <c r="B13" i="12"/>
  <c r="E32" i="2"/>
  <c r="D32" i="2"/>
  <c r="D31" i="2"/>
  <c r="E31" i="2"/>
  <c r="A11" i="13"/>
  <c r="A3" i="13"/>
  <c r="C6" i="4"/>
  <c r="C9" i="4"/>
  <c r="B11" i="12"/>
  <c r="B10" i="12"/>
  <c r="B8" i="12"/>
  <c r="B7" i="12"/>
  <c r="B5" i="12"/>
  <c r="B6" i="12"/>
  <c r="B4" i="12"/>
  <c r="F32" i="3" l="1"/>
  <c r="F31" i="3"/>
  <c r="C10" i="6"/>
  <c r="D50" i="6" s="1"/>
  <c r="F16" i="3"/>
  <c r="G16" i="3"/>
  <c r="H16" i="3"/>
  <c r="I16" i="3"/>
  <c r="J16" i="3"/>
  <c r="K16" i="3"/>
  <c r="L16" i="3"/>
  <c r="M16" i="3"/>
  <c r="N16" i="3"/>
  <c r="O16" i="3"/>
  <c r="P16" i="3"/>
  <c r="Q16" i="3"/>
  <c r="R16" i="3"/>
  <c r="S16" i="3"/>
  <c r="T16" i="3"/>
  <c r="U16" i="3"/>
  <c r="E16" i="3"/>
  <c r="I8" i="11"/>
  <c r="C20" i="11"/>
  <c r="I7" i="11" s="1"/>
  <c r="F17" i="11"/>
  <c r="F20" i="11" s="1"/>
  <c r="C7" i="11"/>
  <c r="C10" i="11" s="1"/>
  <c r="C30" i="11"/>
  <c r="P18" i="3"/>
  <c r="C33" i="11" s="1"/>
  <c r="J18" i="3"/>
  <c r="D18" i="3"/>
  <c r="C32" i="11" s="1"/>
  <c r="AD9" i="10"/>
  <c r="AD10" i="10"/>
  <c r="AD11" i="10"/>
  <c r="AD12" i="10"/>
  <c r="D33" i="8"/>
  <c r="G21" i="2" s="1"/>
  <c r="E33" i="8"/>
  <c r="H21" i="2" s="1"/>
  <c r="F33" i="8"/>
  <c r="I21" i="2" s="1"/>
  <c r="G33" i="8"/>
  <c r="J21" i="2" s="1"/>
  <c r="H33" i="8"/>
  <c r="K21" i="2" s="1"/>
  <c r="C33" i="8"/>
  <c r="F21" i="2" s="1"/>
  <c r="D10" i="8"/>
  <c r="D20" i="8" s="1"/>
  <c r="E10" i="8"/>
  <c r="E20" i="8" s="1"/>
  <c r="F10" i="8"/>
  <c r="F20" i="8" s="1"/>
  <c r="G10" i="8"/>
  <c r="G20" i="8" s="1"/>
  <c r="H10" i="8"/>
  <c r="H20" i="8" s="1"/>
  <c r="C10" i="8"/>
  <c r="C20" i="8" s="1"/>
  <c r="D3" i="7"/>
  <c r="E3" i="7" s="1"/>
  <c r="F3" i="7" s="1"/>
  <c r="G3" i="7" s="1"/>
  <c r="H3" i="7" s="1"/>
  <c r="D45" i="6"/>
  <c r="E45" i="6" s="1"/>
  <c r="F45" i="6" s="1"/>
  <c r="G45" i="6" s="1"/>
  <c r="H45" i="6" s="1"/>
  <c r="C36" i="6"/>
  <c r="D16" i="6"/>
  <c r="E16" i="6" s="1"/>
  <c r="F16" i="6" s="1"/>
  <c r="G16" i="6" s="1"/>
  <c r="H16" i="6" s="1"/>
  <c r="I27" i="3"/>
  <c r="C15" i="4"/>
  <c r="B2" i="2"/>
  <c r="G28" i="2" s="1"/>
  <c r="G8" i="2" s="1"/>
  <c r="D30" i="2"/>
  <c r="E30" i="2"/>
  <c r="C30" i="2"/>
  <c r="E23" i="2"/>
  <c r="D23" i="2"/>
  <c r="C32" i="2"/>
  <c r="D33" i="2"/>
  <c r="E33" i="2" s="1"/>
  <c r="D11" i="2"/>
  <c r="E11" i="2"/>
  <c r="C11" i="2"/>
  <c r="D8" i="2"/>
  <c r="E8" i="2"/>
  <c r="C35" i="11" l="1"/>
  <c r="C38" i="11" s="1"/>
  <c r="I26" i="3"/>
  <c r="C14" i="4" s="1"/>
  <c r="H33" i="2"/>
  <c r="J33" i="2"/>
  <c r="K33" i="2"/>
  <c r="I33" i="2"/>
  <c r="G33" i="2"/>
  <c r="F33" i="2"/>
  <c r="I10" i="11"/>
  <c r="J8" i="11"/>
  <c r="F7" i="11"/>
  <c r="C24" i="11" s="1"/>
  <c r="F6" i="11"/>
  <c r="F50" i="6"/>
  <c r="C50" i="6"/>
  <c r="E50" i="6"/>
  <c r="G50" i="6"/>
  <c r="C42" i="6"/>
  <c r="H50" i="6"/>
  <c r="C46" i="6"/>
  <c r="G30" i="2"/>
  <c r="F28" i="2"/>
  <c r="F8" i="2" s="1"/>
  <c r="K29" i="2"/>
  <c r="K32" i="2"/>
  <c r="J32" i="2"/>
  <c r="G32" i="2"/>
  <c r="K30" i="2"/>
  <c r="J30" i="2"/>
  <c r="J29" i="2"/>
  <c r="F29" i="2"/>
  <c r="J31" i="2"/>
  <c r="H29" i="2"/>
  <c r="I31" i="2"/>
  <c r="G29" i="2"/>
  <c r="F32" i="2"/>
  <c r="K31" i="2"/>
  <c r="I29" i="2"/>
  <c r="H31" i="2"/>
  <c r="K28" i="2"/>
  <c r="K8" i="2" s="1"/>
  <c r="G31" i="2"/>
  <c r="J28" i="2"/>
  <c r="J8" i="2" s="1"/>
  <c r="F31" i="2"/>
  <c r="I32" i="2"/>
  <c r="I30" i="2"/>
  <c r="I28" i="2"/>
  <c r="I8" i="2" s="1"/>
  <c r="F30" i="2"/>
  <c r="H32" i="2"/>
  <c r="H30" i="2"/>
  <c r="H28" i="2"/>
  <c r="H8" i="2" s="1"/>
  <c r="F9" i="11" l="1"/>
  <c r="C23" i="11"/>
  <c r="C26" i="11" s="1"/>
  <c r="J17" i="11" s="1"/>
  <c r="J16" i="11" s="1"/>
  <c r="J20" i="11" s="1"/>
  <c r="F7" i="2"/>
  <c r="J7" i="11" l="1"/>
  <c r="J10" i="11" s="1"/>
  <c r="G7" i="2"/>
  <c r="G9" i="2" s="1"/>
  <c r="F17" i="2"/>
  <c r="F9" i="2"/>
  <c r="F16" i="2"/>
  <c r="F13" i="2"/>
  <c r="C7" i="8" l="1"/>
  <c r="C23" i="8" s="1"/>
  <c r="C24" i="8" s="1"/>
  <c r="F11" i="2" s="1"/>
  <c r="F14" i="2"/>
  <c r="D7" i="8"/>
  <c r="D23" i="8" s="1"/>
  <c r="G10" i="2" s="1"/>
  <c r="G17" i="2"/>
  <c r="H7" i="2"/>
  <c r="H16" i="2" s="1"/>
  <c r="G16" i="2"/>
  <c r="G13" i="2"/>
  <c r="G14" i="2" s="1"/>
  <c r="C7" i="4" l="1"/>
  <c r="D4" i="7"/>
  <c r="F10" i="2"/>
  <c r="G15" i="2"/>
  <c r="G23" i="2" s="1"/>
  <c r="D47" i="6" s="1"/>
  <c r="D24" i="8"/>
  <c r="G11" i="2" s="1"/>
  <c r="I7" i="2"/>
  <c r="I9" i="2" s="1"/>
  <c r="H9" i="2"/>
  <c r="H13" i="2"/>
  <c r="H17" i="2"/>
  <c r="D6" i="6" l="1"/>
  <c r="C27" i="6" s="1"/>
  <c r="F26" i="3"/>
  <c r="H5" i="7" s="1"/>
  <c r="D5" i="6"/>
  <c r="D14" i="7"/>
  <c r="E14" i="7"/>
  <c r="G14" i="7"/>
  <c r="H14" i="7"/>
  <c r="F14" i="7"/>
  <c r="C14" i="7"/>
  <c r="C12" i="4"/>
  <c r="C13" i="4" s="1"/>
  <c r="C17" i="4" s="1"/>
  <c r="F15" i="2"/>
  <c r="C4" i="7"/>
  <c r="H14" i="2"/>
  <c r="E7" i="8"/>
  <c r="E23" i="8" s="1"/>
  <c r="H10" i="2" s="1"/>
  <c r="E4" i="7" s="1"/>
  <c r="F7" i="8"/>
  <c r="F23" i="8" s="1"/>
  <c r="I10" i="2" s="1"/>
  <c r="I16" i="2"/>
  <c r="J7" i="2"/>
  <c r="K7" i="2" s="1"/>
  <c r="I13" i="2"/>
  <c r="I14" i="2" s="1"/>
  <c r="I17" i="2"/>
  <c r="D5" i="7" l="1"/>
  <c r="D6" i="7" s="1"/>
  <c r="C22" i="4"/>
  <c r="E5" i="7"/>
  <c r="E6" i="7" s="1"/>
  <c r="C5" i="7"/>
  <c r="C6" i="7" s="1"/>
  <c r="F5" i="7"/>
  <c r="G5" i="7"/>
  <c r="C33" i="6"/>
  <c r="C29" i="6"/>
  <c r="C18" i="6"/>
  <c r="C21" i="4"/>
  <c r="F23" i="2"/>
  <c r="C47" i="6" s="1"/>
  <c r="F4" i="7"/>
  <c r="H15" i="2"/>
  <c r="H23" i="2" s="1"/>
  <c r="F24" i="8"/>
  <c r="I11" i="2" s="1"/>
  <c r="E24" i="8"/>
  <c r="H11" i="2" s="1"/>
  <c r="I15" i="2"/>
  <c r="I23" i="2" s="1"/>
  <c r="J17" i="2"/>
  <c r="J9" i="2"/>
  <c r="J16" i="2"/>
  <c r="J13" i="2"/>
  <c r="K13" i="2"/>
  <c r="K16" i="2"/>
  <c r="K17" i="2"/>
  <c r="K9" i="2"/>
  <c r="C23" i="4" l="1"/>
  <c r="F6" i="7"/>
  <c r="C31" i="4"/>
  <c r="C24" i="4"/>
  <c r="H13" i="7" s="1"/>
  <c r="C24" i="6"/>
  <c r="C48" i="6" s="1"/>
  <c r="C49" i="6" s="1"/>
  <c r="C20" i="6"/>
  <c r="F47" i="6"/>
  <c r="E47" i="6"/>
  <c r="J14" i="2"/>
  <c r="K14" i="2"/>
  <c r="G7" i="8"/>
  <c r="G23" i="8" s="1"/>
  <c r="J10" i="2" s="1"/>
  <c r="G4" i="7" s="1"/>
  <c r="H7" i="8"/>
  <c r="H23" i="8" s="1"/>
  <c r="K10" i="2" s="1"/>
  <c r="H4" i="7" s="1"/>
  <c r="C26" i="4" l="1"/>
  <c r="C27" i="4" s="1"/>
  <c r="F13" i="7"/>
  <c r="G13" i="7"/>
  <c r="C13" i="7"/>
  <c r="D13" i="7"/>
  <c r="E13" i="7"/>
  <c r="C51" i="6"/>
  <c r="C37" i="6"/>
  <c r="G24" i="8"/>
  <c r="J11" i="2" s="1"/>
  <c r="H24" i="8"/>
  <c r="K11" i="2" s="1"/>
  <c r="J15" i="2"/>
  <c r="J23" i="2" s="1"/>
  <c r="G6" i="7"/>
  <c r="K15" i="2"/>
  <c r="K23" i="2" s="1"/>
  <c r="H6" i="7"/>
  <c r="C30" i="4" l="1"/>
  <c r="C39" i="6"/>
  <c r="C40" i="6" s="1"/>
  <c r="C41" i="6" s="1"/>
  <c r="H47" i="6"/>
  <c r="G47" i="6"/>
  <c r="D36" i="6" l="1"/>
  <c r="D42" i="6" s="1"/>
  <c r="C21" i="6"/>
  <c r="C22" i="6" s="1"/>
  <c r="C23" i="6" s="1"/>
  <c r="D18" i="6" l="1"/>
  <c r="D20" i="6" s="1"/>
  <c r="C30" i="6"/>
  <c r="C31" i="6" s="1"/>
  <c r="D27" i="6" s="1"/>
  <c r="D24" i="6" l="1"/>
  <c r="C32" i="6"/>
  <c r="C53" i="6"/>
  <c r="C9" i="7" s="1"/>
  <c r="C52" i="6"/>
  <c r="C8" i="7" s="1"/>
  <c r="D29" i="6"/>
  <c r="D33" i="6"/>
  <c r="D48" i="6" l="1"/>
  <c r="D46" i="6"/>
  <c r="C11" i="7"/>
  <c r="C17" i="7" s="1"/>
  <c r="D49" i="6"/>
  <c r="D37" i="6" s="1"/>
  <c r="C16" i="7"/>
  <c r="D51" i="6" l="1"/>
  <c r="D38" i="6"/>
  <c r="D39" i="6" l="1"/>
  <c r="D21" i="6" s="1"/>
  <c r="D30" i="6" s="1"/>
  <c r="D31" i="6" s="1"/>
  <c r="D40" i="6" l="1"/>
  <c r="E36" i="6" s="1"/>
  <c r="E42" i="6" s="1"/>
  <c r="E27" i="6"/>
  <c r="D32" i="6"/>
  <c r="D22" i="6"/>
  <c r="D52" i="6"/>
  <c r="D41" i="6" l="1"/>
  <c r="D8" i="7"/>
  <c r="E46" i="6"/>
  <c r="E18" i="6"/>
  <c r="D23" i="6"/>
  <c r="D53" i="6"/>
  <c r="D9" i="7" s="1"/>
  <c r="E29" i="6"/>
  <c r="E33" i="6"/>
  <c r="E20" i="6" l="1"/>
  <c r="E24" i="6"/>
  <c r="E48" i="6" s="1"/>
  <c r="E49" i="6" s="1"/>
  <c r="D11" i="7"/>
  <c r="D17" i="7" s="1"/>
  <c r="D16" i="7" l="1"/>
  <c r="E51" i="6"/>
  <c r="E37" i="6"/>
  <c r="E38" i="6" l="1"/>
  <c r="E39" i="6" s="1"/>
  <c r="E21" i="6" s="1"/>
  <c r="E22" i="6" s="1"/>
  <c r="E30" i="6" l="1"/>
  <c r="E31" i="6" s="1"/>
  <c r="F27" i="6" s="1"/>
  <c r="E40" i="6"/>
  <c r="F18" i="6"/>
  <c r="E23" i="6"/>
  <c r="E32" i="6" l="1"/>
  <c r="E52" i="6"/>
  <c r="F46" i="6" s="1"/>
  <c r="E53" i="6"/>
  <c r="E9" i="7" s="1"/>
  <c r="F36" i="6"/>
  <c r="F42" i="6" s="1"/>
  <c r="E41" i="6"/>
  <c r="F33" i="6"/>
  <c r="F29" i="6"/>
  <c r="F20" i="6"/>
  <c r="F24" i="6"/>
  <c r="E8" i="7" l="1"/>
  <c r="E11" i="7" s="1"/>
  <c r="E17" i="7" s="1"/>
  <c r="F48" i="6"/>
  <c r="F49" i="6" s="1"/>
  <c r="F51" i="6" s="1"/>
  <c r="E16" i="7" l="1"/>
  <c r="F37" i="6"/>
  <c r="F38" i="6" s="1"/>
  <c r="F39" i="6" s="1"/>
  <c r="F21" i="6" s="1"/>
  <c r="F22" i="6" s="1"/>
  <c r="F30" i="6" l="1"/>
  <c r="F31" i="6" s="1"/>
  <c r="G27" i="6" s="1"/>
  <c r="F40" i="6"/>
  <c r="G36" i="6" s="1"/>
  <c r="G42" i="6" s="1"/>
  <c r="G18" i="6"/>
  <c r="F23" i="6"/>
  <c r="F53" i="6" l="1"/>
  <c r="F9" i="7" s="1"/>
  <c r="F32" i="6"/>
  <c r="F52" i="6"/>
  <c r="F41" i="6"/>
  <c r="G20" i="6"/>
  <c r="G24" i="6"/>
  <c r="G33" i="6"/>
  <c r="G29" i="6"/>
  <c r="G46" i="6" l="1"/>
  <c r="F8" i="7"/>
  <c r="F11" i="7" s="1"/>
  <c r="F17" i="7" s="1"/>
  <c r="G48" i="6"/>
  <c r="F16" i="7" l="1"/>
  <c r="G49" i="6"/>
  <c r="G51" i="6" s="1"/>
  <c r="G37" i="6" l="1"/>
  <c r="G38" i="6" s="1"/>
  <c r="G39" i="6" s="1"/>
  <c r="G21" i="6" s="1"/>
  <c r="G22" i="6" s="1"/>
  <c r="H18" i="6" s="1"/>
  <c r="G30" i="6" l="1"/>
  <c r="G52" i="6" s="1"/>
  <c r="G23" i="6"/>
  <c r="G40" i="6"/>
  <c r="H36" i="6" s="1"/>
  <c r="H42" i="6" s="1"/>
  <c r="H24" i="6"/>
  <c r="H20" i="6"/>
  <c r="G41" i="6" l="1"/>
  <c r="G31" i="6"/>
  <c r="G53" i="6" s="1"/>
  <c r="G9" i="7" s="1"/>
  <c r="H46" i="6"/>
  <c r="G8" i="7"/>
  <c r="G32" i="6" l="1"/>
  <c r="H27" i="6"/>
  <c r="H33" i="6" s="1"/>
  <c r="H48" i="6" s="1"/>
  <c r="H49" i="6" s="1"/>
  <c r="G11" i="7"/>
  <c r="G17" i="7" s="1"/>
  <c r="H29" i="6" l="1"/>
  <c r="G16" i="7"/>
  <c r="H37" i="6"/>
  <c r="H51" i="6"/>
  <c r="H38" i="6" l="1"/>
  <c r="H39" i="6" s="1"/>
  <c r="H21" i="6" l="1"/>
  <c r="H22" i="6" s="1"/>
  <c r="H40" i="6"/>
  <c r="H41" i="6" s="1"/>
  <c r="H23" i="6" l="1"/>
  <c r="H30" i="6"/>
  <c r="H31" i="6" s="1"/>
  <c r="H32" i="6" s="1"/>
  <c r="H53" i="6" l="1"/>
  <c r="H9" i="7" s="1"/>
  <c r="H52" i="6"/>
  <c r="H8" i="7" s="1"/>
  <c r="H11" i="7" l="1"/>
  <c r="H17" i="7" l="1"/>
  <c r="C36" i="11"/>
  <c r="C39" i="11" s="1"/>
  <c r="H16" i="7"/>
</calcChain>
</file>

<file path=xl/sharedStrings.xml><?xml version="1.0" encoding="utf-8"?>
<sst xmlns="http://schemas.openxmlformats.org/spreadsheetml/2006/main" count="349" uniqueCount="278">
  <si>
    <t>Revenue</t>
  </si>
  <si>
    <t>Revenue Growth</t>
  </si>
  <si>
    <t>EBITDA Margin</t>
  </si>
  <si>
    <t>D&amp;A</t>
  </si>
  <si>
    <t>Capex</t>
  </si>
  <si>
    <t>NWC</t>
  </si>
  <si>
    <t>Change in NWC</t>
  </si>
  <si>
    <t>Cash Taxes</t>
  </si>
  <si>
    <t>Unlevered FCF</t>
  </si>
  <si>
    <t xml:space="preserve">H.B. Fuller BAS </t>
  </si>
  <si>
    <t>FYE December</t>
  </si>
  <si>
    <t>Actual</t>
  </si>
  <si>
    <t>Predicted</t>
  </si>
  <si>
    <t>D&amp;A as % of revenue</t>
  </si>
  <si>
    <t>Capex as % of revenue</t>
  </si>
  <si>
    <t xml:space="preserve">NWC as % of revenue </t>
  </si>
  <si>
    <t>Tax Rate</t>
  </si>
  <si>
    <t>Model Drivers</t>
  </si>
  <si>
    <t>Consolidated Financials</t>
  </si>
  <si>
    <t>Transaction Assumptions</t>
  </si>
  <si>
    <t>Operating Assumptions</t>
  </si>
  <si>
    <t>Scenario Toggle</t>
  </si>
  <si>
    <t>Entry EBITDA Multiple</t>
  </si>
  <si>
    <t>Exit EBITDA Multiple</t>
  </si>
  <si>
    <t>Transaction Fees</t>
  </si>
  <si>
    <t>Holding Period</t>
  </si>
  <si>
    <t>D&amp;A as &amp; of Revenue</t>
  </si>
  <si>
    <t>Capex as % of Revenue</t>
  </si>
  <si>
    <t>NWC as % of Revenue</t>
  </si>
  <si>
    <t>Downside</t>
  </si>
  <si>
    <t>Base</t>
  </si>
  <si>
    <t>Upside</t>
  </si>
  <si>
    <t>Transaction Toggle</t>
  </si>
  <si>
    <t>1 = downside</t>
  </si>
  <si>
    <t>2 = base</t>
  </si>
  <si>
    <t>3 = upside</t>
  </si>
  <si>
    <t>Other Assumptions</t>
  </si>
  <si>
    <t>Minimum Cash</t>
  </si>
  <si>
    <t>Sources</t>
  </si>
  <si>
    <t>Uses</t>
  </si>
  <si>
    <t>Purchase of BAS</t>
  </si>
  <si>
    <t>Seperation Costs</t>
  </si>
  <si>
    <t>Purchase Price</t>
  </si>
  <si>
    <t>Entry EBITDA</t>
  </si>
  <si>
    <t>Entry Multiple</t>
  </si>
  <si>
    <t>Enterprise Value</t>
  </si>
  <si>
    <t>Total Uses</t>
  </si>
  <si>
    <t>Total Sources</t>
  </si>
  <si>
    <t>Senior Debt</t>
  </si>
  <si>
    <t>Junior Debt</t>
  </si>
  <si>
    <t>Sponsor Equity</t>
  </si>
  <si>
    <t>Sources - Uses</t>
  </si>
  <si>
    <t>Sources and Uses($mm)</t>
  </si>
  <si>
    <t>Sponsor Equity %</t>
  </si>
  <si>
    <t>Debt / EBITDA</t>
  </si>
  <si>
    <t>Beginning Balance</t>
  </si>
  <si>
    <t>New Borrowing</t>
  </si>
  <si>
    <t>Debt Assumptions</t>
  </si>
  <si>
    <t>Mandatory Repayment</t>
  </si>
  <si>
    <t>Cash Interest Expense</t>
  </si>
  <si>
    <t>Debt Type</t>
  </si>
  <si>
    <t>Revolver</t>
  </si>
  <si>
    <t>Net Debt</t>
  </si>
  <si>
    <t>Senior Term Loan</t>
  </si>
  <si>
    <t>Junior / Mezz</t>
  </si>
  <si>
    <t>Initial Balance</t>
  </si>
  <si>
    <t>Interest Rate</t>
  </si>
  <si>
    <t>Debt Schedule ($MM)</t>
  </si>
  <si>
    <t>Senior</t>
  </si>
  <si>
    <t>Mezzanine</t>
  </si>
  <si>
    <t>Instrument</t>
  </si>
  <si>
    <t>Mandatory Amoritization(%)</t>
  </si>
  <si>
    <t>Other Assupmtions</t>
  </si>
  <si>
    <t>Mininmum Cash</t>
  </si>
  <si>
    <t>Cash Sweep %</t>
  </si>
  <si>
    <t>Revolver Commitment</t>
  </si>
  <si>
    <t>Revolver Margin</t>
  </si>
  <si>
    <t>Debt Schedule</t>
  </si>
  <si>
    <t>Cash Sweep</t>
  </si>
  <si>
    <t>Ending Bal</t>
  </si>
  <si>
    <t>Average Bal</t>
  </si>
  <si>
    <t>Cash Interest</t>
  </si>
  <si>
    <t>Cash At Close</t>
  </si>
  <si>
    <t>read writeup - carve out</t>
  </si>
  <si>
    <t>Cash Flow Available for Debt Paydown</t>
  </si>
  <si>
    <t>UFCF</t>
  </si>
  <si>
    <t>Excess / Shortfall vs Min Cash</t>
  </si>
  <si>
    <t>Begininning Cash</t>
  </si>
  <si>
    <t>Ending Cash</t>
  </si>
  <si>
    <t>Cash Before Sweep</t>
  </si>
  <si>
    <t>Initial Sponsor Equity</t>
  </si>
  <si>
    <t>Debt Paydown</t>
  </si>
  <si>
    <t>Exit EBITDA</t>
  </si>
  <si>
    <t>Exit Multiple</t>
  </si>
  <si>
    <t xml:space="preserve">Exit EV </t>
  </si>
  <si>
    <t>Ending Debt</t>
  </si>
  <si>
    <t>Exit Equity Value</t>
  </si>
  <si>
    <t>MOIC</t>
  </si>
  <si>
    <t>IRR</t>
  </si>
  <si>
    <t>LBO Returns ($mm)</t>
  </si>
  <si>
    <t>Carve Out Adjustments</t>
  </si>
  <si>
    <t>Reported EBITDA</t>
  </si>
  <si>
    <t>1. PROJECTED SEGMENT EBITDA</t>
  </si>
  <si>
    <t>Corporate Functions to be Replaced</t>
  </si>
  <si>
    <t>Finance/Accounting</t>
  </si>
  <si>
    <t>HR / Payroll</t>
  </si>
  <si>
    <t>IT / Systems</t>
  </si>
  <si>
    <t>Legal / Compliance</t>
  </si>
  <si>
    <t xml:space="preserve">Treasury </t>
  </si>
  <si>
    <t>other</t>
  </si>
  <si>
    <t>TSA Costs</t>
  </si>
  <si>
    <t>Dis-Synergy Costs</t>
  </si>
  <si>
    <t>Cost Savings</t>
  </si>
  <si>
    <t>Total Run-Rate Adjustments</t>
  </si>
  <si>
    <t>3. STANDALONE ADJUSTED EBITDA</t>
  </si>
  <si>
    <t>4. ONE TIME SEPERATION COSTS</t>
  </si>
  <si>
    <t>Legal</t>
  </si>
  <si>
    <t>People / HR</t>
  </si>
  <si>
    <t>Facilities</t>
  </si>
  <si>
    <t>Other</t>
  </si>
  <si>
    <t>Branding / Rebrand</t>
  </si>
  <si>
    <t>Total One-Time Seperation Costs</t>
  </si>
  <si>
    <t>2. LESS RUN-RATE ADJUSTMENTS</t>
  </si>
  <si>
    <t>($mm)</t>
  </si>
  <si>
    <t>Adjusted Ebitda</t>
  </si>
  <si>
    <t>EBITDA</t>
  </si>
  <si>
    <t>One- Time Costs</t>
  </si>
  <si>
    <t>see writeup</t>
  </si>
  <si>
    <t>Reported Adjusted EBITDA</t>
  </si>
  <si>
    <t>Standalone Adjusted EBITDA</t>
  </si>
  <si>
    <t>Memo: reported EBIT</t>
  </si>
  <si>
    <t>Standalone EBIT</t>
  </si>
  <si>
    <t>Search Result Columns</t>
  </si>
  <si>
    <t>Downloaded on:</t>
  </si>
  <si>
    <t>Created for:</t>
  </si>
  <si>
    <t>Evan Hassan, University of Utah Marriott Library- Students</t>
  </si>
  <si>
    <t>Search Link:</t>
  </si>
  <si>
    <t>https://my.pitchbook.com/?pcc=1380958-66</t>
  </si>
  <si>
    <t>Search Criteria:</t>
  </si>
  <si>
    <t>Deal ID</t>
  </si>
  <si>
    <t>Companies</t>
  </si>
  <si>
    <t>Debt/EBITDA</t>
  </si>
  <si>
    <t>Financing Status Note</t>
  </si>
  <si>
    <t>Primary PitchBook Industry Sector</t>
  </si>
  <si>
    <t>Current Financing Status</t>
  </si>
  <si>
    <t>CEO PBId</t>
  </si>
  <si>
    <t>CEO Phone</t>
  </si>
  <si>
    <t>CEO Email</t>
  </si>
  <si>
    <t>% Acquired</t>
  </si>
  <si>
    <t>Deal Synopsis</t>
  </si>
  <si>
    <t>Deal Status</t>
  </si>
  <si>
    <t>Lenders</t>
  </si>
  <si>
    <t>Investor Funds</t>
  </si>
  <si>
    <t>Sellers</t>
  </si>
  <si>
    <t>Debt &amp; Lenders</t>
  </si>
  <si>
    <t>Total Debt (from financials)</t>
  </si>
  <si>
    <t>Deal Date</t>
  </si>
  <si>
    <t>Deal Type</t>
  </si>
  <si>
    <t>Deal Size</t>
  </si>
  <si>
    <t>HQ Location</t>
  </si>
  <si>
    <t>Investors</t>
  </si>
  <si>
    <t>Post Valuation</t>
  </si>
  <si>
    <t>Net Income</t>
  </si>
  <si>
    <t>Valuation/Revenue</t>
  </si>
  <si>
    <t>Valuation/EBITDA</t>
  </si>
  <si>
    <t>Description</t>
  </si>
  <si>
    <t>View Company Online</t>
  </si>
  <si>
    <t>Materials and Resources</t>
  </si>
  <si>
    <t>Private Equity-Backed</t>
  </si>
  <si>
    <t>Completed</t>
  </si>
  <si>
    <t>Buyout/LBO</t>
  </si>
  <si>
    <t>286685-20T</t>
  </si>
  <si>
    <t>Genesis Alkali</t>
  </si>
  <si>
    <t>The company was acquired by We Soda (LON:DUMY0000082) for $1.425 billion on February 28, 2025.</t>
  </si>
  <si>
    <t>Formerly PE-Backed</t>
  </si>
  <si>
    <t>Blackstone Credit and Insurance, Genesis Energy (Energy Transportation)</t>
  </si>
  <si>
    <t>Merger/Acquisition</t>
  </si>
  <si>
    <t>Philadelphia, PA</t>
  </si>
  <si>
    <t>We Soda(Alasdair Warren)</t>
  </si>
  <si>
    <t>Manufacturer of specialty chemicals intended for a variety of industrial and consumer applications. The company offers a range of products including natural soda ash, sodium bicarbonate, caustic soda and other derivative products to be used in the production of glass, detergents, chemicals, pulp and paper.</t>
  </si>
  <si>
    <t>228839-14T</t>
  </si>
  <si>
    <t>Chase</t>
  </si>
  <si>
    <t>The company completed a $550 million debt refinancing round on April 1, 2025. Previously, the company raised $100,000 of debt financing on November 15, 2024.</t>
  </si>
  <si>
    <t>92202-13P</t>
  </si>
  <si>
    <t>+1 (781) 332-0700</t>
  </si>
  <si>
    <t>adamchase@chasecorp.com</t>
  </si>
  <si>
    <t>The company was acquired by Kohlberg Kravis Roberts through a $1.3 billion public-to-private LBO on November 15, 2023. The transaction was supported by $137.79 million of debt financing.</t>
  </si>
  <si>
    <t>Antares Capital, Blackstone (NYS: BX), Blackstone Credit and Insurance, Crescent Capital BDC (NAS: CCAP), Crescent Capital Group, Crescent Private Credit Income BDC, Goldman Sachs Asset Management, Goldman Sachs Middle Market Lending Corp. II BDC</t>
  </si>
  <si>
    <t>KKR North America Fund XIII(Kohlberg Kravis Roberts)</t>
  </si>
  <si>
    <t>Term Loan - $1.74M (Goldman Sachs Middle Market Lending Corp. II BDC), Term Loan - $118.10M (Goldman Sachs Middle Market Lending Corp. II BDC), Term Loan - $118.10M (Goldman Sachs Asset Management), Term Loan - $118.10M (Antares Capital), Revolving Credit - $17.94M (Goldman Sachs Asset Management), Term Loan - $1.74M (Goldman Sachs Asset Management), Term Loan - $118.10M (Crescent Private Credit Income BDC), Term Loan - $118.10M (Crescent Capital BDC), Revolving Credit - $17.94M (Crescent Capital BDC), Term Loan - $118.10M (Crescent Capital Group), Revolving Credit - $17.94M (Crescent Private Credit Income BDC), Revolving Credit - $17.94M (Crescent Capital Group), Term Loan - $118.10M (Blackstone Credit and Insurance), Revolving Credit - $17.94M (Blackstone Credit and Insurance), Term Loan - $118.10M (Blackstone), Revolving Credit - $17.94M (Blackstone)</t>
  </si>
  <si>
    <t>Westwood, MA</t>
  </si>
  <si>
    <t>Kohlberg Kravis Roberts (NYS: KKR)(Joshua Weisenbeck)</t>
  </si>
  <si>
    <t>Manufacturer of industrial chemicals intended for automotive, construction, medical, military, energy and other sectors. The company offers adhesives, sealants and additives, industrial tapes and corrosion protection and waterproofing chemicals, enabling clients to get safe products at lower prices.</t>
  </si>
  <si>
    <t>176735-17T</t>
  </si>
  <si>
    <t>Henry Company</t>
  </si>
  <si>
    <t>The company was acquired by Carlisle Companies (NYS: CSL) for $1605.5 billion on September 1, 2021. The consideration of $1605.5 billion was funded with borrowings from its revolving credit facility and cash on hand. Previously, the company raised $4 million of debt financing on June 30, 2021.</t>
  </si>
  <si>
    <t>Business Products and Services (B2B)</t>
  </si>
  <si>
    <t>139429-90P</t>
  </si>
  <si>
    <t>+1 (626) 357-4599</t>
  </si>
  <si>
    <t>fready@henry.com</t>
  </si>
  <si>
    <t>The company was acquired by Carlisle Companies (NYS: CSL) for $1605.6 billion on September 1, 2021. The consideration of $1605.5 billion was funded with borrowings from its revolving credit facility and cash on hand.</t>
  </si>
  <si>
    <t>American Securities</t>
  </si>
  <si>
    <t>PA</t>
  </si>
  <si>
    <t>Carlisle Companies (NYS: CSL)(Nicholas Shears)</t>
  </si>
  <si>
    <t>Manufacturer of roofing and building-envelope products designed for managing the flow of water, vapor and air through the entire building. The company offers air barrier systems, waterproofing, roofing, concrete, flooring, performance additives and driveway sealers, enduring improved structure's energy efficiency, livability and sustainability for the benefit of the owner, occupant and the environment.</t>
  </si>
  <si>
    <t>Corporate Backed or Acquired</t>
  </si>
  <si>
    <t>167745-16T</t>
  </si>
  <si>
    <t>Surteco (ETR: SUR)</t>
  </si>
  <si>
    <t>Banasino Investments entered into an agreement to acquire a stake in the company (ETR:SUR) for an undisclosed amount on October 4, 2024. The company will not receive any proceeds from the offering. Subsequently, the offering was withdrawn. Previously, the company was acquired by Banasino Investments for $608 million on October 4, 2024.</t>
  </si>
  <si>
    <t>Consumer Products and Services (B2C)</t>
  </si>
  <si>
    <t>73360-72P</t>
  </si>
  <si>
    <t>+49 (0)82 7451 0</t>
  </si>
  <si>
    <t>wolfgang.moyses@surteco-group.com</t>
  </si>
  <si>
    <t>The company was acquired by The Schürfeld Group for $510 million on March 2, 2021.</t>
  </si>
  <si>
    <t>Buttenwiesen, Germany</t>
  </si>
  <si>
    <t>The Schürfeld Group</t>
  </si>
  <si>
    <t>Surteco Group SE is engaged in the manufacture of decorative surface coatings for furniture, flooring, and interior design. It also develops, produces, and sells skirtings, technical extrusions, and coated fabrics. The group has five reportable segments which is: Surfaces bundles all the surface activities including melamine edgings in Europe and South America; Edgebands bundles the activities with plastic edgebandings in Europe and South America; Profiles bundles activities with skirtings and technical extrusions (profiles) in Europe and South America; and the regional segments North America and Asia / Pacific, which comprise all the activities in the relevant geographical markets, independently of product. Its geographic areas are Germany, Europe, America, Asia / Australia, and Others.</t>
  </si>
  <si>
    <t>© PitchBook Data, Inc.  2026</t>
  </si>
  <si>
    <t/>
  </si>
  <si>
    <t xml:space="preserve">Excluded Deals: 8; Deal Date: From: 30-Aug-2020; Deal Size: Min: 500M; Max: 3B; Deal Option: Search on a full transaction; Deal Status: Completed; Deal Types: All Buyout Types &gt; Buyout/LBO; All Buyout Types &gt; Corporate divestiture; M&amp;A/Control Transactions &gt; M&amp;A; Locations: United States; Canada; Europe; Keywords: adhesives; construction chemicals; coatings; sealants; specialty chemicals; </t>
  </si>
  <si>
    <t>Multiple (from Comps)</t>
  </si>
  <si>
    <t>Manual Multiple Toggle</t>
  </si>
  <si>
    <t>IRR         Rows: Entry Multiple          Columns: Exit Multiple</t>
  </si>
  <si>
    <t>Transaction Summary</t>
  </si>
  <si>
    <t>BAS Sale Price</t>
  </si>
  <si>
    <t>Less: Transaction Fees</t>
  </si>
  <si>
    <t>Less: Taxes</t>
  </si>
  <si>
    <t>Net Sale Proceeds</t>
  </si>
  <si>
    <t>Use of Proceeds</t>
  </si>
  <si>
    <t>Cash Residual</t>
  </si>
  <si>
    <t>Total Use of Proceeds</t>
  </si>
  <si>
    <t>H.B. Fuller Debt Summaries</t>
  </si>
  <si>
    <t>Gross Debt</t>
  </si>
  <si>
    <t xml:space="preserve">Less: Cash </t>
  </si>
  <si>
    <t>(pre deal)</t>
  </si>
  <si>
    <t>(post deal)</t>
  </si>
  <si>
    <t>Pro Forma Net Debt</t>
  </si>
  <si>
    <t>Remaining EBITDA</t>
  </si>
  <si>
    <t>H.B. Fuller EBITDA</t>
  </si>
  <si>
    <t>Less: BAS EBITDA</t>
  </si>
  <si>
    <t>New EBITDA</t>
  </si>
  <si>
    <t>Leverage Impact</t>
  </si>
  <si>
    <t>Net Debt ($mm)</t>
  </si>
  <si>
    <t>Pro Forma</t>
  </si>
  <si>
    <t>Pre-Deal</t>
  </si>
  <si>
    <t>Net Debt/ EBITDA</t>
  </si>
  <si>
    <t>Interest Expense Savings</t>
  </si>
  <si>
    <t>% reduction IE</t>
  </si>
  <si>
    <t>Decision Check</t>
  </si>
  <si>
    <t>Seller Impact($mm)</t>
  </si>
  <si>
    <t xml:space="preserve">Rejected Bid </t>
  </si>
  <si>
    <t xml:space="preserve">Implied Value Range </t>
  </si>
  <si>
    <t>Max Affordable Price</t>
  </si>
  <si>
    <t>Conclusion</t>
  </si>
  <si>
    <t>Less: Cash</t>
  </si>
  <si>
    <t>(see writeup)</t>
  </si>
  <si>
    <t>Less: Stranded Costs</t>
  </si>
  <si>
    <t>read wrietup</t>
  </si>
  <si>
    <t>Cash Flow Impact(6.3%)</t>
  </si>
  <si>
    <t>(3% annual revenue)</t>
  </si>
  <si>
    <t>MOIC         Rows: Entry Multiple          Columns: Exit Multiple</t>
  </si>
  <si>
    <t>Returns Sensitivity (2031, Base Case)</t>
  </si>
  <si>
    <t>Entry EBTIDA Multiple</t>
  </si>
  <si>
    <t>Low:</t>
  </si>
  <si>
    <t>High:</t>
  </si>
  <si>
    <t>Base Case Price</t>
  </si>
  <si>
    <t>Table of Contents</t>
  </si>
  <si>
    <t>Initial EV</t>
  </si>
  <si>
    <t>actual EV</t>
  </si>
  <si>
    <t>Base EBITDA Multiple</t>
  </si>
  <si>
    <t>Target IRR</t>
  </si>
  <si>
    <t>Base Premium to Bid</t>
  </si>
  <si>
    <t>Sponsor Premium to Bid</t>
  </si>
  <si>
    <t>Ancora's $1.2bn offer is approximately financeable at normal sponsor return(19% 5 year IRR) but H.B. Fuller could argue this undervalues BAS based on precedent transacions.</t>
  </si>
  <si>
    <t xml:space="preserve">SEC Filings notes: H1'26 BAS =4.7% YoY(6.2% increase Q2), Q2 Margins 16.9%, </t>
  </si>
  <si>
    <t>Debt / Total Cap</t>
  </si>
  <si>
    <t>Manual Transaction Multiples(historical)</t>
  </si>
  <si>
    <t xml:space="preserve">Precedent Discount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</si>
</sst>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0.0;[Red]\(\$#,##0.0\);\-"/>
    <numFmt numFmtId="165" formatCode="0.0\x;[Red]\(0.0\x\);\-"/>
    <numFmt numFmtId="166" formatCode="#,##0;[Red]\(#,##0\);\-"/>
    <numFmt numFmtId="167" formatCode="0.0%"/>
    <numFmt numFmtId="168" formatCode="0.0"/>
    <numFmt numFmtId="169" formatCode="0.0\x"/>
    <numFmt numFmtId="170" formatCode="&quot;$&quot;#,##0"/>
    <numFmt numFmtId="171" formatCode="#,##0.0;\(#,##0.0\);\-"/>
    <numFmt numFmtId="172" formatCode="#,##0.0_);\(#,##0.0\)"/>
    <numFmt numFmtId="173" formatCode="#,##0.00;[Red]\-#,##0.00"/>
    <numFmt numFmtId="174" formatCode="#,##0.00;[Red]\(#,##0.00\)"/>
    <numFmt numFmtId="175" formatCode="#,###"/>
    <numFmt numFmtId="176" formatCode="dd\-mmm\-yyyy"/>
    <numFmt numFmtId="177" formatCode="#,##0.00&quot;%&quot;;[Red]\-#,##0.00&quot;%&quot;"/>
  </numFmts>
  <fonts count="38" x14ac:knownFonts="1">
    <font>
      <sz val="10"/>
      <name val="Arial"/>
      <family val="2"/>
    </font>
    <font>
      <sz val="10"/>
      <name val="Arial"/>
      <family val="2"/>
    </font>
    <font>
      <sz val="10"/>
      <color rgb="FF008000"/>
      <name val="Arial"/>
      <family val="2"/>
    </font>
    <font>
      <sz val="10"/>
      <color rgb="FF0000FF"/>
      <name val="Arial"/>
      <family val="2"/>
    </font>
    <font>
      <sz val="10"/>
      <color rgb="FFFF0000"/>
      <name val="Arial"/>
      <family val="2"/>
    </font>
    <font>
      <b/>
      <sz val="10"/>
      <color rgb="FF000000"/>
      <name val="Arial"/>
      <family val="2"/>
    </font>
    <font>
      <sz val="10"/>
      <color rgb="FF000000"/>
      <name val="Arial"/>
      <family val="2"/>
    </font>
    <font>
      <b/>
      <sz val="10"/>
      <color rgb="FF1F2D3D"/>
      <name val="Arial"/>
      <family val="2"/>
    </font>
    <font>
      <u/>
      <sz val="10"/>
      <color theme="10"/>
      <name val="Arial"/>
      <family val="2"/>
    </font>
    <font>
      <sz val="10"/>
      <color rgb="FF202124"/>
      <name val="Arial"/>
      <family val="2"/>
    </font>
    <font>
      <i/>
      <sz val="10"/>
      <color rgb="FF50647A"/>
      <name val="Arial"/>
      <family val="2"/>
    </font>
    <font>
      <b/>
      <sz val="11"/>
      <color rgb="FF1F2D3D"/>
      <name val="Arial"/>
      <family val="2"/>
    </font>
    <font>
      <b/>
      <sz val="16"/>
      <color rgb="FF1F2D3D"/>
      <name val="Arial"/>
      <family val="2"/>
    </font>
    <font>
      <b/>
      <sz val="10"/>
      <color rgb="FF202124"/>
      <name val="Arial"/>
      <family val="2"/>
    </font>
    <font>
      <b/>
      <sz val="10"/>
      <color rgb="FFFFFFFF"/>
      <name val="Arial"/>
      <family val="2"/>
    </font>
    <font>
      <b/>
      <sz val="10"/>
      <color rgb="FFFF0000"/>
      <name val="Arial"/>
      <family val="2"/>
    </font>
    <font>
      <sz val="10"/>
      <color theme="1"/>
      <name val="Arial"/>
      <family val="2"/>
    </font>
    <font>
      <sz val="14"/>
      <name val="Arial"/>
      <family val="2"/>
    </font>
    <font>
      <b/>
      <sz val="14"/>
      <name val="Arial"/>
      <family val="2"/>
    </font>
    <font>
      <b/>
      <sz val="10"/>
      <name val="Arial"/>
      <family val="2"/>
    </font>
    <font>
      <i/>
      <sz val="10"/>
      <name val="Arial"/>
      <family val="2"/>
    </font>
    <font>
      <b/>
      <sz val="10"/>
      <color rgb="FF0000FF"/>
      <name val="Arial"/>
      <family val="2"/>
    </font>
    <font>
      <b/>
      <sz val="10"/>
      <color theme="1"/>
      <name val="Arial"/>
      <family val="2"/>
    </font>
    <font>
      <i/>
      <sz val="9"/>
      <name val="Arial"/>
      <family val="2"/>
    </font>
    <font>
      <sz val="9"/>
      <name val="Arial"/>
      <family val="2"/>
    </font>
    <font>
      <b/>
      <sz val="12"/>
      <color rgb="FFFFFFFF"/>
      <name val="Arial"/>
      <family val="2"/>
    </font>
    <font>
      <i/>
      <sz val="10"/>
      <color rgb="FF009600"/>
      <name val="Arial"/>
      <family val="2"/>
    </font>
    <font>
      <sz val="10"/>
      <color rgb="FF009600"/>
      <name val="Arial"/>
      <family val="2"/>
    </font>
    <font>
      <sz val="10"/>
      <color theme="0"/>
      <name val="Arial"/>
      <family val="2"/>
    </font>
    <font>
      <sz val="11"/>
      <color theme="1"/>
      <name val="Aptos Narrow"/>
      <family val="2"/>
      <scheme val="minor"/>
    </font>
    <font>
      <sz val="8"/>
      <color rgb="FF000000"/>
      <name val="Open Sans"/>
      <family val="2"/>
    </font>
    <font>
      <sz val="8"/>
      <color rgb="FF26649E"/>
      <name val="Open Sans"/>
      <family val="2"/>
    </font>
    <font>
      <b/>
      <sz val="8"/>
      <color rgb="FFFFFFFF"/>
      <name val="Open Sans"/>
      <family val="2"/>
    </font>
    <font>
      <b/>
      <sz val="8"/>
      <color rgb="FF000000"/>
      <name val="Open Sans"/>
      <family val="2"/>
    </font>
    <font>
      <b/>
      <sz val="8"/>
      <color rgb="FF26649E"/>
      <name val="Open Sans"/>
      <family val="2"/>
    </font>
    <font>
      <b/>
      <sz val="16"/>
      <color rgb="FF000000"/>
      <name val="Open Sans"/>
      <family val="2"/>
    </font>
    <font>
      <sz val="12"/>
      <name val="Arial"/>
      <family val="2"/>
    </font>
    <font>
      <u/>
      <sz val="12"/>
      <color theme="10"/>
      <name val="Arial"/>
      <family val="2"/>
    </font>
  </fonts>
  <fills count="13">
    <fill>
      <patternFill patternType="none"/>
    </fill>
    <fill>
      <patternFill patternType="gray125"/>
    </fill>
    <fill>
      <patternFill patternType="solid">
        <fgColor rgb="FFF3EFD8"/>
      </patternFill>
    </fill>
    <fill>
      <patternFill patternType="solid">
        <fgColor rgb="FFEAF2F8"/>
      </patternFill>
    </fill>
    <fill>
      <patternFill patternType="solid">
        <fgColor rgb="FFDDE5EB"/>
      </patternFill>
    </fill>
    <fill>
      <patternFill patternType="solid">
        <fgColor rgb="FF1F2D3D"/>
      </patternFill>
    </fill>
    <fill>
      <patternFill patternType="solid">
        <fgColor theme="2"/>
        <bgColor indexed="64"/>
      </patternFill>
    </fill>
    <fill>
      <patternFill patternType="solid">
        <fgColor theme="6"/>
        <bgColor indexed="64"/>
      </patternFill>
    </fill>
    <fill>
      <patternFill patternType="solid">
        <fgColor rgb="FFFFFF00"/>
        <bgColor indexed="64"/>
      </patternFill>
    </fill>
    <fill>
      <patternFill patternType="solid">
        <fgColor theme="7"/>
        <bgColor indexed="64"/>
      </patternFill>
    </fill>
    <fill>
      <patternFill patternType="solid">
        <fgColor rgb="FFF8F5EF"/>
      </patternFill>
    </fill>
    <fill>
      <patternFill patternType="solid">
        <fgColor rgb="FF051C38"/>
        <bgColor rgb="FF051C38"/>
      </patternFill>
    </fill>
    <fill>
      <patternFill patternType="solid">
        <fgColor theme="9"/>
        <bgColor indexed="64"/>
      </patternFill>
    </fill>
  </fills>
  <borders count="38">
    <border>
      <left/>
      <right/>
      <top/>
      <bottom/>
      <diagonal/>
    </border>
    <border>
      <left style="thin">
        <color auto="1"/>
      </left>
      <right style="thin">
        <color auto="1"/>
      </right>
      <top style="thin">
        <color auto="1"/>
      </top>
      <bottom style="thin">
        <color auto="1"/>
      </bottom>
      <diagonal/>
    </border>
    <border>
      <left/>
      <right/>
      <top/>
      <bottom style="double">
        <color rgb="FF202124"/>
      </bottom>
      <diagonal/>
    </border>
    <border>
      <left/>
      <right/>
      <top style="thin">
        <color rgb="FF202124"/>
      </top>
      <bottom style="double">
        <color indexed="64"/>
      </bottom>
      <diagonal/>
    </border>
    <border>
      <left style="thin">
        <color rgb="FFEAF2F8"/>
      </left>
      <right/>
      <top style="thin">
        <color rgb="FFEAF2F8"/>
      </top>
      <bottom style="thin">
        <color rgb="FFEAF2F8"/>
      </bottom>
      <diagonal/>
    </border>
    <border>
      <left/>
      <right/>
      <top style="thin">
        <color rgb="FF1F2D3D"/>
      </top>
      <bottom style="thin">
        <color rgb="FF1F2D3D"/>
      </bottom>
      <diagonal/>
    </border>
    <border>
      <left/>
      <right/>
      <top style="thin">
        <color rgb="FF000000"/>
      </top>
      <bottom/>
      <diagonal/>
    </border>
    <border>
      <left/>
      <right/>
      <top/>
      <bottom style="thin">
        <color rgb="FFA7A7A3"/>
      </bottom>
      <diagonal/>
    </border>
    <border>
      <left/>
      <right/>
      <top style="thin">
        <color rgb="FF202124"/>
      </top>
      <bottom/>
      <diagonal/>
    </border>
    <border>
      <left style="thin">
        <color rgb="FFFF0000"/>
      </left>
      <right style="thin">
        <color rgb="FFFF0000"/>
      </right>
      <top style="thin">
        <color rgb="FFFF0000"/>
      </top>
      <bottom style="thin">
        <color rgb="FFFF0000"/>
      </bottom>
      <diagonal/>
    </border>
    <border>
      <left/>
      <right/>
      <top/>
      <bottom style="thin">
        <color indexed="64"/>
      </bottom>
      <diagonal/>
    </border>
    <border>
      <left style="thin">
        <color indexed="64"/>
      </left>
      <right/>
      <top/>
      <bottom/>
      <diagonal/>
    </border>
    <border>
      <left style="thin">
        <color indexed="64"/>
      </left>
      <right/>
      <top/>
      <bottom style="thin">
        <color rgb="FFA7A7A3"/>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rgb="FFA7A7A3"/>
      </bottom>
      <diagonal/>
    </border>
    <border>
      <left/>
      <right style="thin">
        <color indexed="64"/>
      </right>
      <top/>
      <bottom style="thin">
        <color indexed="64"/>
      </bottom>
      <diagonal/>
    </border>
    <border>
      <left style="thin">
        <color indexed="64"/>
      </left>
      <right/>
      <top style="thin">
        <color rgb="FFA7A7A3"/>
      </top>
      <bottom/>
      <diagonal/>
    </border>
    <border>
      <left/>
      <right/>
      <top style="thin">
        <color rgb="FFA7A7A3"/>
      </top>
      <bottom/>
      <diagonal/>
    </border>
    <border>
      <left/>
      <right style="thin">
        <color indexed="64"/>
      </right>
      <top style="thin">
        <color rgb="FFA7A7A3"/>
      </top>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rgb="FFA7A7A3"/>
      </top>
      <bottom style="thin">
        <color indexed="64"/>
      </bottom>
      <diagonal/>
    </border>
    <border>
      <left/>
      <right/>
      <top style="thin">
        <color rgb="FFA7A7A3"/>
      </top>
      <bottom style="thin">
        <color rgb="FFEAF2F8"/>
      </bottom>
      <diagonal/>
    </border>
    <border>
      <left/>
      <right/>
      <top style="thin">
        <color indexed="64"/>
      </top>
      <bottom style="thin">
        <color indexed="64"/>
      </bottom>
      <diagonal/>
    </border>
    <border>
      <left style="thin">
        <color indexed="64"/>
      </left>
      <right/>
      <top style="thin">
        <color rgb="FFA7A7A3"/>
      </top>
      <bottom style="thin">
        <color rgb="FFEAF2F8"/>
      </bottom>
      <diagonal/>
    </border>
    <border>
      <left/>
      <right style="thin">
        <color indexed="64"/>
      </right>
      <top style="thin">
        <color rgb="FFA7A7A3"/>
      </top>
      <bottom style="thin">
        <color rgb="FFEAF2F8"/>
      </bottom>
      <diagonal/>
    </border>
    <border>
      <left/>
      <right/>
      <top/>
      <bottom style="thin">
        <color rgb="FFEAF2F8"/>
      </bottom>
      <diagonal/>
    </border>
    <border>
      <left/>
      <right style="thin">
        <color indexed="64"/>
      </right>
      <top/>
      <bottom style="thin">
        <color rgb="FFEAF2F8"/>
      </bottom>
      <diagonal/>
    </border>
    <border>
      <left/>
      <right style="thin">
        <color rgb="FFD3D3D3"/>
      </right>
      <top/>
      <bottom/>
      <diagonal/>
    </border>
    <border>
      <left/>
      <right style="thin">
        <color rgb="FFA7A7A3"/>
      </right>
      <top style="thin">
        <color rgb="FFA7A7A3"/>
      </top>
      <bottom/>
      <diagonal/>
    </border>
    <border>
      <left/>
      <right style="thin">
        <color rgb="FFA7A7A3"/>
      </right>
      <top/>
      <bottom/>
      <diagonal/>
    </border>
  </borders>
  <cellStyleXfs count="35">
    <xf numFmtId="0" fontId="0" fillId="0" borderId="0"/>
    <xf numFmtId="164" fontId="2" fillId="0" borderId="0">
      <alignment vertical="center"/>
    </xf>
    <xf numFmtId="164" fontId="3" fillId="2" borderId="1" applyNumberFormat="0">
      <alignment vertical="center"/>
    </xf>
    <xf numFmtId="164" fontId="4" fillId="0" borderId="0">
      <alignment vertical="center"/>
    </xf>
    <xf numFmtId="0" fontId="5" fillId="0" borderId="2">
      <alignment horizontal="left" vertical="center"/>
    </xf>
    <xf numFmtId="0" fontId="5" fillId="0" borderId="3" applyAlignment="0">
      <alignment horizontal="left" vertical="center"/>
    </xf>
    <xf numFmtId="164" fontId="6" fillId="0" borderId="0">
      <alignment vertical="center"/>
    </xf>
    <xf numFmtId="164" fontId="3" fillId="2" borderId="0" applyNumberFormat="0">
      <alignment vertical="center"/>
    </xf>
    <xf numFmtId="0" fontId="7" fillId="3" borderId="4" applyNumberFormat="0" applyFont="0" applyAlignment="0"/>
    <xf numFmtId="0" fontId="8" fillId="0" borderId="0" applyNumberFormat="0" applyFill="0" applyBorder="0" applyAlignment="0" applyProtection="0"/>
    <xf numFmtId="0" fontId="9" fillId="0" borderId="0">
      <alignment horizontal="left"/>
    </xf>
    <xf numFmtId="0" fontId="10" fillId="0" borderId="0">
      <alignment horizontal="left"/>
    </xf>
    <xf numFmtId="165" fontId="11" fillId="3" borderId="5">
      <alignment vertical="center"/>
    </xf>
    <xf numFmtId="0" fontId="12" fillId="0" borderId="6">
      <alignment vertical="center"/>
    </xf>
    <xf numFmtId="0" fontId="1" fillId="0" borderId="0"/>
    <xf numFmtId="10" fontId="3" fillId="0" borderId="0" applyFill="0" applyBorder="0"/>
    <xf numFmtId="0" fontId="13" fillId="4" borderId="7" applyNumberFormat="0">
      <alignment vertical="center"/>
    </xf>
    <xf numFmtId="0" fontId="14" fillId="5" borderId="0">
      <alignment vertical="center"/>
    </xf>
    <xf numFmtId="0" fontId="5" fillId="0" borderId="8">
      <alignment horizontal="left" vertical="center"/>
    </xf>
    <xf numFmtId="166" fontId="15" fillId="0" borderId="9">
      <alignment vertical="center"/>
    </xf>
    <xf numFmtId="0" fontId="29" fillId="0" borderId="0"/>
    <xf numFmtId="0" fontId="30" fillId="0" borderId="0">
      <alignment horizontal="left" vertical="center"/>
    </xf>
    <xf numFmtId="0" fontId="31" fillId="0" borderId="35">
      <alignment horizontal="left" vertical="center" indent="1"/>
    </xf>
    <xf numFmtId="0" fontId="30" fillId="0" borderId="35">
      <alignment horizontal="left" vertical="center" indent="1"/>
    </xf>
    <xf numFmtId="0" fontId="30" fillId="0" borderId="35">
      <alignment horizontal="right" vertical="center" indent="1"/>
    </xf>
    <xf numFmtId="0" fontId="31" fillId="10" borderId="35">
      <alignment horizontal="left" vertical="center" indent="1"/>
    </xf>
    <xf numFmtId="0" fontId="30" fillId="10" borderId="35">
      <alignment horizontal="left" vertical="center" indent="1"/>
    </xf>
    <xf numFmtId="0" fontId="30" fillId="10" borderId="35">
      <alignment horizontal="right" vertical="center" indent="1"/>
    </xf>
    <xf numFmtId="0" fontId="32" fillId="0" borderId="0">
      <alignment horizontal="center" vertical="center" wrapText="1"/>
    </xf>
    <xf numFmtId="0" fontId="33" fillId="0" borderId="0">
      <alignment horizontal="left" vertical="top" wrapText="1"/>
    </xf>
    <xf numFmtId="0" fontId="30" fillId="0" borderId="0">
      <alignment horizontal="right" vertical="top"/>
    </xf>
    <xf numFmtId="0" fontId="34" fillId="0" borderId="0">
      <alignment horizontal="left" vertical="top"/>
    </xf>
    <xf numFmtId="0" fontId="33" fillId="0" borderId="0">
      <alignment horizontal="left" vertical="center"/>
    </xf>
    <xf numFmtId="0" fontId="30" fillId="0" borderId="0">
      <alignment horizontal="right" vertical="center"/>
    </xf>
    <xf numFmtId="0" fontId="35" fillId="0" borderId="0">
      <alignment horizontal="left" vertical="center"/>
    </xf>
  </cellStyleXfs>
  <cellXfs count="177">
    <xf numFmtId="0" fontId="0" fillId="0" borderId="0" xfId="0"/>
    <xf numFmtId="10" fontId="0" fillId="0" borderId="0" xfId="0" applyNumberFormat="1"/>
    <xf numFmtId="0" fontId="17" fillId="0" borderId="0" xfId="0" applyFont="1"/>
    <xf numFmtId="0" fontId="18" fillId="0" borderId="0" xfId="0" applyFont="1"/>
    <xf numFmtId="0" fontId="14" fillId="5" borderId="0" xfId="17">
      <alignment vertical="center"/>
    </xf>
    <xf numFmtId="0" fontId="0" fillId="0" borderId="0" xfId="0" applyAlignment="1">
      <alignment horizontal="center"/>
    </xf>
    <xf numFmtId="0" fontId="0" fillId="6" borderId="0" xfId="0" applyFill="1"/>
    <xf numFmtId="0" fontId="13" fillId="4" borderId="7" xfId="16">
      <alignment vertical="center"/>
    </xf>
    <xf numFmtId="0" fontId="19" fillId="0" borderId="0" xfId="0" applyFont="1"/>
    <xf numFmtId="0" fontId="20" fillId="0" borderId="0" xfId="0" applyFont="1"/>
    <xf numFmtId="0" fontId="20" fillId="0" borderId="0" xfId="0" applyFont="1" applyAlignment="1">
      <alignment horizontal="left" indent="1"/>
    </xf>
    <xf numFmtId="0" fontId="0" fillId="0" borderId="10" xfId="0" applyBorder="1"/>
    <xf numFmtId="0" fontId="3" fillId="0" borderId="0" xfId="0" applyFont="1"/>
    <xf numFmtId="167" fontId="0" fillId="0" borderId="0" xfId="0" applyNumberFormat="1"/>
    <xf numFmtId="10" fontId="19" fillId="0" borderId="0" xfId="0" applyNumberFormat="1" applyFont="1"/>
    <xf numFmtId="1" fontId="0" fillId="0" borderId="0" xfId="0" applyNumberFormat="1"/>
    <xf numFmtId="168" fontId="0" fillId="0" borderId="0" xfId="0" applyNumberFormat="1"/>
    <xf numFmtId="0" fontId="13" fillId="4" borderId="12" xfId="16" applyBorder="1">
      <alignment vertical="center"/>
    </xf>
    <xf numFmtId="0" fontId="16" fillId="0" borderId="0" xfId="0" applyFont="1"/>
    <xf numFmtId="0" fontId="0" fillId="0" borderId="11" xfId="0" applyBorder="1"/>
    <xf numFmtId="168" fontId="0" fillId="0" borderId="11" xfId="0" applyNumberFormat="1" applyBorder="1"/>
    <xf numFmtId="0" fontId="0" fillId="0" borderId="13" xfId="0" applyBorder="1"/>
    <xf numFmtId="0" fontId="13" fillId="4" borderId="15" xfId="16" applyBorder="1">
      <alignment vertical="center"/>
    </xf>
    <xf numFmtId="0" fontId="0" fillId="0" borderId="14" xfId="0" applyBorder="1"/>
    <xf numFmtId="168" fontId="0" fillId="0" borderId="14" xfId="0" applyNumberFormat="1" applyBorder="1"/>
    <xf numFmtId="0" fontId="0" fillId="0" borderId="16" xfId="0" applyBorder="1"/>
    <xf numFmtId="10" fontId="3" fillId="0" borderId="14" xfId="0" applyNumberFormat="1" applyFont="1" applyBorder="1"/>
    <xf numFmtId="0" fontId="23" fillId="0" borderId="0" xfId="0" applyFont="1" applyAlignment="1">
      <alignment horizontal="left" indent="1"/>
    </xf>
    <xf numFmtId="0" fontId="24" fillId="0" borderId="0" xfId="0" applyFont="1"/>
    <xf numFmtId="1" fontId="19" fillId="0" borderId="17" xfId="0" applyNumberFormat="1" applyFont="1" applyBorder="1"/>
    <xf numFmtId="1" fontId="19" fillId="0" borderId="18" xfId="0" applyNumberFormat="1" applyFont="1" applyBorder="1"/>
    <xf numFmtId="1" fontId="19" fillId="0" borderId="19" xfId="0" applyNumberFormat="1" applyFont="1" applyBorder="1"/>
    <xf numFmtId="0" fontId="19" fillId="0" borderId="11" xfId="0" applyFont="1" applyBorder="1"/>
    <xf numFmtId="0" fontId="19" fillId="0" borderId="14" xfId="0" applyFont="1" applyBorder="1"/>
    <xf numFmtId="0" fontId="19" fillId="0" borderId="21" xfId="0" applyFont="1" applyBorder="1"/>
    <xf numFmtId="0" fontId="20" fillId="0" borderId="11" xfId="0" applyFont="1" applyBorder="1"/>
    <xf numFmtId="0" fontId="20" fillId="0" borderId="14" xfId="0" applyFont="1" applyBorder="1"/>
    <xf numFmtId="1" fontId="19" fillId="0" borderId="21" xfId="0" applyNumberFormat="1" applyFont="1" applyBorder="1"/>
    <xf numFmtId="1" fontId="19" fillId="0" borderId="22" xfId="0" applyNumberFormat="1" applyFont="1" applyBorder="1"/>
    <xf numFmtId="1" fontId="19" fillId="0" borderId="20" xfId="0" applyNumberFormat="1" applyFont="1" applyBorder="1"/>
    <xf numFmtId="168" fontId="22" fillId="0" borderId="11" xfId="0" applyNumberFormat="1" applyFont="1" applyBorder="1"/>
    <xf numFmtId="168" fontId="22" fillId="0" borderId="0" xfId="0" applyNumberFormat="1" applyFont="1"/>
    <xf numFmtId="168" fontId="22" fillId="0" borderId="14" xfId="0" applyNumberFormat="1" applyFont="1" applyBorder="1"/>
    <xf numFmtId="167" fontId="0" fillId="0" borderId="0" xfId="0" applyNumberFormat="1" applyAlignment="1">
      <alignment horizontal="left"/>
    </xf>
    <xf numFmtId="167" fontId="20" fillId="0" borderId="0" xfId="0" applyNumberFormat="1" applyFont="1"/>
    <xf numFmtId="167" fontId="3" fillId="0" borderId="11" xfId="0" applyNumberFormat="1" applyFont="1" applyBorder="1"/>
    <xf numFmtId="167" fontId="3" fillId="0" borderId="0" xfId="0" applyNumberFormat="1" applyFont="1"/>
    <xf numFmtId="167" fontId="3" fillId="0" borderId="14" xfId="0" applyNumberFormat="1" applyFont="1" applyBorder="1"/>
    <xf numFmtId="167" fontId="3" fillId="0" borderId="10" xfId="0" applyNumberFormat="1" applyFont="1" applyBorder="1"/>
    <xf numFmtId="167" fontId="3" fillId="0" borderId="16" xfId="0" applyNumberFormat="1" applyFont="1" applyBorder="1"/>
    <xf numFmtId="167" fontId="23" fillId="0" borderId="0" xfId="0" applyNumberFormat="1" applyFont="1"/>
    <xf numFmtId="167" fontId="23" fillId="0" borderId="11" xfId="0" applyNumberFormat="1" applyFont="1" applyBorder="1"/>
    <xf numFmtId="167" fontId="23" fillId="0" borderId="14" xfId="0" applyNumberFormat="1" applyFont="1" applyBorder="1"/>
    <xf numFmtId="167" fontId="24" fillId="0" borderId="0" xfId="0" applyNumberFormat="1" applyFont="1"/>
    <xf numFmtId="167" fontId="24" fillId="0" borderId="11" xfId="0" applyNumberFormat="1" applyFont="1" applyBorder="1"/>
    <xf numFmtId="167" fontId="24" fillId="0" borderId="14" xfId="0" applyNumberFormat="1" applyFont="1" applyBorder="1"/>
    <xf numFmtId="10" fontId="16" fillId="0" borderId="0" xfId="0" applyNumberFormat="1" applyFont="1"/>
    <xf numFmtId="0" fontId="25" fillId="5" borderId="0" xfId="17" applyFont="1">
      <alignment vertical="center"/>
    </xf>
    <xf numFmtId="0" fontId="0" fillId="0" borderId="23" xfId="0" applyBorder="1"/>
    <xf numFmtId="0" fontId="0" fillId="0" borderId="24" xfId="0" applyBorder="1"/>
    <xf numFmtId="0" fontId="21" fillId="8" borderId="24" xfId="0" applyFont="1" applyFill="1" applyBorder="1"/>
    <xf numFmtId="0" fontId="14" fillId="0" borderId="0" xfId="17" applyFill="1">
      <alignment vertical="center"/>
    </xf>
    <xf numFmtId="0" fontId="25" fillId="5" borderId="25" xfId="17" applyFont="1" applyBorder="1">
      <alignment vertical="center"/>
    </xf>
    <xf numFmtId="0" fontId="14" fillId="5" borderId="26" xfId="17" applyBorder="1">
      <alignment vertical="center"/>
    </xf>
    <xf numFmtId="0" fontId="14" fillId="5" borderId="27" xfId="17" applyBorder="1">
      <alignment vertical="center"/>
    </xf>
    <xf numFmtId="0" fontId="3" fillId="0" borderId="14" xfId="0" applyFont="1" applyBorder="1"/>
    <xf numFmtId="0" fontId="3" fillId="0" borderId="16" xfId="0" applyFont="1" applyBorder="1"/>
    <xf numFmtId="0" fontId="22" fillId="0" borderId="0" xfId="17" applyFont="1" applyFill="1">
      <alignment vertical="center"/>
    </xf>
    <xf numFmtId="0" fontId="16" fillId="0" borderId="14" xfId="0" applyFont="1" applyBorder="1"/>
    <xf numFmtId="170" fontId="3" fillId="0" borderId="14" xfId="0" applyNumberFormat="1" applyFont="1" applyBorder="1"/>
    <xf numFmtId="167" fontId="26" fillId="0" borderId="11" xfId="0" applyNumberFormat="1" applyFont="1" applyBorder="1"/>
    <xf numFmtId="167" fontId="26" fillId="0" borderId="0" xfId="0" applyNumberFormat="1" applyFont="1"/>
    <xf numFmtId="167" fontId="26" fillId="0" borderId="14" xfId="0" applyNumberFormat="1" applyFont="1" applyBorder="1"/>
    <xf numFmtId="167" fontId="27" fillId="0" borderId="0" xfId="0" applyNumberFormat="1" applyFont="1"/>
    <xf numFmtId="167" fontId="27" fillId="0" borderId="14" xfId="0" applyNumberFormat="1" applyFont="1" applyBorder="1"/>
    <xf numFmtId="167" fontId="27" fillId="0" borderId="10" xfId="0" applyNumberFormat="1" applyFont="1" applyBorder="1"/>
    <xf numFmtId="167" fontId="27" fillId="0" borderId="16" xfId="0" applyNumberFormat="1" applyFont="1" applyBorder="1"/>
    <xf numFmtId="167" fontId="26" fillId="0" borderId="13" xfId="0" applyNumberFormat="1" applyFont="1" applyBorder="1"/>
    <xf numFmtId="0" fontId="28" fillId="0" borderId="0" xfId="0" applyFont="1"/>
    <xf numFmtId="0" fontId="19" fillId="0" borderId="26" xfId="0" applyFont="1" applyBorder="1"/>
    <xf numFmtId="168" fontId="0" fillId="0" borderId="26" xfId="0" applyNumberFormat="1" applyBorder="1"/>
    <xf numFmtId="168" fontId="19" fillId="0" borderId="26" xfId="0" applyNumberFormat="1" applyFont="1" applyBorder="1"/>
    <xf numFmtId="169" fontId="0" fillId="0" borderId="0" xfId="0" applyNumberFormat="1"/>
    <xf numFmtId="0" fontId="13" fillId="4" borderId="0" xfId="16" applyBorder="1">
      <alignment vertical="center"/>
    </xf>
    <xf numFmtId="0" fontId="3" fillId="2" borderId="0" xfId="7" applyNumberFormat="1">
      <alignment vertical="center"/>
    </xf>
    <xf numFmtId="10" fontId="3" fillId="2" borderId="0" xfId="7" applyNumberFormat="1">
      <alignment vertical="center"/>
    </xf>
    <xf numFmtId="0" fontId="19" fillId="0" borderId="10" xfId="0" applyFont="1" applyBorder="1"/>
    <xf numFmtId="171" fontId="0" fillId="0" borderId="0" xfId="0" applyNumberFormat="1"/>
    <xf numFmtId="171" fontId="19" fillId="0" borderId="10" xfId="0" applyNumberFormat="1" applyFont="1" applyBorder="1"/>
    <xf numFmtId="0" fontId="19" fillId="0" borderId="28" xfId="0" applyFont="1" applyBorder="1"/>
    <xf numFmtId="172" fontId="19" fillId="0" borderId="0" xfId="0" applyNumberFormat="1" applyFont="1"/>
    <xf numFmtId="168" fontId="19" fillId="0" borderId="0" xfId="0" applyNumberFormat="1" applyFont="1"/>
    <xf numFmtId="168" fontId="19" fillId="0" borderId="21" xfId="0" applyNumberFormat="1" applyFont="1" applyBorder="1"/>
    <xf numFmtId="0" fontId="19" fillId="3" borderId="4" xfId="8" applyFont="1"/>
    <xf numFmtId="169" fontId="19" fillId="3" borderId="4" xfId="8" applyNumberFormat="1" applyFont="1"/>
    <xf numFmtId="10" fontId="19" fillId="3" borderId="4" xfId="8" applyNumberFormat="1" applyFont="1"/>
    <xf numFmtId="0" fontId="0" fillId="0" borderId="30" xfId="0" applyBorder="1"/>
    <xf numFmtId="0" fontId="0" fillId="6" borderId="25" xfId="0" applyFill="1" applyBorder="1"/>
    <xf numFmtId="1" fontId="0" fillId="0" borderId="14" xfId="0" applyNumberFormat="1" applyBorder="1"/>
    <xf numFmtId="0" fontId="0" fillId="0" borderId="11" xfId="0" applyBorder="1" applyAlignment="1">
      <alignment horizontal="left" indent="1"/>
    </xf>
    <xf numFmtId="0" fontId="20" fillId="0" borderId="11" xfId="0" applyFont="1" applyBorder="1" applyAlignment="1">
      <alignment horizontal="left" indent="1"/>
    </xf>
    <xf numFmtId="0" fontId="19" fillId="0" borderId="23" xfId="0" applyFont="1" applyBorder="1"/>
    <xf numFmtId="0" fontId="13" fillId="4" borderId="14" xfId="16" applyBorder="1">
      <alignment vertical="center"/>
    </xf>
    <xf numFmtId="10" fontId="20" fillId="0" borderId="0" xfId="0" applyNumberFormat="1" applyFont="1"/>
    <xf numFmtId="10" fontId="20" fillId="0" borderId="14" xfId="0" applyNumberFormat="1" applyFont="1" applyBorder="1"/>
    <xf numFmtId="168" fontId="16" fillId="0" borderId="11" xfId="0" applyNumberFormat="1" applyFont="1" applyBorder="1"/>
    <xf numFmtId="168" fontId="16" fillId="0" borderId="0" xfId="0" applyNumberFormat="1" applyFont="1"/>
    <xf numFmtId="168" fontId="16" fillId="0" borderId="14" xfId="0" applyNumberFormat="1" applyFont="1" applyBorder="1"/>
    <xf numFmtId="168" fontId="20" fillId="0" borderId="11" xfId="0" applyNumberFormat="1" applyFont="1" applyBorder="1"/>
    <xf numFmtId="168" fontId="20" fillId="0" borderId="0" xfId="0" applyNumberFormat="1" applyFont="1"/>
    <xf numFmtId="168" fontId="20" fillId="0" borderId="14" xfId="0" applyNumberFormat="1" applyFont="1" applyBorder="1"/>
    <xf numFmtId="0" fontId="29" fillId="0" borderId="0" xfId="20"/>
    <xf numFmtId="0" fontId="30" fillId="0" borderId="0" xfId="21">
      <alignment horizontal="left" vertical="center"/>
    </xf>
    <xf numFmtId="0" fontId="31" fillId="0" borderId="35" xfId="22">
      <alignment horizontal="left" vertical="center" indent="1"/>
    </xf>
    <xf numFmtId="0" fontId="30" fillId="0" borderId="35" xfId="23">
      <alignment horizontal="left" vertical="center" indent="1"/>
    </xf>
    <xf numFmtId="173" fontId="30" fillId="0" borderId="35" xfId="24" applyNumberFormat="1">
      <alignment horizontal="right" vertical="center" indent="1"/>
    </xf>
    <xf numFmtId="174" fontId="30" fillId="0" borderId="35" xfId="24" applyNumberFormat="1">
      <alignment horizontal="right" vertical="center" indent="1"/>
    </xf>
    <xf numFmtId="175" fontId="30" fillId="0" borderId="35" xfId="23" applyNumberFormat="1">
      <alignment horizontal="left" vertical="center" indent="1"/>
    </xf>
    <xf numFmtId="176" fontId="30" fillId="0" borderId="35" xfId="24" applyNumberFormat="1">
      <alignment horizontal="right" vertical="center" indent="1"/>
    </xf>
    <xf numFmtId="177" fontId="30" fillId="0" borderId="35" xfId="24" applyNumberFormat="1">
      <alignment horizontal="right" vertical="center" indent="1"/>
    </xf>
    <xf numFmtId="0" fontId="30" fillId="0" borderId="35" xfId="24">
      <alignment horizontal="right" vertical="center" indent="1"/>
    </xf>
    <xf numFmtId="0" fontId="31" fillId="10" borderId="35" xfId="25">
      <alignment horizontal="left" vertical="center" indent="1"/>
    </xf>
    <xf numFmtId="0" fontId="30" fillId="10" borderId="35" xfId="26">
      <alignment horizontal="left" vertical="center" indent="1"/>
    </xf>
    <xf numFmtId="173" fontId="30" fillId="10" borderId="35" xfId="27" applyNumberFormat="1">
      <alignment horizontal="right" vertical="center" indent="1"/>
    </xf>
    <xf numFmtId="174" fontId="30" fillId="10" borderId="35" xfId="27" applyNumberFormat="1">
      <alignment horizontal="right" vertical="center" indent="1"/>
    </xf>
    <xf numFmtId="175" fontId="30" fillId="10" borderId="35" xfId="26" applyNumberFormat="1">
      <alignment horizontal="left" vertical="center" indent="1"/>
    </xf>
    <xf numFmtId="176" fontId="30" fillId="10" borderId="35" xfId="27" applyNumberFormat="1">
      <alignment horizontal="right" vertical="center" indent="1"/>
    </xf>
    <xf numFmtId="177" fontId="30" fillId="10" borderId="35" xfId="27" applyNumberFormat="1">
      <alignment horizontal="right" vertical="center" indent="1"/>
    </xf>
    <xf numFmtId="0" fontId="30" fillId="10" borderId="35" xfId="27">
      <alignment horizontal="right" vertical="center" indent="1"/>
    </xf>
    <xf numFmtId="0" fontId="32" fillId="11" borderId="0" xfId="28" applyFill="1">
      <alignment horizontal="center" vertical="center" wrapText="1"/>
    </xf>
    <xf numFmtId="0" fontId="30" fillId="0" borderId="0" xfId="30">
      <alignment horizontal="right" vertical="top"/>
    </xf>
    <xf numFmtId="0" fontId="34" fillId="0" borderId="0" xfId="31">
      <alignment horizontal="left" vertical="top"/>
    </xf>
    <xf numFmtId="0" fontId="33" fillId="0" borderId="0" xfId="32">
      <alignment horizontal="left" vertical="center"/>
    </xf>
    <xf numFmtId="0" fontId="30" fillId="0" borderId="0" xfId="33">
      <alignment horizontal="right" vertical="center"/>
    </xf>
    <xf numFmtId="176" fontId="33" fillId="0" borderId="0" xfId="32" applyNumberFormat="1">
      <alignment horizontal="left" vertical="center"/>
    </xf>
    <xf numFmtId="0" fontId="35" fillId="0" borderId="0" xfId="34">
      <alignment horizontal="left" vertical="center"/>
    </xf>
    <xf numFmtId="0" fontId="33" fillId="0" borderId="0" xfId="29">
      <alignment horizontal="left" vertical="top" wrapText="1"/>
    </xf>
    <xf numFmtId="169" fontId="3" fillId="0" borderId="13" xfId="0" applyNumberFormat="1" applyFont="1" applyBorder="1"/>
    <xf numFmtId="9" fontId="3" fillId="0" borderId="14" xfId="0" applyNumberFormat="1" applyFont="1" applyBorder="1"/>
    <xf numFmtId="169" fontId="16" fillId="0" borderId="14" xfId="0" applyNumberFormat="1" applyFont="1" applyBorder="1"/>
    <xf numFmtId="0" fontId="3" fillId="0" borderId="10" xfId="0" applyFont="1" applyBorder="1"/>
    <xf numFmtId="0" fontId="36" fillId="0" borderId="0" xfId="0" applyFont="1"/>
    <xf numFmtId="1" fontId="3" fillId="0" borderId="0" xfId="0" applyNumberFormat="1" applyFont="1"/>
    <xf numFmtId="1" fontId="19" fillId="0" borderId="26" xfId="0" applyNumberFormat="1" applyFont="1" applyBorder="1"/>
    <xf numFmtId="10" fontId="19" fillId="0" borderId="26" xfId="0" applyNumberFormat="1" applyFont="1" applyBorder="1"/>
    <xf numFmtId="169" fontId="19" fillId="0" borderId="26" xfId="0" applyNumberFormat="1" applyFont="1" applyBorder="1"/>
    <xf numFmtId="167" fontId="21" fillId="0" borderId="11" xfId="0" applyNumberFormat="1" applyFont="1" applyBorder="1"/>
    <xf numFmtId="10" fontId="0" fillId="6" borderId="36" xfId="0" applyNumberFormat="1" applyFill="1" applyBorder="1" applyAlignment="1">
      <alignment horizontal="center"/>
    </xf>
    <xf numFmtId="169" fontId="0" fillId="6" borderId="37" xfId="0" applyNumberFormat="1" applyFill="1" applyBorder="1"/>
    <xf numFmtId="169" fontId="0" fillId="6" borderId="36" xfId="0" applyNumberFormat="1" applyFill="1" applyBorder="1" applyAlignment="1">
      <alignment horizontal="center"/>
    </xf>
    <xf numFmtId="169" fontId="27" fillId="0" borderId="14" xfId="0" applyNumberFormat="1" applyFont="1" applyBorder="1"/>
    <xf numFmtId="169" fontId="27" fillId="0" borderId="16" xfId="0" applyNumberFormat="1" applyFont="1" applyBorder="1"/>
    <xf numFmtId="169" fontId="3" fillId="0" borderId="0" xfId="0" applyNumberFormat="1" applyFont="1"/>
    <xf numFmtId="169" fontId="13" fillId="4" borderId="7" xfId="16" applyNumberFormat="1">
      <alignment vertical="center"/>
    </xf>
    <xf numFmtId="0" fontId="27" fillId="0" borderId="14" xfId="0" applyFont="1" applyBorder="1"/>
    <xf numFmtId="0" fontId="37" fillId="0" borderId="0" xfId="9" applyFont="1"/>
    <xf numFmtId="1" fontId="3" fillId="2" borderId="0" xfId="7" applyNumberFormat="1">
      <alignment vertical="center"/>
    </xf>
    <xf numFmtId="0" fontId="19" fillId="6" borderId="13" xfId="0" applyFont="1" applyFill="1" applyBorder="1" applyAlignment="1">
      <alignment horizontal="center"/>
    </xf>
    <xf numFmtId="0" fontId="19" fillId="6" borderId="10" xfId="0" applyFont="1" applyFill="1" applyBorder="1" applyAlignment="1">
      <alignment horizontal="center"/>
    </xf>
    <xf numFmtId="0" fontId="19" fillId="6" borderId="16" xfId="0" applyFont="1" applyFill="1" applyBorder="1" applyAlignment="1">
      <alignment horizontal="center"/>
    </xf>
    <xf numFmtId="0" fontId="0" fillId="0" borderId="0" xfId="0" applyAlignment="1">
      <alignment horizontal="center" vertical="center" wrapText="1"/>
    </xf>
    <xf numFmtId="0" fontId="19" fillId="6" borderId="0" xfId="0" applyFont="1" applyFill="1" applyAlignment="1">
      <alignment horizontal="center"/>
    </xf>
    <xf numFmtId="0" fontId="19" fillId="7" borderId="11" xfId="0" applyFont="1" applyFill="1" applyBorder="1" applyAlignment="1">
      <alignment horizontal="center"/>
    </xf>
    <xf numFmtId="0" fontId="19" fillId="7" borderId="0" xfId="0" applyFont="1" applyFill="1" applyAlignment="1">
      <alignment horizontal="center"/>
    </xf>
    <xf numFmtId="0" fontId="19" fillId="7" borderId="14" xfId="0" applyFont="1" applyFill="1" applyBorder="1" applyAlignment="1">
      <alignment horizontal="center"/>
    </xf>
    <xf numFmtId="0" fontId="0" fillId="0" borderId="0" xfId="0" applyAlignment="1">
      <alignment horizontal="center" wrapText="1"/>
    </xf>
    <xf numFmtId="0" fontId="13" fillId="9" borderId="31" xfId="8" applyFont="1" applyFill="1" applyBorder="1" applyAlignment="1">
      <alignment horizontal="center" vertical="center"/>
    </xf>
    <xf numFmtId="0" fontId="13" fillId="9" borderId="33" xfId="8" applyFont="1" applyFill="1" applyBorder="1" applyAlignment="1">
      <alignment horizontal="center" vertical="center"/>
    </xf>
    <xf numFmtId="0" fontId="13" fillId="9" borderId="34" xfId="8" applyFont="1" applyFill="1" applyBorder="1" applyAlignment="1">
      <alignment horizontal="center" vertical="center"/>
    </xf>
    <xf numFmtId="0" fontId="13" fillId="9" borderId="29" xfId="8" applyFont="1" applyFill="1" applyBorder="1" applyAlignment="1">
      <alignment horizontal="center" vertical="center"/>
    </xf>
    <xf numFmtId="0" fontId="13" fillId="9" borderId="32" xfId="8" applyFont="1" applyFill="1" applyBorder="1" applyAlignment="1">
      <alignment horizontal="center" vertical="center"/>
    </xf>
    <xf numFmtId="0" fontId="13" fillId="7" borderId="7" xfId="16" applyFill="1" applyAlignment="1">
      <alignment horizontal="center" vertical="center"/>
    </xf>
    <xf numFmtId="0" fontId="13" fillId="4" borderId="7" xfId="16" applyAlignment="1">
      <alignment horizontal="center" vertical="center"/>
    </xf>
    <xf numFmtId="0" fontId="16" fillId="12" borderId="18" xfId="0" applyFont="1" applyFill="1" applyBorder="1" applyAlignment="1">
      <alignment horizontal="center" vertical="center" wrapText="1"/>
    </xf>
    <xf numFmtId="0" fontId="16" fillId="12" borderId="0" xfId="0" applyFont="1" applyFill="1" applyAlignment="1">
      <alignment horizontal="center" vertical="center" wrapText="1"/>
    </xf>
    <xf numFmtId="167" fontId="16" fillId="0" borderId="0" xfId="0" applyNumberFormat="1" applyFont="1"/>
    <xf numFmtId="0" fontId="8" fillId="0" borderId="0" xfId="9"/>
  </cellXfs>
  <cellStyles count="35">
    <cellStyle name="bold" xfId="32" xr:uid="{3B7312B0-9723-A947-B994-E6397B2192A5}"/>
    <cellStyle name="Cross-sheet link" xfId="1" xr:uid="{4075A434-C431-7C4F-BF90-00EA6A131AD3}"/>
    <cellStyle name="defaultStyle" xfId="21" xr:uid="{EE3691FF-8BC3-0349-A2E8-481757F3598E}"/>
    <cellStyle name="drivers" xfId="2" xr:uid="{045DBE55-C332-9C4E-83E0-4CA07BD8B7CC}"/>
    <cellStyle name="External link" xfId="3" xr:uid="{F8C2ABBD-C60C-BF41-8DA9-4CA38EFD671B}"/>
    <cellStyle name="Final total" xfId="4" xr:uid="{ED6A1F2F-6E80-6D44-B538-BA9FB449FC64}"/>
    <cellStyle name="Final total 2" xfId="5" xr:uid="{FB3378E4-C46B-8D4D-AED2-93E97A72078A}"/>
    <cellStyle name="fontSize16Bold" xfId="34" xr:uid="{3D2AE2B1-D056-E84F-937A-540467A8ACCB}"/>
    <cellStyle name="Formula" xfId="6" xr:uid="{B59E2863-D4F3-AF48-84ED-4ED947250A68}"/>
    <cellStyle name="hardcode2" xfId="7" xr:uid="{44344657-0C84-9A4E-AC76-D85D607C33EF}"/>
    <cellStyle name="Highlighted row" xfId="8" xr:uid="{22F6B7BA-5943-6446-B2DE-D96F571B877F}"/>
    <cellStyle name="horizontalCenterWrapWhiteBold" xfId="28" xr:uid="{BCFF4E67-5429-994F-A3E8-2B73D18F3733}"/>
    <cellStyle name="horizontalRight" xfId="33" xr:uid="{F2DE83B4-AB95-AD4F-AEC9-F6BE1390029D}"/>
    <cellStyle name="Hyperlink" xfId="9" builtinId="8"/>
    <cellStyle name="Indented row label" xfId="10" xr:uid="{ABE5BAE3-88C0-4346-B825-3A75AE39AB91}"/>
    <cellStyle name="indented submetric" xfId="11" xr:uid="{268723C8-E496-1940-9C2F-A1FBD490C285}"/>
    <cellStyle name="Key Output" xfId="12" xr:uid="{9EC0A2E3-F4CF-7F4B-8D17-D405079ACA7B}"/>
    <cellStyle name="Main Title" xfId="13" xr:uid="{73F6E4A6-85A7-6047-A74E-E82FE7535420}"/>
    <cellStyle name="Normal" xfId="0" builtinId="0" customBuiltin="1"/>
    <cellStyle name="Normal 2" xfId="14" xr:uid="{6E3B5E7B-DF43-DB42-9601-21131D57018F}"/>
    <cellStyle name="Normal 3" xfId="20" xr:uid="{CFA89D7F-1F2A-8E43-AE1B-0621AA4128B4}"/>
    <cellStyle name="percent1" xfId="15" xr:uid="{EC0E8868-E8D3-E04D-B79F-71BC8D4AEBC1}"/>
    <cellStyle name="Section Header" xfId="16" xr:uid="{3A82D9B2-68CC-3D46-898E-5693A20B90C5}"/>
    <cellStyle name="SECTIONHEADER" xfId="17" xr:uid="{C8618F12-9103-DB4D-AC92-31F44CC11A8D}"/>
    <cellStyle name="Subtotal" xfId="18" xr:uid="{8AFBA0E5-0105-8142-937C-E2327AB9A56E}"/>
    <cellStyle name="tableCellStyleLeft" xfId="23" xr:uid="{3DE1E752-6C0E-2140-9F18-14F8F0F1FA4D}"/>
    <cellStyle name="tableCellStyleLeftColored" xfId="26" xr:uid="{A0DD78CA-A75C-6044-8F60-AC081A63F7D1}"/>
    <cellStyle name="tableCellStyleLeftHyperlink" xfId="22" xr:uid="{7DC055CF-784C-424F-8D46-7EE6BCC06504}"/>
    <cellStyle name="tableCellStyleLeftHyperlinkColored" xfId="25" xr:uid="{D3EBE336-240B-A645-B8CC-F446C8D97FD9}"/>
    <cellStyle name="tableCellStyleRight" xfId="24" xr:uid="{4E71C52B-447C-3E46-92AB-929FEE6F6ED0}"/>
    <cellStyle name="tableCellStyleRightColored" xfId="27" xr:uid="{5D696DC3-E3EC-A341-8B6C-3D8C2C1E3FAA}"/>
    <cellStyle name="verticalTopBoldWrapBold" xfId="29" xr:uid="{35A66225-2962-BF49-90EF-E45D10ECB05B}"/>
    <cellStyle name="verticalTopHorizontalRight" xfId="30" xr:uid="{ABAADF79-8E40-D24C-9501-25F30FAC39BA}"/>
    <cellStyle name="verticalTopHyperlinkBold" xfId="31" xr:uid="{F02ED3BF-12D9-2848-9851-EA4F9E6516C5}"/>
    <cellStyle name="Warning check" xfId="19" xr:uid="{753E4493-B2A4-1942-B090-94575FF4D42E}"/>
  </cellStyles>
  <dxfs count="0"/>
  <tableStyles count="0" defaultTableStyle="TableStyleMedium2" defaultPivotStyle="PivotStyleLight16"/>
  <colors>
    <mruColors>
      <color rgb="FF0000FF"/>
      <color rgb="FF009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absoluteAnchor>
    <xdr:pos x="85725" y="85725"/>
    <xdr:ext cx="1314450" cy="219075"/>
    <xdr:pic>
      <xdr:nvPicPr>
        <xdr:cNvPr id="2" name="Graphic 1">
          <a:extLst>
            <a:ext uri="{FF2B5EF4-FFF2-40B4-BE49-F238E27FC236}">
              <a16:creationId xmlns:a16="http://schemas.microsoft.com/office/drawing/2014/main" id="{C8C60C04-6104-2741-B8B4-D9B450784CD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a:fillRect/>
        </a:stretch>
      </xdr:blipFill>
      <xdr:spPr>
        <a:xfrm>
          <a:off x="85725" y="85725"/>
          <a:ext cx="1314450" cy="219075"/>
        </a:xfrm>
        <a:prstGeom prst="rect">
          <a:avLst/>
        </a:prstGeom>
        <a:effectLst/>
      </xdr:spPr>
    </xdr:pic>
    <xdr:clientData/>
  </xdr:absoluteAnchor>
</xdr:wsDr>
</file>

<file path=xl/theme/theme1.xml><?xml version="1.0" encoding="utf-8"?>
<a:theme xmlns:a="http://schemas.openxmlformats.org/drawingml/2006/main" name="Office Theme">
  <a:themeElements>
    <a:clrScheme name="202124">
      <a:dk1>
        <a:srgbClr val="202024"/>
      </a:dk1>
      <a:lt1>
        <a:srgbClr val="FFFFFF"/>
      </a:lt1>
      <a:dk2>
        <a:srgbClr val="1F2C3C"/>
      </a:dk2>
      <a:lt2>
        <a:srgbClr val="DDE5EB"/>
      </a:lt2>
      <a:accent1>
        <a:srgbClr val="506479"/>
      </a:accent1>
      <a:accent2>
        <a:srgbClr val="777DB8"/>
      </a:accent2>
      <a:accent3>
        <a:srgbClr val="91B9D5"/>
      </a:accent3>
      <a:accent4>
        <a:srgbClr val="C3B96E"/>
      </a:accent4>
      <a:accent5>
        <a:srgbClr val="EAF2F8"/>
      </a:accent5>
      <a:accent6>
        <a:srgbClr val="F3EFD8"/>
      </a:accent6>
      <a:hlink>
        <a:srgbClr val="0563C1"/>
      </a:hlink>
      <a:folHlink>
        <a:srgbClr val="954F71"/>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y.pitchbook.com/?pcc=1380958-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55931-3BDE-2B47-B938-407A1B7C7E98}">
  <dimension ref="B2:B14"/>
  <sheetViews>
    <sheetView showGridLines="0" workbookViewId="0"/>
  </sheetViews>
  <sheetFormatPr baseColWidth="10" defaultRowHeight="13" x14ac:dyDescent="0.15"/>
  <cols>
    <col min="2" max="2" width="30.5" customWidth="1"/>
  </cols>
  <sheetData>
    <row r="2" spans="2:2" ht="16" x14ac:dyDescent="0.15">
      <c r="B2" s="57" t="s">
        <v>266</v>
      </c>
    </row>
    <row r="3" spans="2:2" ht="16" x14ac:dyDescent="0.2">
      <c r="B3" s="141"/>
    </row>
    <row r="4" spans="2:2" ht="16" x14ac:dyDescent="0.2">
      <c r="B4" s="155" t="str">
        <f>HYPERLINK("#'Assumptions Tab'!A1","Assumptions Tab")</f>
        <v>Assumptions Tab</v>
      </c>
    </row>
    <row r="5" spans="2:2" ht="16" x14ac:dyDescent="0.2">
      <c r="B5" s="155" t="str">
        <f>HYPERLINK("#'Sources And Uses'!A1","Sources And Uses")</f>
        <v>Sources And Uses</v>
      </c>
    </row>
    <row r="6" spans="2:2" ht="16" x14ac:dyDescent="0.2">
      <c r="B6" s="155" t="str">
        <f>HYPERLINK("#'H.B. Fuller Operating'!A1","H.B. Fuller BAS Operating")</f>
        <v>H.B. Fuller BAS Operating</v>
      </c>
    </row>
    <row r="7" spans="2:2" ht="16" x14ac:dyDescent="0.2">
      <c r="B7" s="155" t="str">
        <f>HYPERLINK("#'Bas Carveout'!A1","BAS Carveout")</f>
        <v>BAS Carveout</v>
      </c>
    </row>
    <row r="8" spans="2:2" ht="16" x14ac:dyDescent="0.2">
      <c r="B8" s="155" t="str">
        <f>HYPERLINK("#'Debt Schedule'!A1","Debt Schedule")</f>
        <v>Debt Schedule</v>
      </c>
    </row>
    <row r="9" spans="2:2" ht="16" x14ac:dyDescent="0.2">
      <c r="B9" s="141"/>
    </row>
    <row r="10" spans="2:2" ht="16" x14ac:dyDescent="0.2">
      <c r="B10" s="155" t="str">
        <f>HYPERLINK("#'LBO Returns Exit'!A1","LBO Returns Exit")</f>
        <v>LBO Returns Exit</v>
      </c>
    </row>
    <row r="11" spans="2:2" ht="16" x14ac:dyDescent="0.2">
      <c r="B11" s="155" t="str">
        <f>HYPERLINK("#'Seller Impact'!A1","Seller Impact")</f>
        <v>Seller Impact</v>
      </c>
    </row>
    <row r="12" spans="2:2" ht="16" x14ac:dyDescent="0.2">
      <c r="B12" s="141"/>
    </row>
    <row r="13" spans="2:2" ht="16" x14ac:dyDescent="0.2">
      <c r="B13" s="155" t="str">
        <f>HYPERLINK("#'Comps'!A1","Precedent Transaction Analysis")</f>
        <v>Precedent Transaction Analysis</v>
      </c>
    </row>
    <row r="14" spans="2:2" ht="16" x14ac:dyDescent="0.2">
      <c r="B14" s="14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9A04-1205-7F44-999C-E3260BAA72AF}">
  <sheetPr codeName="Sheet2"/>
  <dimension ref="A1:U32"/>
  <sheetViews>
    <sheetView showGridLines="0" workbookViewId="0">
      <selection activeCell="A2" sqref="A2"/>
    </sheetView>
  </sheetViews>
  <sheetFormatPr baseColWidth="10" defaultRowHeight="13" x14ac:dyDescent="0.15"/>
  <cols>
    <col min="2" max="2" width="22.33203125" customWidth="1"/>
  </cols>
  <sheetData>
    <row r="1" spans="1:21" x14ac:dyDescent="0.15">
      <c r="A1" s="176" t="str">
        <f>HYPERLINK("#'Table of Contents'!A1","&lt;--------")</f>
        <v>&lt;--------</v>
      </c>
    </row>
    <row r="2" spans="1:21" ht="18" x14ac:dyDescent="0.2">
      <c r="B2" s="3" t="s">
        <v>19</v>
      </c>
    </row>
    <row r="4" spans="1:21" ht="16" x14ac:dyDescent="0.15">
      <c r="B4" s="57" t="s">
        <v>32</v>
      </c>
      <c r="C4" s="57"/>
      <c r="F4" s="5" t="s">
        <v>33</v>
      </c>
      <c r="G4" s="5" t="s">
        <v>34</v>
      </c>
      <c r="H4" s="5" t="s">
        <v>35</v>
      </c>
    </row>
    <row r="5" spans="1:21" x14ac:dyDescent="0.15">
      <c r="B5" s="58" t="s">
        <v>21</v>
      </c>
      <c r="C5" s="60">
        <v>2</v>
      </c>
    </row>
    <row r="8" spans="1:21" ht="16" x14ac:dyDescent="0.15">
      <c r="B8" s="57" t="s">
        <v>20</v>
      </c>
      <c r="C8" s="4"/>
      <c r="D8" s="4">
        <v>1</v>
      </c>
      <c r="E8" s="4"/>
      <c r="F8" s="4"/>
      <c r="G8" s="4"/>
      <c r="H8" s="4"/>
      <c r="I8" s="4"/>
      <c r="J8" s="4">
        <v>2</v>
      </c>
      <c r="K8" s="4"/>
      <c r="L8" s="4"/>
      <c r="M8" s="4"/>
      <c r="N8" s="4"/>
      <c r="O8" s="4"/>
      <c r="P8" s="4">
        <v>3</v>
      </c>
      <c r="Q8" s="4"/>
      <c r="R8" s="4"/>
      <c r="S8" s="4"/>
      <c r="T8" s="4"/>
      <c r="U8" s="4"/>
    </row>
    <row r="9" spans="1:21" x14ac:dyDescent="0.15">
      <c r="B9" s="19"/>
      <c r="C9" s="23"/>
      <c r="D9" s="157" t="s">
        <v>29</v>
      </c>
      <c r="E9" s="158"/>
      <c r="F9" s="158"/>
      <c r="G9" s="158"/>
      <c r="H9" s="158"/>
      <c r="I9" s="159"/>
      <c r="J9" s="157" t="s">
        <v>30</v>
      </c>
      <c r="K9" s="158"/>
      <c r="L9" s="158"/>
      <c r="M9" s="158"/>
      <c r="N9" s="158"/>
      <c r="O9" s="159"/>
      <c r="P9" s="157" t="s">
        <v>31</v>
      </c>
      <c r="Q9" s="158"/>
      <c r="R9" s="158"/>
      <c r="S9" s="158"/>
      <c r="T9" s="158"/>
      <c r="U9" s="159"/>
    </row>
    <row r="10" spans="1:21" x14ac:dyDescent="0.15">
      <c r="B10" s="19"/>
      <c r="C10" s="23"/>
      <c r="D10" s="32">
        <v>2026</v>
      </c>
      <c r="E10" s="8">
        <v>2027</v>
      </c>
      <c r="F10" s="8">
        <v>2028</v>
      </c>
      <c r="G10" s="8">
        <v>2029</v>
      </c>
      <c r="H10" s="8">
        <v>2030</v>
      </c>
      <c r="I10" s="33">
        <v>2031</v>
      </c>
      <c r="J10" s="32">
        <v>2026</v>
      </c>
      <c r="K10" s="8">
        <v>2027</v>
      </c>
      <c r="L10" s="8">
        <v>2028</v>
      </c>
      <c r="M10" s="8">
        <v>2029</v>
      </c>
      <c r="N10" s="8">
        <v>2030</v>
      </c>
      <c r="O10" s="33">
        <v>2031</v>
      </c>
      <c r="P10" s="32">
        <v>2026</v>
      </c>
      <c r="Q10" s="8">
        <v>2027</v>
      </c>
      <c r="R10" s="8">
        <v>2028</v>
      </c>
      <c r="S10" s="8">
        <v>2029</v>
      </c>
      <c r="T10" s="8">
        <v>2030</v>
      </c>
      <c r="U10" s="33">
        <v>2031</v>
      </c>
    </row>
    <row r="11" spans="1:21" x14ac:dyDescent="0.15">
      <c r="B11" s="19" t="s">
        <v>1</v>
      </c>
      <c r="C11" s="23"/>
      <c r="D11" s="45">
        <v>0.01</v>
      </c>
      <c r="E11" s="46">
        <v>1.4999999999999999E-2</v>
      </c>
      <c r="F11" s="46">
        <v>0.02</v>
      </c>
      <c r="G11" s="46">
        <v>0.02</v>
      </c>
      <c r="H11" s="46">
        <v>0.02</v>
      </c>
      <c r="I11" s="47">
        <v>0.02</v>
      </c>
      <c r="J11" s="45">
        <v>0.04</v>
      </c>
      <c r="K11" s="46">
        <v>0.04</v>
      </c>
      <c r="L11" s="46">
        <v>3.5000000000000003E-2</v>
      </c>
      <c r="M11" s="46">
        <v>3.5000000000000003E-2</v>
      </c>
      <c r="N11" s="46">
        <v>0.03</v>
      </c>
      <c r="O11" s="47">
        <v>0.03</v>
      </c>
      <c r="P11" s="45">
        <v>0.06</v>
      </c>
      <c r="Q11" s="46">
        <v>0.05</v>
      </c>
      <c r="R11" s="46">
        <v>0.05</v>
      </c>
      <c r="S11" s="46">
        <v>0.04</v>
      </c>
      <c r="T11" s="46">
        <v>0.04</v>
      </c>
      <c r="U11" s="47">
        <v>3.5000000000000003E-2</v>
      </c>
    </row>
    <row r="12" spans="1:21" x14ac:dyDescent="0.15">
      <c r="B12" s="19" t="s">
        <v>2</v>
      </c>
      <c r="C12" s="23"/>
      <c r="D12" s="45">
        <v>0.14000000000000001</v>
      </c>
      <c r="E12" s="46">
        <v>0.14199999999999999</v>
      </c>
      <c r="F12" s="46">
        <v>0.14499999999999999</v>
      </c>
      <c r="G12" s="46">
        <v>0.14799999999999999</v>
      </c>
      <c r="H12" s="46">
        <v>0.15</v>
      </c>
      <c r="I12" s="47">
        <v>0.15</v>
      </c>
      <c r="J12" s="45">
        <v>0.16</v>
      </c>
      <c r="K12" s="46">
        <v>0.16300000000000001</v>
      </c>
      <c r="L12" s="46">
        <v>0.16600000000000001</v>
      </c>
      <c r="M12" s="46">
        <v>0.16800000000000001</v>
      </c>
      <c r="N12" s="46">
        <v>0.17</v>
      </c>
      <c r="O12" s="47">
        <v>0.17</v>
      </c>
      <c r="P12" s="45">
        <v>0.17</v>
      </c>
      <c r="Q12" s="46">
        <v>0.17299999999999999</v>
      </c>
      <c r="R12" s="46">
        <v>0.17499999999999999</v>
      </c>
      <c r="S12" s="46">
        <v>0.17799999999999999</v>
      </c>
      <c r="T12" s="46">
        <v>0.18</v>
      </c>
      <c r="U12" s="47">
        <v>0.18</v>
      </c>
    </row>
    <row r="13" spans="1:21" x14ac:dyDescent="0.15">
      <c r="B13" s="19" t="s">
        <v>26</v>
      </c>
      <c r="C13" s="23"/>
      <c r="D13" s="45">
        <v>5.5E-2</v>
      </c>
      <c r="E13" s="46">
        <v>5.5E-2</v>
      </c>
      <c r="F13" s="46">
        <v>5.5E-2</v>
      </c>
      <c r="G13" s="46">
        <v>5.5E-2</v>
      </c>
      <c r="H13" s="46">
        <v>5.5E-2</v>
      </c>
      <c r="I13" s="47">
        <v>5.5E-2</v>
      </c>
      <c r="J13" s="45">
        <v>0.06</v>
      </c>
      <c r="K13" s="46">
        <v>0.06</v>
      </c>
      <c r="L13" s="46">
        <v>0.06</v>
      </c>
      <c r="M13" s="46">
        <v>0.06</v>
      </c>
      <c r="N13" s="46">
        <v>0.06</v>
      </c>
      <c r="O13" s="47">
        <v>0.06</v>
      </c>
      <c r="P13" s="45">
        <v>6.5000000000000002E-2</v>
      </c>
      <c r="Q13" s="46">
        <v>6.5000000000000002E-2</v>
      </c>
      <c r="R13" s="46">
        <v>6.5000000000000002E-2</v>
      </c>
      <c r="S13" s="46">
        <v>6.5000000000000002E-2</v>
      </c>
      <c r="T13" s="46">
        <v>6.5000000000000002E-2</v>
      </c>
      <c r="U13" s="47">
        <v>6.5000000000000002E-2</v>
      </c>
    </row>
    <row r="14" spans="1:21" x14ac:dyDescent="0.15">
      <c r="B14" s="19" t="s">
        <v>27</v>
      </c>
      <c r="C14" s="23"/>
      <c r="D14" s="45">
        <v>2.5000000000000001E-2</v>
      </c>
      <c r="E14" s="46">
        <v>2.5000000000000001E-2</v>
      </c>
      <c r="F14" s="46">
        <v>2.5000000000000001E-2</v>
      </c>
      <c r="G14" s="46">
        <v>2.5000000000000001E-2</v>
      </c>
      <c r="H14" s="46">
        <v>2.5000000000000001E-2</v>
      </c>
      <c r="I14" s="47">
        <v>2.5000000000000001E-2</v>
      </c>
      <c r="J14" s="45">
        <v>0.03</v>
      </c>
      <c r="K14" s="46">
        <v>0.03</v>
      </c>
      <c r="L14" s="46">
        <v>0.03</v>
      </c>
      <c r="M14" s="46">
        <v>0.03</v>
      </c>
      <c r="N14" s="46">
        <v>0.03</v>
      </c>
      <c r="O14" s="47">
        <v>0.03</v>
      </c>
      <c r="P14" s="45">
        <v>3.5000000000000003E-2</v>
      </c>
      <c r="Q14" s="46">
        <v>3.5000000000000003E-2</v>
      </c>
      <c r="R14" s="46">
        <v>3.5000000000000003E-2</v>
      </c>
      <c r="S14" s="46">
        <v>3.5000000000000003E-2</v>
      </c>
      <c r="T14" s="46">
        <v>3.5000000000000003E-2</v>
      </c>
      <c r="U14" s="47">
        <v>3.5000000000000003E-2</v>
      </c>
    </row>
    <row r="15" spans="1:21" x14ac:dyDescent="0.15">
      <c r="B15" s="19" t="s">
        <v>28</v>
      </c>
      <c r="C15" s="23"/>
      <c r="D15" s="45">
        <v>0.18</v>
      </c>
      <c r="E15" s="46">
        <v>0.18</v>
      </c>
      <c r="F15" s="46">
        <v>0.18</v>
      </c>
      <c r="G15" s="46">
        <v>0.18</v>
      </c>
      <c r="H15" s="46">
        <v>0.18</v>
      </c>
      <c r="I15" s="47">
        <v>0.18</v>
      </c>
      <c r="J15" s="45">
        <v>0.16500000000000001</v>
      </c>
      <c r="K15" s="46">
        <v>0.16500000000000001</v>
      </c>
      <c r="L15" s="46">
        <v>0.16500000000000001</v>
      </c>
      <c r="M15" s="46">
        <v>0.16500000000000001</v>
      </c>
      <c r="N15" s="46">
        <v>0.16500000000000001</v>
      </c>
      <c r="O15" s="47">
        <v>0.16500000000000001</v>
      </c>
      <c r="P15" s="45">
        <v>0.15</v>
      </c>
      <c r="Q15" s="46">
        <v>0.15</v>
      </c>
      <c r="R15" s="46">
        <v>0.15</v>
      </c>
      <c r="S15" s="46">
        <v>0.15</v>
      </c>
      <c r="T15" s="46">
        <v>0.15</v>
      </c>
      <c r="U15" s="47">
        <v>0.15</v>
      </c>
    </row>
    <row r="16" spans="1:21" x14ac:dyDescent="0.15">
      <c r="B16" s="19" t="s">
        <v>16</v>
      </c>
      <c r="C16" s="23"/>
      <c r="D16" s="146">
        <v>0.26500000000000001</v>
      </c>
      <c r="E16" s="46">
        <f>$D$16</f>
        <v>0.26500000000000001</v>
      </c>
      <c r="F16" s="46">
        <f t="shared" ref="F16:U16" si="0">$D$16</f>
        <v>0.26500000000000001</v>
      </c>
      <c r="G16" s="46">
        <f t="shared" si="0"/>
        <v>0.26500000000000001</v>
      </c>
      <c r="H16" s="46">
        <f t="shared" si="0"/>
        <v>0.26500000000000001</v>
      </c>
      <c r="I16" s="47">
        <f t="shared" si="0"/>
        <v>0.26500000000000001</v>
      </c>
      <c r="J16" s="45">
        <f t="shared" si="0"/>
        <v>0.26500000000000001</v>
      </c>
      <c r="K16" s="46">
        <f t="shared" si="0"/>
        <v>0.26500000000000001</v>
      </c>
      <c r="L16" s="46">
        <f t="shared" si="0"/>
        <v>0.26500000000000001</v>
      </c>
      <c r="M16" s="46">
        <f t="shared" si="0"/>
        <v>0.26500000000000001</v>
      </c>
      <c r="N16" s="46">
        <f t="shared" si="0"/>
        <v>0.26500000000000001</v>
      </c>
      <c r="O16" s="47">
        <f t="shared" si="0"/>
        <v>0.26500000000000001</v>
      </c>
      <c r="P16" s="45">
        <f t="shared" si="0"/>
        <v>0.26500000000000001</v>
      </c>
      <c r="Q16" s="46">
        <f t="shared" si="0"/>
        <v>0.26500000000000001</v>
      </c>
      <c r="R16" s="46">
        <f t="shared" si="0"/>
        <v>0.26500000000000001</v>
      </c>
      <c r="S16" s="46">
        <f t="shared" si="0"/>
        <v>0.26500000000000001</v>
      </c>
      <c r="T16" s="46">
        <f t="shared" si="0"/>
        <v>0.26500000000000001</v>
      </c>
      <c r="U16" s="47">
        <f t="shared" si="0"/>
        <v>0.26500000000000001</v>
      </c>
    </row>
    <row r="17" spans="2:21" x14ac:dyDescent="0.15">
      <c r="B17" s="19"/>
      <c r="C17" s="23"/>
      <c r="D17" s="45"/>
      <c r="E17" s="46"/>
      <c r="F17" s="46"/>
      <c r="G17" s="46"/>
      <c r="H17" s="46"/>
      <c r="I17" s="47"/>
      <c r="J17" s="45"/>
      <c r="K17" s="46"/>
      <c r="L17" s="46"/>
      <c r="M17" s="46"/>
      <c r="N17" s="46"/>
      <c r="O17" s="47"/>
      <c r="P17" s="45"/>
      <c r="Q17" s="46"/>
      <c r="R17" s="46"/>
      <c r="S17" s="46"/>
      <c r="T17" s="46"/>
      <c r="U17" s="47"/>
    </row>
    <row r="18" spans="2:21" x14ac:dyDescent="0.15">
      <c r="B18" s="21" t="s">
        <v>220</v>
      </c>
      <c r="C18" s="25"/>
      <c r="D18" s="137">
        <f>QUARTILE('Precedent Transactions'!C9:C12,1)*(1-$I$28)</f>
        <v>9.4443750000000009</v>
      </c>
      <c r="E18" s="48"/>
      <c r="F18" s="48"/>
      <c r="G18" s="48"/>
      <c r="H18" s="48"/>
      <c r="I18" s="49"/>
      <c r="J18" s="137">
        <f>MEDIAN('Precedent Transactions'!C9:C12)*(1-$I$28)</f>
        <v>10.811249999999999</v>
      </c>
      <c r="K18" s="48"/>
      <c r="L18" s="48"/>
      <c r="M18" s="48"/>
      <c r="N18" s="48"/>
      <c r="O18" s="49"/>
      <c r="P18" s="137">
        <f>QUARTILE('Precedent Transactions'!C9:C12,3)*(1-$I$28)</f>
        <v>11.679375</v>
      </c>
      <c r="Q18" s="48"/>
      <c r="R18" s="48"/>
      <c r="S18" s="48"/>
      <c r="T18" s="48"/>
      <c r="U18" s="49"/>
    </row>
    <row r="24" spans="2:21" ht="16" x14ac:dyDescent="0.15">
      <c r="D24" s="62" t="s">
        <v>19</v>
      </c>
      <c r="E24" s="63"/>
      <c r="F24" s="64"/>
      <c r="G24" s="57" t="s">
        <v>36</v>
      </c>
      <c r="H24" s="4"/>
      <c r="I24" s="4"/>
      <c r="J24" s="67"/>
      <c r="K24" s="67"/>
      <c r="L24" s="67"/>
      <c r="M24" s="61"/>
      <c r="N24" s="160" t="s">
        <v>274</v>
      </c>
      <c r="O24" s="160"/>
      <c r="P24" s="160"/>
    </row>
    <row r="25" spans="2:21" x14ac:dyDescent="0.15">
      <c r="D25" s="19" t="s">
        <v>268</v>
      </c>
      <c r="F25" s="107">
        <v>1200</v>
      </c>
      <c r="G25" s="18" t="s">
        <v>37</v>
      </c>
      <c r="H25" s="18"/>
      <c r="I25" s="69">
        <v>25</v>
      </c>
      <c r="J25" s="18" t="s">
        <v>259</v>
      </c>
      <c r="K25" s="18"/>
      <c r="L25" s="18"/>
      <c r="N25" s="160"/>
      <c r="O25" s="160"/>
      <c r="P25" s="160"/>
    </row>
    <row r="26" spans="2:21" x14ac:dyDescent="0.15">
      <c r="D26" s="19" t="s">
        <v>269</v>
      </c>
      <c r="F26" s="139">
        <f>F25/'H.B. Fuller BAS Operating'!F10</f>
        <v>10.033109260559847</v>
      </c>
      <c r="G26" s="18" t="s">
        <v>41</v>
      </c>
      <c r="H26" s="18"/>
      <c r="I26" s="154">
        <f>SUM('BAS Carveout'!C33:H33)</f>
        <v>37.5</v>
      </c>
      <c r="J26" s="18"/>
      <c r="K26" s="18"/>
      <c r="L26" s="18"/>
      <c r="N26" s="160"/>
      <c r="O26" s="160"/>
      <c r="P26" s="160"/>
    </row>
    <row r="27" spans="2:21" x14ac:dyDescent="0.15">
      <c r="D27" s="19" t="s">
        <v>24</v>
      </c>
      <c r="F27" s="26">
        <v>0.01</v>
      </c>
      <c r="G27" s="18" t="s">
        <v>82</v>
      </c>
      <c r="H27" s="18"/>
      <c r="I27" s="69">
        <f>I25</f>
        <v>25</v>
      </c>
      <c r="J27" s="18" t="s">
        <v>83</v>
      </c>
      <c r="K27" s="18"/>
      <c r="L27" s="18"/>
      <c r="N27" s="160"/>
      <c r="O27" s="160"/>
      <c r="P27" s="160"/>
    </row>
    <row r="28" spans="2:21" x14ac:dyDescent="0.15">
      <c r="D28" s="19" t="s">
        <v>25</v>
      </c>
      <c r="F28" s="65">
        <v>5</v>
      </c>
      <c r="G28" s="18" t="s">
        <v>277</v>
      </c>
      <c r="H28" s="18"/>
      <c r="I28" s="138">
        <v>0.25</v>
      </c>
      <c r="J28" s="18" t="s">
        <v>83</v>
      </c>
      <c r="K28" s="18"/>
      <c r="L28" s="18"/>
      <c r="N28" s="160"/>
      <c r="O28" s="160"/>
      <c r="P28" s="160"/>
      <c r="Q28" s="1"/>
      <c r="R28" s="1"/>
      <c r="S28" s="1"/>
      <c r="T28" s="1"/>
      <c r="U28" s="1"/>
    </row>
    <row r="29" spans="2:21" x14ac:dyDescent="0.15">
      <c r="D29" s="19"/>
      <c r="F29" s="23"/>
      <c r="G29" s="18"/>
      <c r="H29" s="18"/>
      <c r="I29" s="68"/>
      <c r="J29" s="18"/>
      <c r="K29" s="18"/>
      <c r="L29" s="18"/>
      <c r="N29" s="160"/>
      <c r="O29" s="160"/>
      <c r="P29" s="160"/>
    </row>
    <row r="30" spans="2:21" x14ac:dyDescent="0.15">
      <c r="D30" s="19" t="s">
        <v>221</v>
      </c>
      <c r="F30" s="65">
        <v>1</v>
      </c>
      <c r="G30" s="18" t="s">
        <v>270</v>
      </c>
      <c r="H30" s="18"/>
      <c r="I30" s="138">
        <v>0.18</v>
      </c>
      <c r="J30" s="18"/>
      <c r="K30" s="18"/>
      <c r="L30" s="18"/>
      <c r="N30" s="160"/>
      <c r="O30" s="160"/>
      <c r="P30" s="160"/>
    </row>
    <row r="31" spans="2:21" x14ac:dyDescent="0.15">
      <c r="D31" s="19" t="s">
        <v>22</v>
      </c>
      <c r="F31" s="150">
        <f>'LBO Returns Exit'!K3</f>
        <v>8.1999999999999993</v>
      </c>
      <c r="I31" s="23"/>
      <c r="N31" s="160"/>
      <c r="O31" s="160"/>
      <c r="P31" s="160"/>
    </row>
    <row r="32" spans="2:21" x14ac:dyDescent="0.15">
      <c r="D32" s="21" t="s">
        <v>23</v>
      </c>
      <c r="E32" s="11"/>
      <c r="F32" s="151">
        <f>'LBO Returns Exit'!K4</f>
        <v>8.1999999999999993</v>
      </c>
      <c r="G32" s="11"/>
      <c r="H32" s="11"/>
      <c r="I32" s="25"/>
      <c r="N32" s="160"/>
      <c r="O32" s="160"/>
      <c r="P32" s="160"/>
    </row>
  </sheetData>
  <mergeCells count="4">
    <mergeCell ref="D9:I9"/>
    <mergeCell ref="J9:O9"/>
    <mergeCell ref="P9:U9"/>
    <mergeCell ref="N24:P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6CDB5-DA60-AA4E-A345-74D04A8B624A}">
  <sheetPr codeName="Sheet3"/>
  <dimension ref="A1:L47"/>
  <sheetViews>
    <sheetView showGridLines="0" zoomScale="107" workbookViewId="0">
      <selection activeCell="A2" sqref="A2"/>
    </sheetView>
  </sheetViews>
  <sheetFormatPr baseColWidth="10" defaultRowHeight="13" x14ac:dyDescent="0.15"/>
  <cols>
    <col min="2" max="2" width="26.1640625" customWidth="1"/>
  </cols>
  <sheetData>
    <row r="1" spans="1:12" x14ac:dyDescent="0.15">
      <c r="A1" s="176" t="str">
        <f>HYPERLINK("#'Table of Contents'!A1","&lt;--------")</f>
        <v>&lt;--------</v>
      </c>
      <c r="C1" s="165"/>
    </row>
    <row r="2" spans="1:12" x14ac:dyDescent="0.15">
      <c r="B2" s="78">
        <f>'Assumptions Tab'!C5</f>
        <v>2</v>
      </c>
      <c r="C2" s="165"/>
    </row>
    <row r="3" spans="1:12" ht="18" x14ac:dyDescent="0.2">
      <c r="B3" s="3" t="s">
        <v>9</v>
      </c>
      <c r="C3" s="165"/>
      <c r="D3" s="2"/>
      <c r="E3" s="2"/>
      <c r="F3" s="2"/>
      <c r="G3" s="2"/>
      <c r="H3" s="2"/>
      <c r="I3" s="2"/>
      <c r="J3" s="2"/>
      <c r="K3" s="2"/>
    </row>
    <row r="4" spans="1:12" x14ac:dyDescent="0.15">
      <c r="B4" s="4" t="s">
        <v>18</v>
      </c>
      <c r="C4" s="4"/>
      <c r="D4" s="4"/>
      <c r="E4" s="4"/>
      <c r="F4" s="4"/>
      <c r="G4" s="4"/>
      <c r="H4" s="4"/>
      <c r="I4" s="4"/>
      <c r="J4" s="4"/>
      <c r="K4" s="4"/>
    </row>
    <row r="5" spans="1:12" x14ac:dyDescent="0.15">
      <c r="B5" s="6"/>
      <c r="C5" s="161" t="s">
        <v>11</v>
      </c>
      <c r="D5" s="161"/>
      <c r="E5" s="161"/>
      <c r="F5" s="162" t="s">
        <v>12</v>
      </c>
      <c r="G5" s="163"/>
      <c r="H5" s="163"/>
      <c r="I5" s="163"/>
      <c r="J5" s="163"/>
      <c r="K5" s="164"/>
    </row>
    <row r="6" spans="1:12" x14ac:dyDescent="0.15">
      <c r="B6" s="7" t="s">
        <v>10</v>
      </c>
      <c r="C6" s="7">
        <v>2023</v>
      </c>
      <c r="D6" s="7">
        <v>2024</v>
      </c>
      <c r="E6" s="7">
        <v>2025</v>
      </c>
      <c r="F6" s="17">
        <v>2026</v>
      </c>
      <c r="G6" s="7">
        <v>2027</v>
      </c>
      <c r="H6" s="7">
        <v>2028</v>
      </c>
      <c r="I6" s="7">
        <v>2029</v>
      </c>
      <c r="J6" s="7">
        <v>2030</v>
      </c>
      <c r="K6" s="22">
        <v>2031</v>
      </c>
    </row>
    <row r="7" spans="1:12" x14ac:dyDescent="0.15">
      <c r="B7" s="8" t="s">
        <v>0</v>
      </c>
      <c r="C7" s="8">
        <v>777.5</v>
      </c>
      <c r="D7" s="8">
        <v>856.5</v>
      </c>
      <c r="E7" s="8">
        <v>860</v>
      </c>
      <c r="F7" s="29">
        <f t="shared" ref="F7:K7" si="0">E7*(1+F28)</f>
        <v>894.4</v>
      </c>
      <c r="G7" s="30">
        <f t="shared" si="0"/>
        <v>930.17600000000004</v>
      </c>
      <c r="H7" s="30">
        <f t="shared" si="0"/>
        <v>962.73216000000002</v>
      </c>
      <c r="I7" s="30">
        <f t="shared" si="0"/>
        <v>996.42778559999999</v>
      </c>
      <c r="J7" s="30">
        <f t="shared" si="0"/>
        <v>1026.3206191680001</v>
      </c>
      <c r="K7" s="31">
        <f t="shared" si="0"/>
        <v>1057.1102377430402</v>
      </c>
    </row>
    <row r="8" spans="1:12" x14ac:dyDescent="0.15">
      <c r="B8" s="27" t="s">
        <v>1</v>
      </c>
      <c r="C8" s="28"/>
      <c r="D8" s="53">
        <f t="shared" ref="D8:K8" si="1">D28</f>
        <v>0.10199999999999999</v>
      </c>
      <c r="E8" s="53">
        <f t="shared" si="1"/>
        <v>4.0000000000000001E-3</v>
      </c>
      <c r="F8" s="54">
        <f t="shared" si="1"/>
        <v>0.04</v>
      </c>
      <c r="G8" s="53">
        <f t="shared" si="1"/>
        <v>0.04</v>
      </c>
      <c r="H8" s="53">
        <f t="shared" si="1"/>
        <v>3.5000000000000003E-2</v>
      </c>
      <c r="I8" s="53">
        <f t="shared" si="1"/>
        <v>3.5000000000000003E-2</v>
      </c>
      <c r="J8" s="53">
        <f t="shared" si="1"/>
        <v>0.03</v>
      </c>
      <c r="K8" s="55">
        <f t="shared" si="1"/>
        <v>0.03</v>
      </c>
    </row>
    <row r="9" spans="1:12" x14ac:dyDescent="0.15">
      <c r="B9" t="s">
        <v>128</v>
      </c>
      <c r="C9">
        <v>107.1</v>
      </c>
      <c r="D9">
        <v>133.19999999999999</v>
      </c>
      <c r="E9">
        <v>137.69999999999999</v>
      </c>
      <c r="F9" s="105">
        <f t="shared" ref="F9:K9" si="2">F7*F29</f>
        <v>143.10400000000001</v>
      </c>
      <c r="G9" s="106">
        <f t="shared" si="2"/>
        <v>151.61868800000002</v>
      </c>
      <c r="H9" s="106">
        <f t="shared" si="2"/>
        <v>159.81353856000001</v>
      </c>
      <c r="I9" s="106">
        <f t="shared" si="2"/>
        <v>167.3998679808</v>
      </c>
      <c r="J9" s="106">
        <f t="shared" si="2"/>
        <v>174.47450525856004</v>
      </c>
      <c r="K9" s="107">
        <f t="shared" si="2"/>
        <v>179.70874041631686</v>
      </c>
    </row>
    <row r="10" spans="1:12" x14ac:dyDescent="0.15">
      <c r="B10" s="8" t="s">
        <v>129</v>
      </c>
      <c r="C10" s="8"/>
      <c r="D10" s="8"/>
      <c r="E10" s="8"/>
      <c r="F10" s="40">
        <f>'BAS Carveout'!C23</f>
        <v>119.60400000000001</v>
      </c>
      <c r="G10" s="41">
        <f>'BAS Carveout'!D23</f>
        <v>132.61868800000002</v>
      </c>
      <c r="H10" s="41">
        <f>'BAS Carveout'!E23</f>
        <v>146.31353856000001</v>
      </c>
      <c r="I10" s="41">
        <f>'BAS Carveout'!F23</f>
        <v>158.8998679808</v>
      </c>
      <c r="J10" s="41">
        <f>'BAS Carveout'!G23</f>
        <v>170.47450525856004</v>
      </c>
      <c r="K10" s="42">
        <f>'BAS Carveout'!H23</f>
        <v>177.20874041631686</v>
      </c>
      <c r="L10" t="s">
        <v>127</v>
      </c>
    </row>
    <row r="11" spans="1:12" x14ac:dyDescent="0.15">
      <c r="B11" s="27" t="s">
        <v>2</v>
      </c>
      <c r="C11" s="50">
        <f>C29</f>
        <v>0.13800000000000001</v>
      </c>
      <c r="D11" s="50">
        <f>D29</f>
        <v>0.155</v>
      </c>
      <c r="E11" s="50">
        <f>E29</f>
        <v>0.156</v>
      </c>
      <c r="F11" s="51">
        <f>'BAS Carveout'!C24</f>
        <v>0.13372540250447229</v>
      </c>
      <c r="G11" s="50">
        <f>'BAS Carveout'!D24</f>
        <v>0.14257375808449155</v>
      </c>
      <c r="H11" s="50">
        <f>'BAS Carveout'!E24</f>
        <v>0.15197740829598963</v>
      </c>
      <c r="I11" s="50">
        <f>'BAS Carveout'!F24</f>
        <v>0.1594695273226632</v>
      </c>
      <c r="J11" s="50">
        <f>'BAS Carveout'!G24</f>
        <v>0.16610258244324991</v>
      </c>
      <c r="K11" s="52">
        <f>'BAS Carveout'!H24</f>
        <v>0.16763506216216623</v>
      </c>
    </row>
    <row r="12" spans="1:12" ht="14" customHeight="1" x14ac:dyDescent="0.15">
      <c r="F12" s="19"/>
      <c r="K12" s="23"/>
    </row>
    <row r="13" spans="1:12" x14ac:dyDescent="0.15">
      <c r="B13" t="s">
        <v>3</v>
      </c>
      <c r="C13">
        <v>56</v>
      </c>
      <c r="D13">
        <v>49.9</v>
      </c>
      <c r="E13">
        <v>51.5</v>
      </c>
      <c r="F13" s="20">
        <f t="shared" ref="F13:K13" si="3">F7*F30</f>
        <v>53.663999999999994</v>
      </c>
      <c r="G13" s="16">
        <f t="shared" si="3"/>
        <v>55.810560000000002</v>
      </c>
      <c r="H13" s="16">
        <f t="shared" si="3"/>
        <v>57.763929599999997</v>
      </c>
      <c r="I13" s="16">
        <f t="shared" si="3"/>
        <v>59.785667136000001</v>
      </c>
      <c r="J13" s="16">
        <f t="shared" si="3"/>
        <v>61.579237150080004</v>
      </c>
      <c r="K13" s="24">
        <f t="shared" si="3"/>
        <v>63.426614264582412</v>
      </c>
    </row>
    <row r="14" spans="1:12" x14ac:dyDescent="0.15">
      <c r="B14" s="10" t="s">
        <v>130</v>
      </c>
      <c r="C14" s="9">
        <v>51</v>
      </c>
      <c r="D14" s="9">
        <v>83.3</v>
      </c>
      <c r="E14" s="9">
        <v>82.5</v>
      </c>
      <c r="F14" s="108">
        <f>F9-F13</f>
        <v>89.440000000000026</v>
      </c>
      <c r="G14" s="109">
        <f t="shared" ref="G14:K14" si="4">G9-G13</f>
        <v>95.808128000000011</v>
      </c>
      <c r="H14" s="109">
        <f t="shared" si="4"/>
        <v>102.04960896000001</v>
      </c>
      <c r="I14" s="109">
        <f t="shared" si="4"/>
        <v>107.6142008448</v>
      </c>
      <c r="J14" s="109">
        <f t="shared" si="4"/>
        <v>112.89526810848004</v>
      </c>
      <c r="K14" s="110">
        <f t="shared" si="4"/>
        <v>116.28212615173445</v>
      </c>
    </row>
    <row r="15" spans="1:12" x14ac:dyDescent="0.15">
      <c r="B15" t="s">
        <v>131</v>
      </c>
      <c r="C15">
        <v>51</v>
      </c>
      <c r="D15">
        <v>83.3</v>
      </c>
      <c r="E15">
        <v>82.5</v>
      </c>
      <c r="F15" s="20">
        <f>F$10-F$13</f>
        <v>65.940000000000026</v>
      </c>
      <c r="G15" s="16">
        <f t="shared" ref="G15:K15" si="5">G$10-G$13</f>
        <v>76.808128000000011</v>
      </c>
      <c r="H15" s="16">
        <f t="shared" si="5"/>
        <v>88.549608960000015</v>
      </c>
      <c r="I15" s="16">
        <f t="shared" si="5"/>
        <v>99.114200844799996</v>
      </c>
      <c r="J15" s="16">
        <f t="shared" si="5"/>
        <v>108.89526810848004</v>
      </c>
      <c r="K15" s="24">
        <f t="shared" si="5"/>
        <v>113.78212615173445</v>
      </c>
    </row>
    <row r="16" spans="1:12" x14ac:dyDescent="0.15">
      <c r="B16" t="s">
        <v>4</v>
      </c>
      <c r="D16">
        <v>36.700000000000003</v>
      </c>
      <c r="E16">
        <v>18.399999999999999</v>
      </c>
      <c r="F16" s="20">
        <f t="shared" ref="F16:K16" si="6">F7*F31</f>
        <v>26.831999999999997</v>
      </c>
      <c r="G16" s="16">
        <f t="shared" si="6"/>
        <v>27.905280000000001</v>
      </c>
      <c r="H16" s="16">
        <f t="shared" si="6"/>
        <v>28.881964799999999</v>
      </c>
      <c r="I16" s="16">
        <f t="shared" si="6"/>
        <v>29.892833568</v>
      </c>
      <c r="J16" s="16">
        <f t="shared" si="6"/>
        <v>30.789618575040002</v>
      </c>
      <c r="K16" s="24">
        <f t="shared" si="6"/>
        <v>31.713307132291206</v>
      </c>
    </row>
    <row r="17" spans="2:12" x14ac:dyDescent="0.15">
      <c r="B17" t="s">
        <v>5</v>
      </c>
      <c r="C17">
        <v>128.30000000000001</v>
      </c>
      <c r="D17">
        <v>141.30000000000001</v>
      </c>
      <c r="E17">
        <v>141.9</v>
      </c>
      <c r="F17" s="20">
        <f t="shared" ref="F17:K17" si="7">F32*F7</f>
        <v>147.57599999999999</v>
      </c>
      <c r="G17" s="16">
        <f t="shared" si="7"/>
        <v>153.47904000000003</v>
      </c>
      <c r="H17" s="16">
        <f t="shared" si="7"/>
        <v>158.85080640000001</v>
      </c>
      <c r="I17" s="16">
        <f t="shared" si="7"/>
        <v>164.41058462399999</v>
      </c>
      <c r="J17" s="16">
        <f t="shared" si="7"/>
        <v>169.34290216272004</v>
      </c>
      <c r="K17" s="24">
        <f t="shared" si="7"/>
        <v>174.42318922760165</v>
      </c>
    </row>
    <row r="18" spans="2:12" x14ac:dyDescent="0.15">
      <c r="B18" s="10" t="s">
        <v>6</v>
      </c>
      <c r="C18" s="9"/>
      <c r="D18" s="9">
        <v>13</v>
      </c>
      <c r="E18" s="9">
        <v>0.6</v>
      </c>
      <c r="F18" s="35">
        <v>4.3</v>
      </c>
      <c r="G18" s="9">
        <v>5.8</v>
      </c>
      <c r="H18" s="9">
        <v>6.1</v>
      </c>
      <c r="I18" s="9">
        <v>5.5</v>
      </c>
      <c r="J18" s="9">
        <v>4.9000000000000004</v>
      </c>
      <c r="K18" s="36">
        <v>5.0999999999999996</v>
      </c>
    </row>
    <row r="19" spans="2:12" x14ac:dyDescent="0.15">
      <c r="B19" t="s">
        <v>7</v>
      </c>
      <c r="D19">
        <v>22.1</v>
      </c>
      <c r="E19">
        <v>21.9</v>
      </c>
      <c r="F19" s="19">
        <v>23.5</v>
      </c>
      <c r="G19">
        <v>25.6</v>
      </c>
      <c r="H19">
        <v>27.9</v>
      </c>
      <c r="I19">
        <v>29.6</v>
      </c>
      <c r="J19">
        <v>31.1</v>
      </c>
      <c r="K19" s="23">
        <v>32.1</v>
      </c>
    </row>
    <row r="20" spans="2:12" x14ac:dyDescent="0.15">
      <c r="F20" s="19"/>
      <c r="K20" s="23"/>
    </row>
    <row r="21" spans="2:12" x14ac:dyDescent="0.15">
      <c r="B21" t="s">
        <v>126</v>
      </c>
      <c r="F21" s="19">
        <f>'BAS Carveout'!C$33</f>
        <v>33</v>
      </c>
      <c r="G21">
        <f>'BAS Carveout'!D$33</f>
        <v>4.5</v>
      </c>
      <c r="H21">
        <f>'BAS Carveout'!E$33</f>
        <v>0</v>
      </c>
      <c r="I21">
        <f>'BAS Carveout'!F$33</f>
        <v>0</v>
      </c>
      <c r="J21">
        <f>'BAS Carveout'!G$33</f>
        <v>0</v>
      </c>
      <c r="K21" s="23">
        <f>'BAS Carveout'!H$33</f>
        <v>0</v>
      </c>
      <c r="L21" t="s">
        <v>127</v>
      </c>
    </row>
    <row r="22" spans="2:12" x14ac:dyDescent="0.15">
      <c r="F22" s="19"/>
      <c r="K22" s="23"/>
    </row>
    <row r="23" spans="2:12" ht="14" thickBot="1" x14ac:dyDescent="0.2">
      <c r="B23" s="34" t="s">
        <v>8</v>
      </c>
      <c r="C23" s="34"/>
      <c r="D23" s="37">
        <f>D15-D19+D13-D16-D18</f>
        <v>61.399999999999991</v>
      </c>
      <c r="E23" s="37">
        <f>E15-E19+E13-E16-E18</f>
        <v>93.1</v>
      </c>
      <c r="F23" s="38">
        <f>F15-F19+F13-F16-F18-F21</f>
        <v>31.972000000000023</v>
      </c>
      <c r="G23" s="37">
        <f t="shared" ref="G23:K23" si="8">G15-G19+G13-G16-G18-G21</f>
        <v>68.81340800000001</v>
      </c>
      <c r="H23" s="37">
        <f t="shared" si="8"/>
        <v>83.43157376000002</v>
      </c>
      <c r="I23" s="37">
        <f t="shared" si="8"/>
        <v>93.907034412800002</v>
      </c>
      <c r="J23" s="37">
        <f t="shared" si="8"/>
        <v>103.68488668352001</v>
      </c>
      <c r="K23" s="39">
        <f t="shared" si="8"/>
        <v>108.29543328402566</v>
      </c>
    </row>
    <row r="24" spans="2:12" ht="14" thickTop="1" x14ac:dyDescent="0.15">
      <c r="F24" s="19"/>
      <c r="K24" s="23"/>
    </row>
    <row r="25" spans="2:12" x14ac:dyDescent="0.15">
      <c r="F25" s="19"/>
      <c r="K25" s="23"/>
    </row>
    <row r="26" spans="2:12" x14ac:dyDescent="0.15">
      <c r="B26" s="4" t="s">
        <v>17</v>
      </c>
      <c r="C26" s="4"/>
      <c r="D26" s="4"/>
      <c r="E26" s="4"/>
      <c r="F26" s="4"/>
      <c r="G26" s="4"/>
      <c r="H26" s="4"/>
      <c r="I26" s="4"/>
      <c r="J26" s="4"/>
      <c r="K26" s="4"/>
    </row>
    <row r="27" spans="2:12" x14ac:dyDescent="0.15">
      <c r="F27" s="19"/>
      <c r="K27" s="23"/>
    </row>
    <row r="28" spans="2:12" x14ac:dyDescent="0.15">
      <c r="B28" s="43" t="s">
        <v>1</v>
      </c>
      <c r="C28" s="13"/>
      <c r="D28" s="44">
        <v>0.10199999999999999</v>
      </c>
      <c r="E28" s="44">
        <v>4.0000000000000001E-3</v>
      </c>
      <c r="F28" s="70">
        <f>CHOOSE($B$2,'Assumptions Tab'!D11,'Assumptions Tab'!J11,'Assumptions Tab'!P11)</f>
        <v>0.04</v>
      </c>
      <c r="G28" s="71">
        <f>CHOOSE($B$2,'Assumptions Tab'!E11,'Assumptions Tab'!K11,'Assumptions Tab'!Q11)</f>
        <v>0.04</v>
      </c>
      <c r="H28" s="71">
        <f>CHOOSE($B$2,'Assumptions Tab'!F11,'Assumptions Tab'!L11,'Assumptions Tab'!R11)</f>
        <v>3.5000000000000003E-2</v>
      </c>
      <c r="I28" s="71">
        <f>CHOOSE($B$2,'Assumptions Tab'!G11,'Assumptions Tab'!M11,'Assumptions Tab'!S11)</f>
        <v>3.5000000000000003E-2</v>
      </c>
      <c r="J28" s="71">
        <f>CHOOSE($B$2,'Assumptions Tab'!H11,'Assumptions Tab'!N11,'Assumptions Tab'!T11)</f>
        <v>0.03</v>
      </c>
      <c r="K28" s="72">
        <f>CHOOSE($B$2,'Assumptions Tab'!I11,'Assumptions Tab'!O11,'Assumptions Tab'!U11)</f>
        <v>0.03</v>
      </c>
      <c r="L28" s="9"/>
    </row>
    <row r="29" spans="2:12" x14ac:dyDescent="0.15">
      <c r="B29" s="43" t="s">
        <v>2</v>
      </c>
      <c r="C29" s="44">
        <v>0.13800000000000001</v>
      </c>
      <c r="D29" s="44">
        <v>0.155</v>
      </c>
      <c r="E29" s="44">
        <v>0.156</v>
      </c>
      <c r="F29" s="70">
        <f>CHOOSE($B$2,'Assumptions Tab'!D12,'Assumptions Tab'!J12,'Assumptions Tab'!P12)</f>
        <v>0.16</v>
      </c>
      <c r="G29" s="71">
        <f>CHOOSE($B$2,'Assumptions Tab'!E12,'Assumptions Tab'!K12,'Assumptions Tab'!Q12)</f>
        <v>0.16300000000000001</v>
      </c>
      <c r="H29" s="71">
        <f>CHOOSE($B$2,'Assumptions Tab'!F12,'Assumptions Tab'!L12,'Assumptions Tab'!R12)</f>
        <v>0.16600000000000001</v>
      </c>
      <c r="I29" s="71">
        <f>CHOOSE($B$2,'Assumptions Tab'!G12,'Assumptions Tab'!M12,'Assumptions Tab'!S12)</f>
        <v>0.16800000000000001</v>
      </c>
      <c r="J29" s="71">
        <f>CHOOSE($B$2,'Assumptions Tab'!H12,'Assumptions Tab'!N12,'Assumptions Tab'!T12)</f>
        <v>0.17</v>
      </c>
      <c r="K29" s="72">
        <f>CHOOSE($B$2,'Assumptions Tab'!I12,'Assumptions Tab'!O12,'Assumptions Tab'!U12)</f>
        <v>0.17</v>
      </c>
      <c r="L29" s="9"/>
    </row>
    <row r="30" spans="2:12" x14ac:dyDescent="0.15">
      <c r="B30" s="13" t="s">
        <v>13</v>
      </c>
      <c r="C30" s="13">
        <f>C13/C7</f>
        <v>7.2025723472668807E-2</v>
      </c>
      <c r="D30" s="13">
        <f>D13/D7</f>
        <v>5.8260361938120259E-2</v>
      </c>
      <c r="E30" s="13">
        <f>E13/E7</f>
        <v>5.9883720930232559E-2</v>
      </c>
      <c r="F30" s="70">
        <f>CHOOSE($B$2,'Assumptions Tab'!D13,'Assumptions Tab'!J13,'Assumptions Tab'!P13)</f>
        <v>0.06</v>
      </c>
      <c r="G30" s="73">
        <f>CHOOSE($B$2,'Assumptions Tab'!E13,'Assumptions Tab'!K13,'Assumptions Tab'!Q13)</f>
        <v>0.06</v>
      </c>
      <c r="H30" s="73">
        <f>CHOOSE($B$2,'Assumptions Tab'!F13,'Assumptions Tab'!L13,'Assumptions Tab'!R13)</f>
        <v>0.06</v>
      </c>
      <c r="I30" s="73">
        <f>CHOOSE($B$2,'Assumptions Tab'!G13,'Assumptions Tab'!M13,'Assumptions Tab'!S13)</f>
        <v>0.06</v>
      </c>
      <c r="J30" s="73">
        <f>CHOOSE($B$2,'Assumptions Tab'!H13,'Assumptions Tab'!N13,'Assumptions Tab'!T13)</f>
        <v>0.06</v>
      </c>
      <c r="K30" s="74">
        <f>CHOOSE($B$2,'Assumptions Tab'!I13,'Assumptions Tab'!O13,'Assumptions Tab'!U13)</f>
        <v>0.06</v>
      </c>
    </row>
    <row r="31" spans="2:12" x14ac:dyDescent="0.15">
      <c r="B31" s="13" t="s">
        <v>14</v>
      </c>
      <c r="C31" s="46"/>
      <c r="D31" s="175">
        <f>D16/D7</f>
        <v>4.284880326911851E-2</v>
      </c>
      <c r="E31" s="175">
        <f>E16/E7</f>
        <v>2.13953488372093E-2</v>
      </c>
      <c r="F31" s="70">
        <f>CHOOSE($B$2,'Assumptions Tab'!D14,'Assumptions Tab'!J14,'Assumptions Tab'!P14)</f>
        <v>0.03</v>
      </c>
      <c r="G31" s="73">
        <f>CHOOSE($B$2,'Assumptions Tab'!E14,'Assumptions Tab'!K14,'Assumptions Tab'!Q14)</f>
        <v>0.03</v>
      </c>
      <c r="H31" s="73">
        <f>CHOOSE($B$2,'Assumptions Tab'!F14,'Assumptions Tab'!L14,'Assumptions Tab'!R14)</f>
        <v>0.03</v>
      </c>
      <c r="I31" s="73">
        <f>CHOOSE($B$2,'Assumptions Tab'!G14,'Assumptions Tab'!M14,'Assumptions Tab'!S14)</f>
        <v>0.03</v>
      </c>
      <c r="J31" s="73">
        <f>CHOOSE($B$2,'Assumptions Tab'!H14,'Assumptions Tab'!N14,'Assumptions Tab'!T14)</f>
        <v>0.03</v>
      </c>
      <c r="K31" s="74">
        <f>CHOOSE($B$2,'Assumptions Tab'!I14,'Assumptions Tab'!O14,'Assumptions Tab'!U14)</f>
        <v>0.03</v>
      </c>
    </row>
    <row r="32" spans="2:12" x14ac:dyDescent="0.15">
      <c r="B32" s="13" t="s">
        <v>15</v>
      </c>
      <c r="C32" s="46">
        <f>C17/C7</f>
        <v>0.16501607717041802</v>
      </c>
      <c r="D32" s="46">
        <f>D17/D7</f>
        <v>0.1649737302977233</v>
      </c>
      <c r="E32" s="46">
        <f>E17/E7</f>
        <v>0.16500000000000001</v>
      </c>
      <c r="F32" s="70">
        <f>CHOOSE($B$2,'Assumptions Tab'!D15,'Assumptions Tab'!J15,'Assumptions Tab'!P15)</f>
        <v>0.16500000000000001</v>
      </c>
      <c r="G32" s="73">
        <f>CHOOSE($B$2,'Assumptions Tab'!E15,'Assumptions Tab'!K15,'Assumptions Tab'!Q15)</f>
        <v>0.16500000000000001</v>
      </c>
      <c r="H32" s="73">
        <f>CHOOSE($B$2,'Assumptions Tab'!F15,'Assumptions Tab'!L15,'Assumptions Tab'!R15)</f>
        <v>0.16500000000000001</v>
      </c>
      <c r="I32" s="73">
        <f>CHOOSE($B$2,'Assumptions Tab'!G15,'Assumptions Tab'!M15,'Assumptions Tab'!S15)</f>
        <v>0.16500000000000001</v>
      </c>
      <c r="J32" s="73">
        <f>CHOOSE($B$2,'Assumptions Tab'!H15,'Assumptions Tab'!N15,'Assumptions Tab'!T15)</f>
        <v>0.16500000000000001</v>
      </c>
      <c r="K32" s="74">
        <f>CHOOSE($B$2,'Assumptions Tab'!I15,'Assumptions Tab'!O15,'Assumptions Tab'!U15)</f>
        <v>0.16500000000000001</v>
      </c>
    </row>
    <row r="33" spans="2:11" x14ac:dyDescent="0.15">
      <c r="B33" s="13" t="s">
        <v>16</v>
      </c>
      <c r="C33" s="46">
        <v>0.26500000000000001</v>
      </c>
      <c r="D33" s="46">
        <f>C33</f>
        <v>0.26500000000000001</v>
      </c>
      <c r="E33" s="46">
        <f t="shared" ref="E33" si="9">D33</f>
        <v>0.26500000000000001</v>
      </c>
      <c r="F33" s="77">
        <f>CHOOSE($B$2,'Assumptions Tab'!D16,'Assumptions Tab'!J16,'Assumptions Tab'!P16)</f>
        <v>0.26500000000000001</v>
      </c>
      <c r="G33" s="75">
        <f>CHOOSE($B$2,'Assumptions Tab'!E16,'Assumptions Tab'!K16,'Assumptions Tab'!Q16)</f>
        <v>0.26500000000000001</v>
      </c>
      <c r="H33" s="75">
        <f>CHOOSE($B$2,'Assumptions Tab'!F16,'Assumptions Tab'!L16,'Assumptions Tab'!R16)</f>
        <v>0.26500000000000001</v>
      </c>
      <c r="I33" s="75">
        <f>CHOOSE($B$2,'Assumptions Tab'!G16,'Assumptions Tab'!M16,'Assumptions Tab'!S16)</f>
        <v>0.26500000000000001</v>
      </c>
      <c r="J33" s="75">
        <f>CHOOSE($B$2,'Assumptions Tab'!H16,'Assumptions Tab'!N16,'Assumptions Tab'!T16)</f>
        <v>0.26500000000000001</v>
      </c>
      <c r="K33" s="76">
        <f>CHOOSE($B$2,'Assumptions Tab'!I16,'Assumptions Tab'!O16,'Assumptions Tab'!U16)</f>
        <v>0.26500000000000001</v>
      </c>
    </row>
    <row r="39" spans="2:11" x14ac:dyDescent="0.15">
      <c r="F39" s="1"/>
      <c r="G39" s="1"/>
      <c r="H39" s="1"/>
      <c r="I39" s="1"/>
      <c r="J39" s="1"/>
      <c r="K39" s="1"/>
    </row>
    <row r="40" spans="2:11" x14ac:dyDescent="0.15">
      <c r="F40" s="1"/>
      <c r="G40" s="1"/>
      <c r="H40" s="1"/>
      <c r="I40" s="1"/>
      <c r="J40" s="1"/>
      <c r="K40" s="1"/>
    </row>
    <row r="41" spans="2:11" x14ac:dyDescent="0.15">
      <c r="F41" s="56"/>
      <c r="G41" s="56"/>
      <c r="H41" s="56"/>
      <c r="I41" s="56"/>
      <c r="J41" s="56"/>
      <c r="K41" s="56"/>
    </row>
    <row r="45" spans="2:11" x14ac:dyDescent="0.15">
      <c r="F45" s="1"/>
      <c r="G45" s="1"/>
      <c r="H45" s="1"/>
      <c r="I45" s="1"/>
      <c r="J45" s="1"/>
      <c r="K45" s="1"/>
    </row>
    <row r="46" spans="2:11" x14ac:dyDescent="0.15">
      <c r="F46" s="1"/>
      <c r="G46" s="1"/>
      <c r="H46" s="1"/>
      <c r="I46" s="1"/>
      <c r="J46" s="1"/>
      <c r="K46" s="1"/>
    </row>
    <row r="47" spans="2:11" x14ac:dyDescent="0.15">
      <c r="F47" s="1"/>
      <c r="G47" s="1"/>
      <c r="H47" s="1"/>
      <c r="I47" s="1"/>
      <c r="J47" s="1"/>
      <c r="K47" s="1"/>
    </row>
  </sheetData>
  <mergeCells count="3">
    <mergeCell ref="C5:E5"/>
    <mergeCell ref="F5:K5"/>
    <mergeCell ref="C1:C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60450-23C9-0B43-9423-30CF610F1761}">
  <dimension ref="A1:H33"/>
  <sheetViews>
    <sheetView showGridLines="0" workbookViewId="0">
      <selection activeCell="A2" sqref="A2"/>
    </sheetView>
  </sheetViews>
  <sheetFormatPr baseColWidth="10" defaultRowHeight="13" x14ac:dyDescent="0.15"/>
  <cols>
    <col min="2" max="2" width="32.5" customWidth="1"/>
  </cols>
  <sheetData>
    <row r="1" spans="1:8" x14ac:dyDescent="0.15">
      <c r="A1" s="176" t="str">
        <f>HYPERLINK("#'Table of Contents'!A1","&lt;--------")</f>
        <v>&lt;--------</v>
      </c>
    </row>
    <row r="2" spans="1:8" ht="18" x14ac:dyDescent="0.2">
      <c r="B2" s="3" t="s">
        <v>100</v>
      </c>
    </row>
    <row r="3" spans="1:8" ht="16" x14ac:dyDescent="0.15">
      <c r="B3" s="57" t="s">
        <v>123</v>
      </c>
      <c r="C3" s="4"/>
      <c r="D3" s="4"/>
      <c r="E3" s="4"/>
      <c r="F3" s="4"/>
      <c r="G3" s="4"/>
      <c r="H3" s="4"/>
    </row>
    <row r="4" spans="1:8" x14ac:dyDescent="0.15">
      <c r="B4" s="97"/>
      <c r="C4" s="163" t="s">
        <v>12</v>
      </c>
      <c r="D4" s="163"/>
      <c r="E4" s="163"/>
      <c r="F4" s="163"/>
      <c r="G4" s="163"/>
      <c r="H4" s="164"/>
    </row>
    <row r="5" spans="1:8" x14ac:dyDescent="0.15">
      <c r="B5" s="17" t="s">
        <v>10</v>
      </c>
      <c r="C5" s="83">
        <v>2026</v>
      </c>
      <c r="D5" s="83">
        <v>2027</v>
      </c>
      <c r="E5" s="83">
        <v>2028</v>
      </c>
      <c r="F5" s="83">
        <v>2029</v>
      </c>
      <c r="G5" s="83">
        <v>2030</v>
      </c>
      <c r="H5" s="102">
        <v>2031</v>
      </c>
    </row>
    <row r="6" spans="1:8" x14ac:dyDescent="0.15">
      <c r="B6" s="166" t="s">
        <v>102</v>
      </c>
      <c r="C6" s="167"/>
      <c r="D6" s="167"/>
      <c r="E6" s="167"/>
      <c r="F6" s="167"/>
      <c r="G6" s="167"/>
      <c r="H6" s="168"/>
    </row>
    <row r="7" spans="1:8" x14ac:dyDescent="0.15">
      <c r="B7" s="19" t="s">
        <v>101</v>
      </c>
      <c r="C7" s="15">
        <f>'H.B. Fuller BAS Operating'!F$9</f>
        <v>143.10400000000001</v>
      </c>
      <c r="D7" s="15">
        <f>'H.B. Fuller BAS Operating'!G$9</f>
        <v>151.61868800000002</v>
      </c>
      <c r="E7" s="15">
        <f>'H.B. Fuller BAS Operating'!H$9</f>
        <v>159.81353856000001</v>
      </c>
      <c r="F7" s="15">
        <f>'H.B. Fuller BAS Operating'!I$9</f>
        <v>167.3998679808</v>
      </c>
      <c r="G7" s="15">
        <f>'H.B. Fuller BAS Operating'!J$9</f>
        <v>174.47450525856004</v>
      </c>
      <c r="H7" s="98">
        <f>'H.B. Fuller BAS Operating'!K$9</f>
        <v>179.70874041631686</v>
      </c>
    </row>
    <row r="8" spans="1:8" x14ac:dyDescent="0.15">
      <c r="B8" s="19"/>
      <c r="C8" s="15"/>
      <c r="D8" s="15"/>
      <c r="E8" s="15"/>
      <c r="F8" s="15"/>
      <c r="G8" s="15"/>
      <c r="H8" s="98"/>
    </row>
    <row r="9" spans="1:8" x14ac:dyDescent="0.15">
      <c r="B9" s="166" t="s">
        <v>122</v>
      </c>
      <c r="C9" s="169"/>
      <c r="D9" s="169"/>
      <c r="E9" s="169"/>
      <c r="F9" s="169"/>
      <c r="G9" s="169"/>
      <c r="H9" s="170"/>
    </row>
    <row r="10" spans="1:8" x14ac:dyDescent="0.15">
      <c r="B10" s="19" t="s">
        <v>103</v>
      </c>
      <c r="C10">
        <f>SUM(C11:C16)</f>
        <v>-18.5</v>
      </c>
      <c r="D10">
        <f t="shared" ref="D10:H10" si="0">SUM(D11:D16)</f>
        <v>-18.5</v>
      </c>
      <c r="E10">
        <f t="shared" si="0"/>
        <v>-18.5</v>
      </c>
      <c r="F10">
        <f t="shared" si="0"/>
        <v>-18.5</v>
      </c>
      <c r="G10">
        <f t="shared" si="0"/>
        <v>-18.5</v>
      </c>
      <c r="H10" s="23">
        <f t="shared" si="0"/>
        <v>-18.5</v>
      </c>
    </row>
    <row r="11" spans="1:8" x14ac:dyDescent="0.15">
      <c r="B11" s="99" t="s">
        <v>104</v>
      </c>
      <c r="C11" s="12">
        <v>-4</v>
      </c>
      <c r="D11" s="12">
        <v>-4</v>
      </c>
      <c r="E11" s="12">
        <v>-4</v>
      </c>
      <c r="F11" s="12">
        <v>-4</v>
      </c>
      <c r="G11" s="12">
        <v>-4</v>
      </c>
      <c r="H11" s="65">
        <v>-4</v>
      </c>
    </row>
    <row r="12" spans="1:8" x14ac:dyDescent="0.15">
      <c r="B12" s="99" t="s">
        <v>105</v>
      </c>
      <c r="C12" s="12">
        <v>-3</v>
      </c>
      <c r="D12" s="12">
        <v>-3</v>
      </c>
      <c r="E12" s="12">
        <v>-3</v>
      </c>
      <c r="F12" s="12">
        <v>-3</v>
      </c>
      <c r="G12" s="12">
        <v>-3</v>
      </c>
      <c r="H12" s="65">
        <v>-3</v>
      </c>
    </row>
    <row r="13" spans="1:8" x14ac:dyDescent="0.15">
      <c r="B13" s="99" t="s">
        <v>106</v>
      </c>
      <c r="C13" s="12">
        <v>-6.5</v>
      </c>
      <c r="D13" s="12">
        <v>-6.5</v>
      </c>
      <c r="E13" s="12">
        <v>-6.5</v>
      </c>
      <c r="F13" s="12">
        <v>-6.5</v>
      </c>
      <c r="G13" s="12">
        <v>-6.5</v>
      </c>
      <c r="H13" s="65">
        <v>-6.5</v>
      </c>
    </row>
    <row r="14" spans="1:8" x14ac:dyDescent="0.15">
      <c r="B14" s="99" t="s">
        <v>107</v>
      </c>
      <c r="C14" s="12">
        <v>-2</v>
      </c>
      <c r="D14" s="12">
        <v>-2</v>
      </c>
      <c r="E14" s="12">
        <v>-2</v>
      </c>
      <c r="F14" s="12">
        <v>-2</v>
      </c>
      <c r="G14" s="12">
        <v>-2</v>
      </c>
      <c r="H14" s="65">
        <v>-2</v>
      </c>
    </row>
    <row r="15" spans="1:8" x14ac:dyDescent="0.15">
      <c r="B15" s="99" t="s">
        <v>108</v>
      </c>
      <c r="C15" s="12">
        <v>-1</v>
      </c>
      <c r="D15" s="12">
        <v>-1</v>
      </c>
      <c r="E15" s="12">
        <v>-1</v>
      </c>
      <c r="F15" s="12">
        <v>-1</v>
      </c>
      <c r="G15" s="12">
        <v>-1</v>
      </c>
      <c r="H15" s="65">
        <v>-1</v>
      </c>
    </row>
    <row r="16" spans="1:8" x14ac:dyDescent="0.15">
      <c r="B16" s="99" t="s">
        <v>109</v>
      </c>
      <c r="C16" s="12">
        <v>-2</v>
      </c>
      <c r="D16" s="12">
        <v>-2</v>
      </c>
      <c r="E16" s="12">
        <v>-2</v>
      </c>
      <c r="F16" s="12">
        <v>-2</v>
      </c>
      <c r="G16" s="12">
        <v>-2</v>
      </c>
      <c r="H16" s="65">
        <v>-2</v>
      </c>
    </row>
    <row r="17" spans="2:8" x14ac:dyDescent="0.15">
      <c r="B17" s="19" t="s">
        <v>110</v>
      </c>
      <c r="C17" s="12">
        <v>-5.5</v>
      </c>
      <c r="D17" s="12">
        <v>-4</v>
      </c>
      <c r="E17" s="12">
        <v>-2.5</v>
      </c>
      <c r="F17" s="12">
        <v>-1</v>
      </c>
      <c r="G17" s="12">
        <v>0</v>
      </c>
      <c r="H17" s="65">
        <v>0</v>
      </c>
    </row>
    <row r="18" spans="2:8" x14ac:dyDescent="0.15">
      <c r="B18" s="19" t="s">
        <v>111</v>
      </c>
      <c r="C18" s="12">
        <v>-7.5</v>
      </c>
      <c r="D18" s="12">
        <v>-6.5</v>
      </c>
      <c r="E18" s="12">
        <v>-4.5</v>
      </c>
      <c r="F18" s="12">
        <v>-3</v>
      </c>
      <c r="G18" s="12">
        <v>-1.5</v>
      </c>
      <c r="H18" s="65">
        <v>0</v>
      </c>
    </row>
    <row r="19" spans="2:8" x14ac:dyDescent="0.15">
      <c r="B19" s="21" t="s">
        <v>112</v>
      </c>
      <c r="C19" s="140">
        <v>8</v>
      </c>
      <c r="D19" s="140">
        <v>10</v>
      </c>
      <c r="E19" s="140">
        <v>12</v>
      </c>
      <c r="F19" s="140">
        <v>14</v>
      </c>
      <c r="G19" s="140">
        <v>16</v>
      </c>
      <c r="H19" s="66">
        <v>16</v>
      </c>
    </row>
    <row r="20" spans="2:8" x14ac:dyDescent="0.15">
      <c r="B20" s="32" t="s">
        <v>113</v>
      </c>
      <c r="C20" s="8">
        <f>C10+C17+C18+C19</f>
        <v>-23.5</v>
      </c>
      <c r="D20" s="8">
        <f t="shared" ref="D20:H20" si="1">D10+D17+D18+D19</f>
        <v>-19</v>
      </c>
      <c r="E20" s="8">
        <f t="shared" si="1"/>
        <v>-13.5</v>
      </c>
      <c r="F20" s="8">
        <f t="shared" si="1"/>
        <v>-8.5</v>
      </c>
      <c r="G20" s="8">
        <f t="shared" si="1"/>
        <v>-4</v>
      </c>
      <c r="H20" s="33">
        <f t="shared" si="1"/>
        <v>-2.5</v>
      </c>
    </row>
    <row r="21" spans="2:8" x14ac:dyDescent="0.15">
      <c r="B21" s="19"/>
      <c r="H21" s="23"/>
    </row>
    <row r="22" spans="2:8" x14ac:dyDescent="0.15">
      <c r="B22" s="166" t="s">
        <v>114</v>
      </c>
      <c r="C22" s="169"/>
      <c r="D22" s="169"/>
      <c r="E22" s="169"/>
      <c r="F22" s="169"/>
      <c r="G22" s="169"/>
      <c r="H22" s="170"/>
    </row>
    <row r="23" spans="2:8" x14ac:dyDescent="0.15">
      <c r="B23" s="32" t="s">
        <v>124</v>
      </c>
      <c r="C23" s="15">
        <f>C7+C20</f>
        <v>119.60400000000001</v>
      </c>
      <c r="D23" s="15">
        <f t="shared" ref="D23:H23" si="2">D7+D20</f>
        <v>132.61868800000002</v>
      </c>
      <c r="E23" s="15">
        <f t="shared" si="2"/>
        <v>146.31353856000001</v>
      </c>
      <c r="F23" s="15">
        <f t="shared" si="2"/>
        <v>158.8998679808</v>
      </c>
      <c r="G23" s="15">
        <f t="shared" si="2"/>
        <v>170.47450525856004</v>
      </c>
      <c r="H23" s="98">
        <f t="shared" si="2"/>
        <v>177.20874041631686</v>
      </c>
    </row>
    <row r="24" spans="2:8" x14ac:dyDescent="0.15">
      <c r="B24" s="100" t="s">
        <v>2</v>
      </c>
      <c r="C24" s="103">
        <f>C23/'H.B. Fuller BAS Operating'!F7</f>
        <v>0.13372540250447229</v>
      </c>
      <c r="D24" s="103">
        <f>D23/'H.B. Fuller BAS Operating'!G7</f>
        <v>0.14257375808449155</v>
      </c>
      <c r="E24" s="103">
        <f>E23/'H.B. Fuller BAS Operating'!H7</f>
        <v>0.15197740829598963</v>
      </c>
      <c r="F24" s="103">
        <f>F23/'H.B. Fuller BAS Operating'!I7</f>
        <v>0.1594695273226632</v>
      </c>
      <c r="G24" s="103">
        <f>G23/'H.B. Fuller BAS Operating'!J7</f>
        <v>0.16610258244324991</v>
      </c>
      <c r="H24" s="104">
        <f>H23/'H.B. Fuller BAS Operating'!K7</f>
        <v>0.16763506216216623</v>
      </c>
    </row>
    <row r="25" spans="2:8" x14ac:dyDescent="0.15">
      <c r="B25" s="19"/>
      <c r="H25" s="23"/>
    </row>
    <row r="26" spans="2:8" x14ac:dyDescent="0.15">
      <c r="B26" s="166" t="s">
        <v>115</v>
      </c>
      <c r="C26" s="169"/>
      <c r="D26" s="169"/>
      <c r="E26" s="169"/>
      <c r="F26" s="169"/>
      <c r="G26" s="169"/>
      <c r="H26" s="170"/>
    </row>
    <row r="27" spans="2:8" x14ac:dyDescent="0.15">
      <c r="B27" s="19" t="s">
        <v>106</v>
      </c>
      <c r="C27" s="12">
        <v>15</v>
      </c>
      <c r="D27" s="12">
        <v>2.5</v>
      </c>
      <c r="E27" s="12">
        <v>0</v>
      </c>
      <c r="F27" s="12">
        <v>0</v>
      </c>
      <c r="G27" s="12">
        <v>0</v>
      </c>
      <c r="H27" s="65">
        <v>0</v>
      </c>
    </row>
    <row r="28" spans="2:8" x14ac:dyDescent="0.15">
      <c r="B28" s="19" t="s">
        <v>116</v>
      </c>
      <c r="C28" s="12">
        <v>5</v>
      </c>
      <c r="D28" s="12">
        <v>0.5</v>
      </c>
      <c r="E28" s="12">
        <v>0</v>
      </c>
      <c r="F28" s="12">
        <v>0</v>
      </c>
      <c r="G28" s="12">
        <v>0</v>
      </c>
      <c r="H28" s="65">
        <v>0</v>
      </c>
    </row>
    <row r="29" spans="2:8" x14ac:dyDescent="0.15">
      <c r="B29" s="19" t="s">
        <v>117</v>
      </c>
      <c r="C29" s="12">
        <v>6</v>
      </c>
      <c r="D29" s="12">
        <v>1</v>
      </c>
      <c r="E29" s="12">
        <v>0</v>
      </c>
      <c r="F29" s="12">
        <v>0</v>
      </c>
      <c r="G29" s="12">
        <v>0</v>
      </c>
      <c r="H29" s="65">
        <v>0</v>
      </c>
    </row>
    <row r="30" spans="2:8" x14ac:dyDescent="0.15">
      <c r="B30" s="19" t="s">
        <v>118</v>
      </c>
      <c r="C30" s="12">
        <v>3</v>
      </c>
      <c r="D30" s="12">
        <v>0.5</v>
      </c>
      <c r="E30" s="12">
        <v>0</v>
      </c>
      <c r="F30" s="12">
        <v>0</v>
      </c>
      <c r="G30" s="12">
        <v>0</v>
      </c>
      <c r="H30" s="65">
        <v>0</v>
      </c>
    </row>
    <row r="31" spans="2:8" x14ac:dyDescent="0.15">
      <c r="B31" s="19" t="s">
        <v>120</v>
      </c>
      <c r="C31" s="12">
        <v>2</v>
      </c>
      <c r="D31" s="12">
        <v>0</v>
      </c>
      <c r="E31" s="12">
        <v>0</v>
      </c>
      <c r="F31" s="12">
        <v>0</v>
      </c>
      <c r="G31" s="12">
        <v>0</v>
      </c>
      <c r="H31" s="65">
        <v>0</v>
      </c>
    </row>
    <row r="32" spans="2:8" x14ac:dyDescent="0.15">
      <c r="B32" s="19" t="s">
        <v>119</v>
      </c>
      <c r="C32" s="12">
        <v>2</v>
      </c>
      <c r="D32" s="12">
        <v>0</v>
      </c>
      <c r="E32" s="12">
        <v>0</v>
      </c>
      <c r="F32" s="12">
        <v>0</v>
      </c>
      <c r="G32" s="12">
        <v>0</v>
      </c>
      <c r="H32" s="65">
        <v>0</v>
      </c>
    </row>
    <row r="33" spans="2:8" x14ac:dyDescent="0.15">
      <c r="B33" s="101" t="s">
        <v>121</v>
      </c>
      <c r="C33" s="96">
        <f>SUM(C27:C32)</f>
        <v>33</v>
      </c>
      <c r="D33" s="96">
        <f t="shared" ref="D33:H33" si="3">SUM(D27:D32)</f>
        <v>4.5</v>
      </c>
      <c r="E33" s="96">
        <f t="shared" si="3"/>
        <v>0</v>
      </c>
      <c r="F33" s="96">
        <f t="shared" si="3"/>
        <v>0</v>
      </c>
      <c r="G33" s="96">
        <f t="shared" si="3"/>
        <v>0</v>
      </c>
      <c r="H33" s="59">
        <f t="shared" si="3"/>
        <v>0</v>
      </c>
    </row>
  </sheetData>
  <mergeCells count="5">
    <mergeCell ref="C4:H4"/>
    <mergeCell ref="B6:H6"/>
    <mergeCell ref="B9:H9"/>
    <mergeCell ref="B22:H22"/>
    <mergeCell ref="B26:H26"/>
  </mergeCells>
  <pageMargins left="0.7" right="0.7" top="0.75" bottom="0.75" header="0.3" footer="0.3"/>
  <ignoredErrors>
    <ignoredError sqref="C10:H10" formulaRange="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D35E-CD78-AB4A-9470-E9F48D39FA52}">
  <sheetPr codeName="Sheet4"/>
  <dimension ref="A1:C31"/>
  <sheetViews>
    <sheetView showGridLines="0" workbookViewId="0">
      <selection activeCell="I29" sqref="I29:J29"/>
    </sheetView>
  </sheetViews>
  <sheetFormatPr baseColWidth="10" defaultRowHeight="13" x14ac:dyDescent="0.15"/>
  <cols>
    <col min="2" max="2" width="17.1640625" customWidth="1"/>
  </cols>
  <sheetData>
    <row r="1" spans="1:3" x14ac:dyDescent="0.15">
      <c r="A1" s="176" t="str">
        <f>HYPERLINK("#'Table of Contents'!A1","&lt;--------")</f>
        <v>&lt;--------</v>
      </c>
    </row>
    <row r="4" spans="1:3" ht="18" x14ac:dyDescent="0.2">
      <c r="B4" s="3" t="s">
        <v>52</v>
      </c>
    </row>
    <row r="5" spans="1:3" x14ac:dyDescent="0.15">
      <c r="B5" s="4" t="s">
        <v>42</v>
      </c>
      <c r="C5" s="4"/>
    </row>
    <row r="6" spans="1:3" x14ac:dyDescent="0.15">
      <c r="B6" t="s">
        <v>43</v>
      </c>
      <c r="C6" s="16">
        <f>'H.B. Fuller BAS Operating'!F10</f>
        <v>119.60400000000001</v>
      </c>
    </row>
    <row r="7" spans="1:3" x14ac:dyDescent="0.15">
      <c r="B7" t="s">
        <v>44</v>
      </c>
      <c r="C7" s="82">
        <f>C9/C6</f>
        <v>10.033109260559847</v>
      </c>
    </row>
    <row r="9" spans="1:3" x14ac:dyDescent="0.15">
      <c r="B9" s="79" t="s">
        <v>45</v>
      </c>
      <c r="C9" s="81">
        <f>'Assumptions Tab'!F25</f>
        <v>1200</v>
      </c>
    </row>
    <row r="11" spans="1:3" x14ac:dyDescent="0.15">
      <c r="B11" s="4" t="s">
        <v>39</v>
      </c>
      <c r="C11" s="4"/>
    </row>
    <row r="12" spans="1:3" x14ac:dyDescent="0.15">
      <c r="B12" t="s">
        <v>40</v>
      </c>
      <c r="C12" s="16">
        <f>C9</f>
        <v>1200</v>
      </c>
    </row>
    <row r="13" spans="1:3" x14ac:dyDescent="0.15">
      <c r="B13" t="s">
        <v>24</v>
      </c>
      <c r="C13" s="16">
        <f>C12*'Assumptions Tab'!F27</f>
        <v>12</v>
      </c>
    </row>
    <row r="14" spans="1:3" x14ac:dyDescent="0.15">
      <c r="B14" t="s">
        <v>41</v>
      </c>
      <c r="C14">
        <f>'Assumptions Tab'!I26</f>
        <v>37.5</v>
      </c>
    </row>
    <row r="15" spans="1:3" x14ac:dyDescent="0.15">
      <c r="B15" t="s">
        <v>37</v>
      </c>
      <c r="C15">
        <f>'Assumptions Tab'!I25</f>
        <v>25</v>
      </c>
    </row>
    <row r="17" spans="2:3" x14ac:dyDescent="0.15">
      <c r="B17" s="79" t="s">
        <v>46</v>
      </c>
      <c r="C17" s="81">
        <f>SUM(C12:C15)</f>
        <v>1274.5</v>
      </c>
    </row>
    <row r="20" spans="2:3" x14ac:dyDescent="0.15">
      <c r="B20" s="4" t="s">
        <v>38</v>
      </c>
      <c r="C20" s="4"/>
    </row>
    <row r="21" spans="2:3" x14ac:dyDescent="0.15">
      <c r="B21" t="s">
        <v>48</v>
      </c>
      <c r="C21">
        <f>'Debt Schedule'!D5</f>
        <v>556.15860000000009</v>
      </c>
    </row>
    <row r="22" spans="2:3" x14ac:dyDescent="0.15">
      <c r="B22" t="s">
        <v>49</v>
      </c>
      <c r="C22">
        <f>'Debt Schedule'!D6</f>
        <v>149.50500000000002</v>
      </c>
    </row>
    <row r="23" spans="2:3" x14ac:dyDescent="0.15">
      <c r="B23" s="10" t="s">
        <v>275</v>
      </c>
      <c r="C23" s="44">
        <f>SUM(C21:C22)/SUM(C21+C22+C24)</f>
        <v>0.55367877599058457</v>
      </c>
    </row>
    <row r="24" spans="2:3" ht="14" customHeight="1" x14ac:dyDescent="0.15">
      <c r="B24" s="8" t="s">
        <v>50</v>
      </c>
      <c r="C24" s="91">
        <f>C17-SUM(C21:C22)</f>
        <v>568.83639999999991</v>
      </c>
    </row>
    <row r="25" spans="2:3" x14ac:dyDescent="0.15">
      <c r="C25" s="16"/>
    </row>
    <row r="26" spans="2:3" x14ac:dyDescent="0.15">
      <c r="B26" s="79" t="s">
        <v>47</v>
      </c>
      <c r="C26" s="81">
        <f>SUM(C21:C24)-C23</f>
        <v>1274.5</v>
      </c>
    </row>
    <row r="27" spans="2:3" x14ac:dyDescent="0.15">
      <c r="B27" s="10" t="s">
        <v>51</v>
      </c>
      <c r="C27">
        <f>C17-C26</f>
        <v>0</v>
      </c>
    </row>
    <row r="28" spans="2:3" x14ac:dyDescent="0.15">
      <c r="B28" s="10"/>
    </row>
    <row r="29" spans="2:3" x14ac:dyDescent="0.15">
      <c r="B29" s="10"/>
    </row>
    <row r="30" spans="2:3" x14ac:dyDescent="0.15">
      <c r="B30" s="8" t="s">
        <v>53</v>
      </c>
      <c r="C30" s="14">
        <f>C24/C26</f>
        <v>0.44632122400941537</v>
      </c>
    </row>
    <row r="31" spans="2:3" x14ac:dyDescent="0.15">
      <c r="B31" s="8" t="s">
        <v>54</v>
      </c>
      <c r="C31" s="91">
        <f>SUM(C21:C22)/C6</f>
        <v>5.9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DBD69-3473-D242-9DAF-012084E14CF5}">
  <dimension ref="A1:H56"/>
  <sheetViews>
    <sheetView showGridLines="0" workbookViewId="0">
      <selection activeCell="F45" sqref="F45"/>
    </sheetView>
  </sheetViews>
  <sheetFormatPr baseColWidth="10" defaultColWidth="13.33203125" defaultRowHeight="13" x14ac:dyDescent="0.15"/>
  <cols>
    <col min="2" max="2" width="28.1640625" customWidth="1"/>
    <col min="3" max="5" width="19.5" customWidth="1"/>
    <col min="6" max="6" width="25" customWidth="1"/>
    <col min="7" max="7" width="19.5" customWidth="1"/>
    <col min="8" max="8" width="13.6640625" bestFit="1" customWidth="1"/>
  </cols>
  <sheetData>
    <row r="1" spans="1:8" x14ac:dyDescent="0.15">
      <c r="A1" s="176" t="str">
        <f>HYPERLINK("#'Table of Contents'!A1","&lt;--------")</f>
        <v>&lt;--------</v>
      </c>
    </row>
    <row r="2" spans="1:8" ht="18" x14ac:dyDescent="0.2">
      <c r="B2" s="3" t="s">
        <v>67</v>
      </c>
    </row>
    <row r="3" spans="1:8" x14ac:dyDescent="0.15">
      <c r="B3" s="4" t="s">
        <v>57</v>
      </c>
      <c r="C3" s="4"/>
      <c r="D3" s="4"/>
      <c r="E3" s="4"/>
      <c r="F3" s="4"/>
    </row>
    <row r="4" spans="1:8" x14ac:dyDescent="0.15">
      <c r="B4" s="7" t="s">
        <v>70</v>
      </c>
      <c r="C4" s="7" t="s">
        <v>60</v>
      </c>
      <c r="D4" s="7" t="s">
        <v>65</v>
      </c>
      <c r="E4" s="7" t="s">
        <v>66</v>
      </c>
      <c r="F4" s="7" t="s">
        <v>71</v>
      </c>
    </row>
    <row r="5" spans="1:8" x14ac:dyDescent="0.15">
      <c r="B5" t="s">
        <v>48</v>
      </c>
      <c r="C5" t="s">
        <v>68</v>
      </c>
      <c r="D5" s="156">
        <f>'H.B. Fuller BAS Operating'!F10*4.65</f>
        <v>556.15860000000009</v>
      </c>
      <c r="E5" s="1">
        <v>7.0000000000000007E-2</v>
      </c>
      <c r="F5" s="85">
        <v>0.02</v>
      </c>
    </row>
    <row r="6" spans="1:8" x14ac:dyDescent="0.15">
      <c r="B6" t="s">
        <v>64</v>
      </c>
      <c r="C6" t="s">
        <v>69</v>
      </c>
      <c r="D6" s="156">
        <f>'H.B. Fuller BAS Operating'!F10*1.25</f>
        <v>149.50500000000002</v>
      </c>
      <c r="E6" s="1">
        <v>0.1</v>
      </c>
      <c r="F6" s="85">
        <v>0</v>
      </c>
    </row>
    <row r="7" spans="1:8" x14ac:dyDescent="0.15">
      <c r="B7" t="s">
        <v>61</v>
      </c>
      <c r="C7" t="s">
        <v>61</v>
      </c>
      <c r="D7" s="84">
        <v>0</v>
      </c>
      <c r="E7" s="1">
        <v>6.5000000000000002E-2</v>
      </c>
      <c r="F7" s="85">
        <v>0</v>
      </c>
    </row>
    <row r="9" spans="1:8" x14ac:dyDescent="0.15">
      <c r="B9" t="s">
        <v>72</v>
      </c>
    </row>
    <row r="10" spans="1:8" x14ac:dyDescent="0.15">
      <c r="B10" t="s">
        <v>73</v>
      </c>
      <c r="C10">
        <f>'Assumptions Tab'!I25</f>
        <v>25</v>
      </c>
    </row>
    <row r="11" spans="1:8" x14ac:dyDescent="0.15">
      <c r="B11" t="s">
        <v>74</v>
      </c>
      <c r="C11" s="85">
        <v>1</v>
      </c>
    </row>
    <row r="12" spans="1:8" x14ac:dyDescent="0.15">
      <c r="B12" t="s">
        <v>75</v>
      </c>
    </row>
    <row r="13" spans="1:8" x14ac:dyDescent="0.15">
      <c r="B13" t="s">
        <v>76</v>
      </c>
    </row>
    <row r="15" spans="1:8" x14ac:dyDescent="0.15">
      <c r="B15" s="4" t="s">
        <v>77</v>
      </c>
      <c r="C15" s="4"/>
      <c r="D15" s="4"/>
      <c r="E15" s="4"/>
      <c r="F15" s="4"/>
      <c r="G15" s="4"/>
      <c r="H15" s="4"/>
    </row>
    <row r="16" spans="1:8" x14ac:dyDescent="0.15">
      <c r="B16" s="7"/>
      <c r="C16" s="7">
        <v>2026</v>
      </c>
      <c r="D16" s="7">
        <f>C16+1</f>
        <v>2027</v>
      </c>
      <c r="E16" s="7">
        <f t="shared" ref="E16:H16" si="0">D16+1</f>
        <v>2028</v>
      </c>
      <c r="F16" s="7">
        <f t="shared" si="0"/>
        <v>2029</v>
      </c>
      <c r="G16" s="7">
        <f t="shared" si="0"/>
        <v>2030</v>
      </c>
      <c r="H16" s="7">
        <f t="shared" si="0"/>
        <v>2031</v>
      </c>
    </row>
    <row r="17" spans="2:8" x14ac:dyDescent="0.15">
      <c r="B17" s="89" t="s">
        <v>63</v>
      </c>
      <c r="C17" s="89"/>
      <c r="D17" s="89"/>
      <c r="E17" s="89"/>
      <c r="F17" s="89"/>
      <c r="G17" s="89"/>
      <c r="H17" s="89"/>
    </row>
    <row r="18" spans="2:8" x14ac:dyDescent="0.15">
      <c r="B18" t="s">
        <v>55</v>
      </c>
      <c r="C18" s="87">
        <f>$D$5</f>
        <v>556.15860000000009</v>
      </c>
      <c r="D18" s="87">
        <f>C22</f>
        <v>545.03542800000014</v>
      </c>
      <c r="E18" s="87">
        <f t="shared" ref="E18:H18" si="1">D22</f>
        <v>533.91225600000018</v>
      </c>
      <c r="F18" s="87">
        <f t="shared" si="1"/>
        <v>499.80068062585025</v>
      </c>
      <c r="G18" s="87">
        <f t="shared" si="1"/>
        <v>444.7070218568598</v>
      </c>
      <c r="H18" s="87">
        <f t="shared" si="1"/>
        <v>375.97895470331997</v>
      </c>
    </row>
    <row r="19" spans="2:8" x14ac:dyDescent="0.15">
      <c r="B19" t="s">
        <v>56</v>
      </c>
      <c r="C19" s="87">
        <v>0</v>
      </c>
      <c r="D19" s="87">
        <v>0</v>
      </c>
      <c r="E19" s="87">
        <v>0</v>
      </c>
      <c r="F19" s="87">
        <v>0</v>
      </c>
      <c r="G19" s="87">
        <v>0</v>
      </c>
      <c r="H19" s="87">
        <v>0</v>
      </c>
    </row>
    <row r="20" spans="2:8" x14ac:dyDescent="0.15">
      <c r="B20" t="s">
        <v>58</v>
      </c>
      <c r="C20" s="87">
        <f>MIN(C18+C19,$D$5*N($F$5))</f>
        <v>11.123172000000002</v>
      </c>
      <c r="D20" s="87">
        <f t="shared" ref="D20:H20" si="2">MIN(D18+D19,$D$5*N($F$5))</f>
        <v>11.123172000000002</v>
      </c>
      <c r="E20" s="87">
        <f t="shared" si="2"/>
        <v>11.123172000000002</v>
      </c>
      <c r="F20" s="87">
        <f t="shared" si="2"/>
        <v>11.123172000000002</v>
      </c>
      <c r="G20" s="87">
        <f t="shared" si="2"/>
        <v>11.123172000000002</v>
      </c>
      <c r="H20" s="87">
        <f t="shared" si="2"/>
        <v>11.123172000000002</v>
      </c>
    </row>
    <row r="21" spans="2:8" x14ac:dyDescent="0.15">
      <c r="B21" t="s">
        <v>78</v>
      </c>
      <c r="C21" s="87">
        <f t="shared" ref="C21:H21" si="3">MIN(C18+C19-C20,MAX(0,C51*$C$11-C39))</f>
        <v>0</v>
      </c>
      <c r="D21" s="87">
        <f t="shared" si="3"/>
        <v>0</v>
      </c>
      <c r="E21" s="87">
        <f t="shared" si="3"/>
        <v>22.988403374149996</v>
      </c>
      <c r="F21" s="87">
        <f t="shared" si="3"/>
        <v>43.970486768990469</v>
      </c>
      <c r="G21" s="87">
        <f t="shared" si="3"/>
        <v>57.604895153539815</v>
      </c>
      <c r="H21" s="87">
        <f t="shared" si="3"/>
        <v>67.026406454793246</v>
      </c>
    </row>
    <row r="22" spans="2:8" x14ac:dyDescent="0.15">
      <c r="B22" t="s">
        <v>79</v>
      </c>
      <c r="C22" s="87">
        <f>C18+C19-C20-C21</f>
        <v>545.03542800000014</v>
      </c>
      <c r="D22" s="87">
        <f t="shared" ref="D22:H22" si="4">D18+D19-D20-D21</f>
        <v>533.91225600000018</v>
      </c>
      <c r="E22" s="87">
        <f t="shared" si="4"/>
        <v>499.80068062585025</v>
      </c>
      <c r="F22" s="87">
        <f t="shared" si="4"/>
        <v>444.7070218568598</v>
      </c>
      <c r="G22" s="87">
        <f t="shared" si="4"/>
        <v>375.97895470331997</v>
      </c>
      <c r="H22" s="87">
        <f t="shared" si="4"/>
        <v>297.82937624852673</v>
      </c>
    </row>
    <row r="23" spans="2:8" x14ac:dyDescent="0.15">
      <c r="B23" t="s">
        <v>80</v>
      </c>
      <c r="C23" s="87">
        <f t="shared" ref="C23:H23" si="5">(C18+C22)/2</f>
        <v>550.59701400000017</v>
      </c>
      <c r="D23" s="87">
        <f t="shared" si="5"/>
        <v>539.4738420000001</v>
      </c>
      <c r="E23" s="87">
        <f t="shared" si="5"/>
        <v>516.85646831292524</v>
      </c>
      <c r="F23" s="87">
        <f t="shared" si="5"/>
        <v>472.25385124135505</v>
      </c>
      <c r="G23" s="87">
        <f t="shared" si="5"/>
        <v>410.34298828008991</v>
      </c>
      <c r="H23" s="87">
        <f t="shared" si="5"/>
        <v>336.90416547592338</v>
      </c>
    </row>
    <row r="24" spans="2:8" x14ac:dyDescent="0.15">
      <c r="B24" t="s">
        <v>81</v>
      </c>
      <c r="C24" s="87">
        <f t="shared" ref="C24:H24" si="6">C18*$E$5</f>
        <v>38.93110200000001</v>
      </c>
      <c r="D24" s="87">
        <f t="shared" si="6"/>
        <v>38.152479960000015</v>
      </c>
      <c r="E24" s="87">
        <f t="shared" si="6"/>
        <v>37.373857920000013</v>
      </c>
      <c r="F24" s="87">
        <f t="shared" si="6"/>
        <v>34.98604764380952</v>
      </c>
      <c r="G24" s="87">
        <f t="shared" si="6"/>
        <v>31.129491529980189</v>
      </c>
      <c r="H24" s="87">
        <f t="shared" si="6"/>
        <v>26.3185268292324</v>
      </c>
    </row>
    <row r="26" spans="2:8" x14ac:dyDescent="0.15">
      <c r="B26" s="86" t="s">
        <v>64</v>
      </c>
      <c r="C26" s="86"/>
      <c r="D26" s="86"/>
      <c r="E26" s="86"/>
      <c r="F26" s="86"/>
      <c r="G26" s="86"/>
      <c r="H26" s="86"/>
    </row>
    <row r="27" spans="2:8" x14ac:dyDescent="0.15">
      <c r="B27" t="s">
        <v>55</v>
      </c>
      <c r="C27" s="87">
        <f>$D$6</f>
        <v>149.50500000000002</v>
      </c>
      <c r="D27" s="87">
        <f>C31</f>
        <v>149.50500000000002</v>
      </c>
      <c r="E27" s="87">
        <f t="shared" ref="E27:H27" si="7">D31</f>
        <v>149.50500000000002</v>
      </c>
      <c r="F27" s="87">
        <f t="shared" si="7"/>
        <v>149.50500000000002</v>
      </c>
      <c r="G27" s="87">
        <f t="shared" si="7"/>
        <v>149.50500000000002</v>
      </c>
      <c r="H27" s="87">
        <f t="shared" si="7"/>
        <v>149.50500000000002</v>
      </c>
    </row>
    <row r="28" spans="2:8" x14ac:dyDescent="0.15">
      <c r="B28" t="s">
        <v>56</v>
      </c>
      <c r="C28" s="87">
        <v>0</v>
      </c>
      <c r="D28" s="87">
        <v>0</v>
      </c>
      <c r="E28" s="87">
        <v>0</v>
      </c>
      <c r="F28" s="87">
        <v>0</v>
      </c>
      <c r="G28" s="87">
        <v>0</v>
      </c>
      <c r="H28" s="87">
        <v>0</v>
      </c>
    </row>
    <row r="29" spans="2:8" x14ac:dyDescent="0.15">
      <c r="B29" t="s">
        <v>58</v>
      </c>
      <c r="C29" s="87">
        <f>MIN(C27+C28,$D$6*N($F$6))</f>
        <v>0</v>
      </c>
      <c r="D29" s="87">
        <f t="shared" ref="D29:H29" si="8">MIN(D27+D28,$D$6*N($F$6))</f>
        <v>0</v>
      </c>
      <c r="E29" s="87">
        <f t="shared" si="8"/>
        <v>0</v>
      </c>
      <c r="F29" s="87">
        <f t="shared" si="8"/>
        <v>0</v>
      </c>
      <c r="G29" s="87">
        <f t="shared" si="8"/>
        <v>0</v>
      </c>
      <c r="H29" s="87">
        <f t="shared" si="8"/>
        <v>0</v>
      </c>
    </row>
    <row r="30" spans="2:8" x14ac:dyDescent="0.15">
      <c r="B30" t="s">
        <v>78</v>
      </c>
      <c r="C30" s="87">
        <f t="shared" ref="C30:H30" si="9">MIN(C27+C28-C29,MAX(0,C51*$C$11-C39-C21))</f>
        <v>0</v>
      </c>
      <c r="D30" s="87">
        <f t="shared" si="9"/>
        <v>0</v>
      </c>
      <c r="E30" s="87">
        <f t="shared" si="9"/>
        <v>0</v>
      </c>
      <c r="F30" s="87">
        <f t="shared" si="9"/>
        <v>0</v>
      </c>
      <c r="G30" s="87">
        <f t="shared" si="9"/>
        <v>0</v>
      </c>
      <c r="H30" s="87">
        <f t="shared" si="9"/>
        <v>0</v>
      </c>
    </row>
    <row r="31" spans="2:8" x14ac:dyDescent="0.15">
      <c r="B31" t="s">
        <v>79</v>
      </c>
      <c r="C31" s="87">
        <f t="shared" ref="C31:H31" si="10">C27+C28-C29-C30</f>
        <v>149.50500000000002</v>
      </c>
      <c r="D31" s="87">
        <f t="shared" si="10"/>
        <v>149.50500000000002</v>
      </c>
      <c r="E31" s="87">
        <f t="shared" si="10"/>
        <v>149.50500000000002</v>
      </c>
      <c r="F31" s="87">
        <f t="shared" si="10"/>
        <v>149.50500000000002</v>
      </c>
      <c r="G31" s="87">
        <f t="shared" si="10"/>
        <v>149.50500000000002</v>
      </c>
      <c r="H31" s="87">
        <f t="shared" si="10"/>
        <v>149.50500000000002</v>
      </c>
    </row>
    <row r="32" spans="2:8" x14ac:dyDescent="0.15">
      <c r="B32" t="s">
        <v>80</v>
      </c>
      <c r="C32" s="87">
        <f t="shared" ref="C32:H32" si="11">(C27+C31)/2</f>
        <v>149.50500000000002</v>
      </c>
      <c r="D32" s="87">
        <f t="shared" si="11"/>
        <v>149.50500000000002</v>
      </c>
      <c r="E32" s="87">
        <f t="shared" si="11"/>
        <v>149.50500000000002</v>
      </c>
      <c r="F32" s="87">
        <f t="shared" si="11"/>
        <v>149.50500000000002</v>
      </c>
      <c r="G32" s="87">
        <f t="shared" si="11"/>
        <v>149.50500000000002</v>
      </c>
      <c r="H32" s="87">
        <f t="shared" si="11"/>
        <v>149.50500000000002</v>
      </c>
    </row>
    <row r="33" spans="2:8" x14ac:dyDescent="0.15">
      <c r="B33" t="s">
        <v>81</v>
      </c>
      <c r="C33" s="87">
        <f t="shared" ref="C33:H33" si="12">C27*$E$6</f>
        <v>14.950500000000003</v>
      </c>
      <c r="D33" s="87">
        <f t="shared" si="12"/>
        <v>14.950500000000003</v>
      </c>
      <c r="E33" s="87">
        <f t="shared" si="12"/>
        <v>14.950500000000003</v>
      </c>
      <c r="F33" s="87">
        <f t="shared" si="12"/>
        <v>14.950500000000003</v>
      </c>
      <c r="G33" s="87">
        <f t="shared" si="12"/>
        <v>14.950500000000003</v>
      </c>
      <c r="H33" s="87">
        <f t="shared" si="12"/>
        <v>14.950500000000003</v>
      </c>
    </row>
    <row r="34" spans="2:8" x14ac:dyDescent="0.15">
      <c r="C34" s="87"/>
      <c r="D34" s="87"/>
      <c r="E34" s="87"/>
      <c r="F34" s="87"/>
      <c r="G34" s="87"/>
      <c r="H34" s="87"/>
    </row>
    <row r="35" spans="2:8" x14ac:dyDescent="0.15">
      <c r="B35" s="86" t="s">
        <v>61</v>
      </c>
      <c r="C35" s="88"/>
      <c r="D35" s="88"/>
      <c r="E35" s="88"/>
      <c r="F35" s="88"/>
      <c r="G35" s="88"/>
      <c r="H35" s="88"/>
    </row>
    <row r="36" spans="2:8" x14ac:dyDescent="0.15">
      <c r="B36" t="s">
        <v>55</v>
      </c>
      <c r="C36" s="87">
        <f>N($D$7)</f>
        <v>0</v>
      </c>
      <c r="D36" s="87">
        <f>C40</f>
        <v>21.909601999999992</v>
      </c>
      <c r="E36" s="87">
        <f t="shared" ref="E36:H36" si="13">D40</f>
        <v>7.6232980900000058</v>
      </c>
      <c r="F36" s="87">
        <f t="shared" si="13"/>
        <v>0</v>
      </c>
      <c r="G36" s="87">
        <f t="shared" si="13"/>
        <v>0</v>
      </c>
      <c r="H36" s="87">
        <f t="shared" si="13"/>
        <v>0</v>
      </c>
    </row>
    <row r="37" spans="2:8" x14ac:dyDescent="0.15">
      <c r="B37" t="s">
        <v>56</v>
      </c>
      <c r="C37" s="87">
        <f t="shared" ref="C37:H37" si="14">MAX(0,$C$10-C49)</f>
        <v>21.909601999999992</v>
      </c>
      <c r="D37" s="87">
        <f t="shared" si="14"/>
        <v>0</v>
      </c>
      <c r="E37" s="87">
        <f t="shared" si="14"/>
        <v>0</v>
      </c>
      <c r="F37" s="87">
        <f t="shared" si="14"/>
        <v>0</v>
      </c>
      <c r="G37" s="87">
        <f t="shared" si="14"/>
        <v>0</v>
      </c>
      <c r="H37" s="87">
        <f t="shared" si="14"/>
        <v>0</v>
      </c>
    </row>
    <row r="38" spans="2:8" x14ac:dyDescent="0.15">
      <c r="B38" t="s">
        <v>58</v>
      </c>
      <c r="C38" s="87">
        <v>0</v>
      </c>
      <c r="D38" s="87">
        <f t="shared" ref="D38:H38" si="15">MIN(D36+D37,$D$7*$F$7)</f>
        <v>0</v>
      </c>
      <c r="E38" s="87">
        <f t="shared" si="15"/>
        <v>0</v>
      </c>
      <c r="F38" s="87">
        <f t="shared" si="15"/>
        <v>0</v>
      </c>
      <c r="G38" s="87">
        <f t="shared" si="15"/>
        <v>0</v>
      </c>
      <c r="H38" s="87">
        <f t="shared" si="15"/>
        <v>0</v>
      </c>
    </row>
    <row r="39" spans="2:8" x14ac:dyDescent="0.15">
      <c r="B39" t="s">
        <v>78</v>
      </c>
      <c r="C39" s="87">
        <f t="shared" ref="C39:H39" si="16">MIN(C36+C37-C38,C51*$C$11)</f>
        <v>0</v>
      </c>
      <c r="D39" s="87">
        <f t="shared" si="16"/>
        <v>14.286303909999987</v>
      </c>
      <c r="E39" s="87">
        <f t="shared" si="16"/>
        <v>7.6232980900000058</v>
      </c>
      <c r="F39" s="87">
        <f t="shared" si="16"/>
        <v>0</v>
      </c>
      <c r="G39" s="87">
        <f t="shared" si="16"/>
        <v>0</v>
      </c>
      <c r="H39" s="87">
        <f t="shared" si="16"/>
        <v>0</v>
      </c>
    </row>
    <row r="40" spans="2:8" x14ac:dyDescent="0.15">
      <c r="B40" t="s">
        <v>79</v>
      </c>
      <c r="C40" s="87">
        <f t="shared" ref="C40:H40" si="17">C36+C37-C38-C39</f>
        <v>21.909601999999992</v>
      </c>
      <c r="D40" s="87">
        <f t="shared" si="17"/>
        <v>7.6232980900000058</v>
      </c>
      <c r="E40" s="87">
        <f t="shared" si="17"/>
        <v>0</v>
      </c>
      <c r="F40" s="87">
        <f t="shared" si="17"/>
        <v>0</v>
      </c>
      <c r="G40" s="87">
        <f t="shared" si="17"/>
        <v>0</v>
      </c>
      <c r="H40" s="87">
        <f t="shared" si="17"/>
        <v>0</v>
      </c>
    </row>
    <row r="41" spans="2:8" x14ac:dyDescent="0.15">
      <c r="B41" t="s">
        <v>80</v>
      </c>
      <c r="C41" s="87">
        <f t="shared" ref="C41:H41" si="18">(C36+C40)/2</f>
        <v>10.954800999999996</v>
      </c>
      <c r="D41" s="87">
        <f t="shared" si="18"/>
        <v>14.766450044999999</v>
      </c>
      <c r="E41" s="87">
        <f t="shared" si="18"/>
        <v>3.8116490450000029</v>
      </c>
      <c r="F41" s="87">
        <f t="shared" si="18"/>
        <v>0</v>
      </c>
      <c r="G41" s="87">
        <f t="shared" si="18"/>
        <v>0</v>
      </c>
      <c r="H41" s="87">
        <f t="shared" si="18"/>
        <v>0</v>
      </c>
    </row>
    <row r="42" spans="2:8" x14ac:dyDescent="0.15">
      <c r="B42" t="s">
        <v>81</v>
      </c>
      <c r="C42" s="87">
        <f t="shared" ref="C42:H42" si="19">C36*$E$7</f>
        <v>0</v>
      </c>
      <c r="D42" s="87">
        <f t="shared" si="19"/>
        <v>1.4241241299999996</v>
      </c>
      <c r="E42" s="87">
        <f t="shared" si="19"/>
        <v>0.49551437585000041</v>
      </c>
      <c r="F42" s="87">
        <f t="shared" si="19"/>
        <v>0</v>
      </c>
      <c r="G42" s="87">
        <f t="shared" si="19"/>
        <v>0</v>
      </c>
      <c r="H42" s="87">
        <f t="shared" si="19"/>
        <v>0</v>
      </c>
    </row>
    <row r="44" spans="2:8" x14ac:dyDescent="0.15">
      <c r="B44" s="4" t="s">
        <v>84</v>
      </c>
      <c r="C44" s="4"/>
      <c r="D44" s="4"/>
      <c r="E44" s="4"/>
      <c r="F44" s="4"/>
      <c r="G44" s="4"/>
      <c r="H44" s="4"/>
    </row>
    <row r="45" spans="2:8" x14ac:dyDescent="0.15">
      <c r="B45" s="7"/>
      <c r="C45" s="7">
        <v>2026</v>
      </c>
      <c r="D45" s="7">
        <f>C45+1</f>
        <v>2027</v>
      </c>
      <c r="E45" s="7">
        <f t="shared" ref="E45:H45" si="20">D45+1</f>
        <v>2028</v>
      </c>
      <c r="F45" s="7">
        <f t="shared" si="20"/>
        <v>2029</v>
      </c>
      <c r="G45" s="7">
        <f t="shared" si="20"/>
        <v>2030</v>
      </c>
      <c r="H45" s="7">
        <f t="shared" si="20"/>
        <v>2031</v>
      </c>
    </row>
    <row r="46" spans="2:8" x14ac:dyDescent="0.15">
      <c r="B46" t="s">
        <v>87</v>
      </c>
      <c r="C46" s="87">
        <f>$C$10</f>
        <v>25</v>
      </c>
      <c r="D46" s="87">
        <f>C52</f>
        <v>25</v>
      </c>
      <c r="E46" s="87">
        <f>D52</f>
        <v>25</v>
      </c>
      <c r="F46" s="87">
        <f>E52</f>
        <v>25</v>
      </c>
      <c r="G46" s="87">
        <f>F52</f>
        <v>25</v>
      </c>
      <c r="H46" s="87">
        <f>G52</f>
        <v>25</v>
      </c>
    </row>
    <row r="47" spans="2:8" x14ac:dyDescent="0.15">
      <c r="B47" t="s">
        <v>85</v>
      </c>
      <c r="C47" s="87">
        <f>'H.B. Fuller BAS Operating'!F23</f>
        <v>31.972000000000023</v>
      </c>
      <c r="D47" s="87">
        <f>'H.B. Fuller BAS Operating'!G23</f>
        <v>68.81340800000001</v>
      </c>
      <c r="E47" s="87">
        <f>'H.B. Fuller BAS Operating'!H23</f>
        <v>83.43157376000002</v>
      </c>
      <c r="F47" s="87">
        <f>'H.B. Fuller BAS Operating'!I23</f>
        <v>93.907034412800002</v>
      </c>
      <c r="G47" s="87">
        <f>'H.B. Fuller BAS Operating'!J23</f>
        <v>103.68488668352001</v>
      </c>
      <c r="H47" s="87">
        <f>'H.B. Fuller BAS Operating'!K23</f>
        <v>108.29543328402566</v>
      </c>
    </row>
    <row r="48" spans="2:8" x14ac:dyDescent="0.15">
      <c r="B48" t="s">
        <v>81</v>
      </c>
      <c r="C48" s="87">
        <f>C24+C33+C42</f>
        <v>53.881602000000015</v>
      </c>
      <c r="D48" s="87">
        <f t="shared" ref="D48:H48" si="21">D24+D33+D42</f>
        <v>54.527104090000023</v>
      </c>
      <c r="E48" s="87">
        <f t="shared" si="21"/>
        <v>52.819872295850018</v>
      </c>
      <c r="F48" s="87">
        <f t="shared" si="21"/>
        <v>49.936547643809526</v>
      </c>
      <c r="G48" s="87">
        <f t="shared" si="21"/>
        <v>46.079991529980191</v>
      </c>
      <c r="H48" s="87">
        <f t="shared" si="21"/>
        <v>41.269026829232402</v>
      </c>
    </row>
    <row r="49" spans="2:8" x14ac:dyDescent="0.15">
      <c r="B49" t="s">
        <v>89</v>
      </c>
      <c r="C49" s="87">
        <f t="shared" ref="C49:H49" si="22">C46+C47-C48</f>
        <v>3.0903980000000075</v>
      </c>
      <c r="D49" s="87">
        <f t="shared" si="22"/>
        <v>39.286303909999987</v>
      </c>
      <c r="E49" s="87">
        <f t="shared" si="22"/>
        <v>55.611701464150002</v>
      </c>
      <c r="F49" s="87">
        <f t="shared" si="22"/>
        <v>68.970486768990469</v>
      </c>
      <c r="G49" s="87">
        <f t="shared" si="22"/>
        <v>82.604895153539815</v>
      </c>
      <c r="H49" s="87">
        <f t="shared" si="22"/>
        <v>92.026406454793246</v>
      </c>
    </row>
    <row r="50" spans="2:8" x14ac:dyDescent="0.15">
      <c r="B50" t="s">
        <v>37</v>
      </c>
      <c r="C50" s="87">
        <f>$C$10</f>
        <v>25</v>
      </c>
      <c r="D50" s="87">
        <f t="shared" ref="D50:H50" si="23">$C$10</f>
        <v>25</v>
      </c>
      <c r="E50" s="87">
        <f t="shared" si="23"/>
        <v>25</v>
      </c>
      <c r="F50" s="87">
        <f t="shared" si="23"/>
        <v>25</v>
      </c>
      <c r="G50" s="87">
        <f t="shared" si="23"/>
        <v>25</v>
      </c>
      <c r="H50" s="87">
        <f t="shared" si="23"/>
        <v>25</v>
      </c>
    </row>
    <row r="51" spans="2:8" x14ac:dyDescent="0.15">
      <c r="B51" t="s">
        <v>86</v>
      </c>
      <c r="C51" s="87">
        <f>MAX(0,C49-C50)</f>
        <v>0</v>
      </c>
      <c r="D51" s="87">
        <f t="shared" ref="D51:H51" si="24">MAX(0,D49-D50)</f>
        <v>14.286303909999987</v>
      </c>
      <c r="E51" s="87">
        <f t="shared" si="24"/>
        <v>30.611701464150002</v>
      </c>
      <c r="F51" s="87">
        <f t="shared" si="24"/>
        <v>43.970486768990469</v>
      </c>
      <c r="G51" s="87">
        <f t="shared" si="24"/>
        <v>57.604895153539815</v>
      </c>
      <c r="H51" s="87">
        <f t="shared" si="24"/>
        <v>67.026406454793246</v>
      </c>
    </row>
    <row r="52" spans="2:8" x14ac:dyDescent="0.15">
      <c r="B52" t="s">
        <v>88</v>
      </c>
      <c r="C52" s="87">
        <f t="shared" ref="C52:H52" si="25">C49+C37-C39-C21-C30</f>
        <v>25</v>
      </c>
      <c r="D52" s="87">
        <f t="shared" si="25"/>
        <v>25</v>
      </c>
      <c r="E52" s="87">
        <f t="shared" si="25"/>
        <v>25</v>
      </c>
      <c r="F52" s="87">
        <f t="shared" si="25"/>
        <v>25</v>
      </c>
      <c r="G52" s="87">
        <f t="shared" si="25"/>
        <v>25</v>
      </c>
      <c r="H52" s="87">
        <f t="shared" si="25"/>
        <v>25</v>
      </c>
    </row>
    <row r="53" spans="2:8" x14ac:dyDescent="0.15">
      <c r="B53" s="8" t="s">
        <v>95</v>
      </c>
      <c r="C53" s="90">
        <f>SUM(C$22+C$31+C$40)</f>
        <v>716.45003000000008</v>
      </c>
      <c r="D53" s="90">
        <f t="shared" ref="D53:H53" si="26">SUM(D$22+D$31+D$40)</f>
        <v>691.04055409000023</v>
      </c>
      <c r="E53" s="90">
        <f t="shared" si="26"/>
        <v>649.3056806258503</v>
      </c>
      <c r="F53" s="90">
        <f t="shared" si="26"/>
        <v>594.21202185685979</v>
      </c>
      <c r="G53" s="90">
        <f t="shared" si="26"/>
        <v>525.48395470332002</v>
      </c>
      <c r="H53" s="90">
        <f t="shared" si="26"/>
        <v>447.33437624852672</v>
      </c>
    </row>
    <row r="56" spans="2:8" x14ac:dyDescent="0.15">
      <c r="C56" s="8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BC3CE-0445-AB44-A177-22C1EB375762}">
  <dimension ref="A1:L17"/>
  <sheetViews>
    <sheetView showGridLines="0" zoomScale="133" workbookViewId="0">
      <selection activeCell="E35" sqref="E35"/>
    </sheetView>
  </sheetViews>
  <sheetFormatPr baseColWidth="10" defaultRowHeight="13" x14ac:dyDescent="0.15"/>
  <cols>
    <col min="2" max="2" width="18.83203125" customWidth="1"/>
    <col min="10" max="10" width="21.5" customWidth="1"/>
  </cols>
  <sheetData>
    <row r="1" spans="1:12" x14ac:dyDescent="0.15">
      <c r="A1" s="176" t="str">
        <f>HYPERLINK("#'Table of Contents'!A1","&lt;--------")</f>
        <v>&lt;--------</v>
      </c>
    </row>
    <row r="2" spans="1:12" x14ac:dyDescent="0.15">
      <c r="B2" s="4" t="s">
        <v>99</v>
      </c>
      <c r="C2" s="4"/>
      <c r="D2" s="4"/>
      <c r="E2" s="4"/>
      <c r="F2" s="4"/>
      <c r="G2" s="4"/>
      <c r="H2" s="4"/>
      <c r="J2" s="4" t="s">
        <v>276</v>
      </c>
      <c r="K2" s="4"/>
    </row>
    <row r="3" spans="1:12" x14ac:dyDescent="0.15">
      <c r="B3" s="7"/>
      <c r="C3" s="7">
        <v>2026</v>
      </c>
      <c r="D3" s="7">
        <f>C3+1</f>
        <v>2027</v>
      </c>
      <c r="E3" s="7">
        <f>D3+1</f>
        <v>2028</v>
      </c>
      <c r="F3" s="7">
        <f>E3+1</f>
        <v>2029</v>
      </c>
      <c r="G3" s="7">
        <f>F3+1</f>
        <v>2030</v>
      </c>
      <c r="H3" s="7">
        <f>G3+1</f>
        <v>2031</v>
      </c>
      <c r="J3" t="s">
        <v>262</v>
      </c>
      <c r="K3" s="152">
        <v>8.1999999999999993</v>
      </c>
    </row>
    <row r="4" spans="1:12" x14ac:dyDescent="0.15">
      <c r="B4" t="s">
        <v>92</v>
      </c>
      <c r="C4" s="16">
        <f>'H.B. Fuller BAS Operating'!F$10</f>
        <v>119.60400000000001</v>
      </c>
      <c r="D4" s="16">
        <f>'H.B. Fuller BAS Operating'!G$10</f>
        <v>132.61868800000002</v>
      </c>
      <c r="E4" s="16">
        <f>'H.B. Fuller BAS Operating'!H$10</f>
        <v>146.31353856000001</v>
      </c>
      <c r="F4" s="16">
        <f>'H.B. Fuller BAS Operating'!I$10</f>
        <v>158.8998679808</v>
      </c>
      <c r="G4" s="16">
        <f>'H.B. Fuller BAS Operating'!J$10</f>
        <v>170.47450525856004</v>
      </c>
      <c r="H4" s="16">
        <f>'H.B. Fuller BAS Operating'!K$10</f>
        <v>177.20874041631686</v>
      </c>
      <c r="J4" t="s">
        <v>23</v>
      </c>
      <c r="K4" s="152">
        <v>8.1999999999999993</v>
      </c>
    </row>
    <row r="5" spans="1:12" x14ac:dyDescent="0.15">
      <c r="B5" t="s">
        <v>93</v>
      </c>
      <c r="C5" s="16">
        <f>'Assumptions Tab'!$F$26</f>
        <v>10.033109260559847</v>
      </c>
      <c r="D5" s="16">
        <f>'Assumptions Tab'!$F$26</f>
        <v>10.033109260559847</v>
      </c>
      <c r="E5" s="16">
        <f>'Assumptions Tab'!$F$26</f>
        <v>10.033109260559847</v>
      </c>
      <c r="F5" s="16">
        <f>'Assumptions Tab'!$F$26</f>
        <v>10.033109260559847</v>
      </c>
      <c r="G5" s="16">
        <f>'Assumptions Tab'!$F$26</f>
        <v>10.033109260559847</v>
      </c>
      <c r="H5" s="16">
        <f>'Assumptions Tab'!$F$26</f>
        <v>10.033109260559847</v>
      </c>
    </row>
    <row r="6" spans="1:12" x14ac:dyDescent="0.15">
      <c r="B6" s="79" t="s">
        <v>94</v>
      </c>
      <c r="C6" s="80">
        <f>C4*C5</f>
        <v>1200</v>
      </c>
      <c r="D6" s="80">
        <f>D4*D5</f>
        <v>1330.5777866960973</v>
      </c>
      <c r="E6" s="80">
        <f>E4*E5</f>
        <v>1467.9797186716164</v>
      </c>
      <c r="F6" s="80">
        <f>F4*F5</f>
        <v>1594.2597369399016</v>
      </c>
      <c r="G6" s="80">
        <f>G4*G5</f>
        <v>1710.3893373990172</v>
      </c>
      <c r="H6" s="80">
        <f>H4*H5</f>
        <v>1777.9546545230946</v>
      </c>
    </row>
    <row r="7" spans="1:12" x14ac:dyDescent="0.15">
      <c r="C7" s="16"/>
      <c r="D7" s="16"/>
      <c r="E7" s="16"/>
      <c r="F7" s="16"/>
      <c r="G7" s="16"/>
      <c r="H7" s="16"/>
    </row>
    <row r="8" spans="1:12" x14ac:dyDescent="0.15">
      <c r="B8" t="s">
        <v>88</v>
      </c>
      <c r="C8" s="16">
        <f>'Debt Schedule'!C52</f>
        <v>25</v>
      </c>
      <c r="D8" s="16">
        <f>'Debt Schedule'!D52</f>
        <v>25</v>
      </c>
      <c r="E8" s="16">
        <f>'Debt Schedule'!E52</f>
        <v>25</v>
      </c>
      <c r="F8" s="16">
        <f>'Debt Schedule'!F52</f>
        <v>25</v>
      </c>
      <c r="G8" s="16">
        <f>'Debt Schedule'!G52</f>
        <v>25</v>
      </c>
      <c r="H8" s="16">
        <f>'Debt Schedule'!H52</f>
        <v>25</v>
      </c>
    </row>
    <row r="9" spans="1:12" x14ac:dyDescent="0.15">
      <c r="B9" t="s">
        <v>95</v>
      </c>
      <c r="C9" s="16">
        <f>'Debt Schedule'!C$53</f>
        <v>716.45003000000008</v>
      </c>
      <c r="D9" s="16">
        <f>'Debt Schedule'!D$53</f>
        <v>691.04055409000023</v>
      </c>
      <c r="E9" s="16">
        <f>'Debt Schedule'!E$53</f>
        <v>649.3056806258503</v>
      </c>
      <c r="F9" s="16">
        <f>'Debt Schedule'!F$53</f>
        <v>594.21202185685979</v>
      </c>
      <c r="G9" s="16">
        <f>'Debt Schedule'!G$53</f>
        <v>525.48395470332002</v>
      </c>
      <c r="H9" s="16">
        <f>'Debt Schedule'!H$53</f>
        <v>447.33437624852672</v>
      </c>
    </row>
    <row r="11" spans="1:12" ht="14" thickBot="1" x14ac:dyDescent="0.2">
      <c r="B11" s="34" t="s">
        <v>96</v>
      </c>
      <c r="C11" s="92">
        <f>C$6+C$8-C$9</f>
        <v>508.54996999999992</v>
      </c>
      <c r="D11" s="92">
        <f>D$6+D$8-D$9</f>
        <v>664.53723260609706</v>
      </c>
      <c r="E11" s="92">
        <f>E$6+E$8-E$9</f>
        <v>843.67403804576611</v>
      </c>
      <c r="F11" s="92">
        <f>F$6+F$8-F$9</f>
        <v>1025.0477150830418</v>
      </c>
      <c r="G11" s="92">
        <f>G$6+G$8-G$9</f>
        <v>1209.9053826956972</v>
      </c>
      <c r="H11" s="92">
        <f>H$6+H$8-H$9</f>
        <v>1355.6202782745679</v>
      </c>
      <c r="L11">
        <v>7.3209999999999997</v>
      </c>
    </row>
    <row r="12" spans="1:12" ht="14" thickTop="1" x14ac:dyDescent="0.15">
      <c r="C12" s="16"/>
      <c r="D12" s="16"/>
      <c r="E12" s="16"/>
      <c r="F12" s="16"/>
      <c r="G12" s="16"/>
      <c r="H12" s="16"/>
    </row>
    <row r="13" spans="1:12" x14ac:dyDescent="0.15">
      <c r="B13" t="s">
        <v>90</v>
      </c>
      <c r="C13" s="15">
        <f>'Sources And Uses'!$C$24</f>
        <v>568.83639999999991</v>
      </c>
      <c r="D13" s="15">
        <f>'Sources And Uses'!$C$24</f>
        <v>568.83639999999991</v>
      </c>
      <c r="E13" s="15">
        <f>'Sources And Uses'!$C$24</f>
        <v>568.83639999999991</v>
      </c>
      <c r="F13" s="15">
        <f>'Sources And Uses'!$C$24</f>
        <v>568.83639999999991</v>
      </c>
      <c r="G13" s="15">
        <f>'Sources And Uses'!$C$24</f>
        <v>568.83639999999991</v>
      </c>
      <c r="H13" s="15">
        <f>'Sources And Uses'!$C$24</f>
        <v>568.83639999999991</v>
      </c>
    </row>
    <row r="14" spans="1:12" x14ac:dyDescent="0.15">
      <c r="B14" t="s">
        <v>267</v>
      </c>
      <c r="C14" s="15">
        <f>'Sources And Uses'!$C$9</f>
        <v>1200</v>
      </c>
      <c r="D14" s="15">
        <f>'Sources And Uses'!$C$9</f>
        <v>1200</v>
      </c>
      <c r="E14" s="15">
        <f>'Sources And Uses'!$C$9</f>
        <v>1200</v>
      </c>
      <c r="F14" s="15">
        <f>'Sources And Uses'!$C$9</f>
        <v>1200</v>
      </c>
      <c r="G14" s="15">
        <f>'Sources And Uses'!$C$9</f>
        <v>1200</v>
      </c>
      <c r="H14" s="15">
        <f>'Sources And Uses'!$C$9</f>
        <v>1200</v>
      </c>
    </row>
    <row r="16" spans="1:12" x14ac:dyDescent="0.15">
      <c r="B16" s="93" t="s">
        <v>97</v>
      </c>
      <c r="C16" s="94">
        <f>C$11/C$13</f>
        <v>0.89401798126842791</v>
      </c>
      <c r="D16" s="94">
        <f>D$11/D$13</f>
        <v>1.168239642551175</v>
      </c>
      <c r="E16" s="94">
        <f>E$11/E$13</f>
        <v>1.4831576144665957</v>
      </c>
      <c r="F16" s="94">
        <f>F$11/F$13</f>
        <v>1.8020079500591768</v>
      </c>
      <c r="G16" s="94">
        <f>G$11/G$13</f>
        <v>2.1269830529405245</v>
      </c>
      <c r="H16" s="94">
        <f>H$11/H$13</f>
        <v>2.3831461528737754</v>
      </c>
    </row>
    <row r="17" spans="2:8" x14ac:dyDescent="0.15">
      <c r="B17" s="93" t="s">
        <v>98</v>
      </c>
      <c r="C17" s="95">
        <f>(C11/C13) -1</f>
        <v>-0.10598201873157209</v>
      </c>
      <c r="D17" s="95">
        <f>(D11/D13)^(1) - 1</f>
        <v>0.16823964255117496</v>
      </c>
      <c r="E17" s="95">
        <f>(E11/E13)^(1/2) - 1</f>
        <v>0.21784958614214567</v>
      </c>
      <c r="F17" s="95">
        <f>(F11/F13)^(1/3) - 1</f>
        <v>0.21689255539044061</v>
      </c>
      <c r="G17" s="95">
        <f>(G11/G13)^(1/4) - 1</f>
        <v>0.20764978228204067</v>
      </c>
      <c r="H17" s="95">
        <f>(H11/H13)^(1/5) - 1</f>
        <v>0.18967993116663551</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7B100-2C01-E941-896C-EC9A943C460D}">
  <dimension ref="A1:K39"/>
  <sheetViews>
    <sheetView showGridLines="0" workbookViewId="0">
      <selection activeCell="K44" sqref="K44"/>
    </sheetView>
  </sheetViews>
  <sheetFormatPr baseColWidth="10" defaultRowHeight="13" x14ac:dyDescent="0.15"/>
  <cols>
    <col min="2" max="2" width="29.33203125" customWidth="1"/>
    <col min="4" max="4" width="3" customWidth="1"/>
    <col min="5" max="5" width="19.5" customWidth="1"/>
    <col min="7" max="7" width="3.33203125" customWidth="1"/>
    <col min="8" max="8" width="21" customWidth="1"/>
  </cols>
  <sheetData>
    <row r="1" spans="1:11" x14ac:dyDescent="0.15">
      <c r="A1" s="176" t="str">
        <f>HYPERLINK("#'Table of Contents'!A1","&lt;--------")</f>
        <v>&lt;--------</v>
      </c>
    </row>
    <row r="2" spans="1:11" ht="16" x14ac:dyDescent="0.15">
      <c r="B2" s="57" t="s">
        <v>249</v>
      </c>
      <c r="C2" s="57"/>
      <c r="D2" s="57"/>
      <c r="E2" s="57"/>
      <c r="F2" s="57"/>
      <c r="G2" s="57"/>
      <c r="H2" s="57"/>
      <c r="I2" s="57"/>
      <c r="J2" s="57"/>
    </row>
    <row r="4" spans="1:11" x14ac:dyDescent="0.15">
      <c r="B4" s="7" t="s">
        <v>223</v>
      </c>
      <c r="C4" s="7"/>
      <c r="E4" s="7" t="s">
        <v>228</v>
      </c>
      <c r="F4" s="7"/>
      <c r="H4" s="7" t="s">
        <v>241</v>
      </c>
      <c r="I4" s="7"/>
      <c r="J4" s="7"/>
    </row>
    <row r="6" spans="1:11" x14ac:dyDescent="0.15">
      <c r="B6" t="s">
        <v>224</v>
      </c>
      <c r="C6" s="12">
        <v>1200</v>
      </c>
      <c r="E6" t="s">
        <v>91</v>
      </c>
      <c r="F6">
        <f>MIN($C$20,$C$10)</f>
        <v>1008</v>
      </c>
      <c r="I6" t="s">
        <v>244</v>
      </c>
      <c r="J6" t="s">
        <v>243</v>
      </c>
    </row>
    <row r="7" spans="1:11" x14ac:dyDescent="0.15">
      <c r="B7" t="s">
        <v>225</v>
      </c>
      <c r="C7">
        <f>'Assumptions Tab'!F27*'Seller Impact'!C6</f>
        <v>12</v>
      </c>
      <c r="E7" t="s">
        <v>229</v>
      </c>
      <c r="F7">
        <f>MAX(0,$C$10-$C$20)</f>
        <v>0</v>
      </c>
      <c r="H7" t="s">
        <v>242</v>
      </c>
      <c r="I7">
        <f>C20</f>
        <v>1958.1</v>
      </c>
      <c r="J7">
        <f>C26</f>
        <v>950.0999999999998</v>
      </c>
    </row>
    <row r="8" spans="1:11" x14ac:dyDescent="0.15">
      <c r="A8" t="s">
        <v>255</v>
      </c>
      <c r="B8" t="s">
        <v>226</v>
      </c>
      <c r="C8" s="12">
        <f>C6*0.15</f>
        <v>180</v>
      </c>
      <c r="H8" t="s">
        <v>125</v>
      </c>
      <c r="I8" s="15">
        <f>F16</f>
        <v>640.4</v>
      </c>
      <c r="J8">
        <f>F20</f>
        <v>492.7</v>
      </c>
    </row>
    <row r="9" spans="1:11" x14ac:dyDescent="0.15">
      <c r="E9" s="79" t="s">
        <v>230</v>
      </c>
      <c r="F9" s="79">
        <f>$F$6+$F$7</f>
        <v>1008</v>
      </c>
    </row>
    <row r="10" spans="1:11" x14ac:dyDescent="0.15">
      <c r="B10" s="79" t="s">
        <v>227</v>
      </c>
      <c r="C10" s="79">
        <f>C6-C7-C8</f>
        <v>1008</v>
      </c>
      <c r="H10" s="79" t="s">
        <v>245</v>
      </c>
      <c r="I10" s="145">
        <f>$I$7/$I$8</f>
        <v>3.0576202373516552</v>
      </c>
      <c r="J10" s="145">
        <f>1/($J$8/$J$7)</f>
        <v>1.928353967931804</v>
      </c>
    </row>
    <row r="14" spans="1:11" x14ac:dyDescent="0.15">
      <c r="B14" s="7" t="s">
        <v>231</v>
      </c>
      <c r="C14" s="7" t="s">
        <v>234</v>
      </c>
      <c r="E14" s="7" t="s">
        <v>240</v>
      </c>
      <c r="F14" s="7"/>
      <c r="H14" s="7" t="s">
        <v>258</v>
      </c>
      <c r="I14" s="7"/>
      <c r="J14" s="7"/>
      <c r="K14" t="s">
        <v>257</v>
      </c>
    </row>
    <row r="15" spans="1:11" x14ac:dyDescent="0.15">
      <c r="I15" t="s">
        <v>244</v>
      </c>
      <c r="J15" t="s">
        <v>243</v>
      </c>
    </row>
    <row r="16" spans="1:11" x14ac:dyDescent="0.15">
      <c r="B16" t="s">
        <v>232</v>
      </c>
      <c r="C16" s="12">
        <v>2072.1999999999998</v>
      </c>
      <c r="E16" t="s">
        <v>238</v>
      </c>
      <c r="F16" s="142">
        <v>640.4</v>
      </c>
      <c r="H16" t="s">
        <v>59</v>
      </c>
      <c r="I16">
        <v>132.4</v>
      </c>
      <c r="J16" s="16">
        <f>$I$16-$J$17</f>
        <v>72.543700000000015</v>
      </c>
    </row>
    <row r="17" spans="2:10" x14ac:dyDescent="0.15">
      <c r="B17" t="s">
        <v>233</v>
      </c>
      <c r="C17" s="12">
        <v>114.1</v>
      </c>
      <c r="E17" t="s">
        <v>239</v>
      </c>
      <c r="F17">
        <f>'H.B. Fuller BAS Operating'!E9</f>
        <v>137.69999999999999</v>
      </c>
      <c r="H17" t="s">
        <v>246</v>
      </c>
      <c r="J17" s="16">
        <f>C26*0.063</f>
        <v>59.85629999999999</v>
      </c>
    </row>
    <row r="18" spans="2:10" x14ac:dyDescent="0.15">
      <c r="C18" s="12"/>
      <c r="E18" t="s">
        <v>256</v>
      </c>
      <c r="F18" s="12">
        <v>10</v>
      </c>
    </row>
    <row r="20" spans="2:10" x14ac:dyDescent="0.15">
      <c r="B20" s="79" t="s">
        <v>62</v>
      </c>
      <c r="C20" s="79">
        <f>C16-C17</f>
        <v>1958.1</v>
      </c>
      <c r="E20" s="79" t="s">
        <v>237</v>
      </c>
      <c r="F20" s="143">
        <f>$F$16-$F$17-$F$18</f>
        <v>492.7</v>
      </c>
      <c r="H20" s="79" t="s">
        <v>247</v>
      </c>
      <c r="I20" s="79"/>
      <c r="J20" s="144">
        <f>$J$16/$I$16</f>
        <v>0.5479131419939578</v>
      </c>
    </row>
    <row r="22" spans="2:10" x14ac:dyDescent="0.15">
      <c r="C22" s="7" t="s">
        <v>235</v>
      </c>
    </row>
    <row r="23" spans="2:10" x14ac:dyDescent="0.15">
      <c r="B23" t="s">
        <v>232</v>
      </c>
      <c r="C23">
        <f>$C$16-$F$6</f>
        <v>1064.1999999999998</v>
      </c>
    </row>
    <row r="24" spans="2:10" x14ac:dyDescent="0.15">
      <c r="B24" t="s">
        <v>254</v>
      </c>
      <c r="C24">
        <f>$C$17+$F$7</f>
        <v>114.1</v>
      </c>
    </row>
    <row r="26" spans="2:10" x14ac:dyDescent="0.15">
      <c r="B26" s="79" t="s">
        <v>236</v>
      </c>
      <c r="C26" s="79">
        <f>$C$23-$C$24</f>
        <v>950.0999999999998</v>
      </c>
    </row>
    <row r="28" spans="2:10" x14ac:dyDescent="0.15">
      <c r="B28" s="7" t="s">
        <v>248</v>
      </c>
      <c r="C28" s="7"/>
      <c r="H28" s="172" t="s">
        <v>253</v>
      </c>
      <c r="I28" s="172"/>
      <c r="J28" s="172"/>
    </row>
    <row r="29" spans="2:10" x14ac:dyDescent="0.15">
      <c r="H29" s="173" t="s">
        <v>273</v>
      </c>
      <c r="I29" s="173"/>
      <c r="J29" s="173"/>
    </row>
    <row r="30" spans="2:10" x14ac:dyDescent="0.15">
      <c r="B30" t="s">
        <v>250</v>
      </c>
      <c r="C30">
        <f>C6</f>
        <v>1200</v>
      </c>
      <c r="H30" s="174"/>
      <c r="I30" s="174"/>
      <c r="J30" s="174"/>
    </row>
    <row r="31" spans="2:10" x14ac:dyDescent="0.15">
      <c r="B31" t="s">
        <v>251</v>
      </c>
      <c r="H31" s="174"/>
      <c r="I31" s="174"/>
      <c r="J31" s="174"/>
    </row>
    <row r="32" spans="2:10" x14ac:dyDescent="0.15">
      <c r="B32" s="10" t="s">
        <v>263</v>
      </c>
      <c r="C32" s="15">
        <f>'H.B. Fuller BAS Operating'!E7*(1+'Assumptions Tab'!D11)*'Assumptions Tab'!D12*'Assumptions Tab'!D18</f>
        <v>1148.4737775000003</v>
      </c>
      <c r="H32" s="174"/>
      <c r="I32" s="174"/>
      <c r="J32" s="174"/>
    </row>
    <row r="33" spans="2:10" x14ac:dyDescent="0.15">
      <c r="B33" s="10" t="s">
        <v>264</v>
      </c>
      <c r="C33" s="15">
        <f>'H.B. Fuller BAS Operating'!E7*(1+'Assumptions Tab'!P11)*'Assumptions Tab'!P12*'Assumptions Tab'!P18</f>
        <v>1809.9761025000003</v>
      </c>
      <c r="H33" s="174"/>
      <c r="I33" s="174"/>
      <c r="J33" s="174"/>
    </row>
    <row r="34" spans="2:10" x14ac:dyDescent="0.15">
      <c r="B34" s="10"/>
      <c r="C34" s="15"/>
      <c r="H34" s="174"/>
      <c r="I34" s="174"/>
      <c r="J34" s="174"/>
    </row>
    <row r="35" spans="2:10" x14ac:dyDescent="0.15">
      <c r="B35" t="s">
        <v>265</v>
      </c>
      <c r="C35" s="15">
        <f>'H.B. Fuller BAS Operating'!E7*(1+'Assumptions Tab'!J11)*'Assumptions Tab'!J12*'Assumptions Tab'!J18</f>
        <v>1547.13312</v>
      </c>
      <c r="H35" s="174"/>
      <c r="I35" s="174"/>
      <c r="J35" s="174"/>
    </row>
    <row r="36" spans="2:10" x14ac:dyDescent="0.15">
      <c r="B36" t="s">
        <v>252</v>
      </c>
      <c r="C36" s="15">
        <f>(('LBO Returns Exit'!H11/(1+'Assumptions Tab'!I30)^'Assumptions Tab'!F28)+SUM('Debt Schedule'!D5:D7)-'Assumptions Tab'!I26-'Assumptions Tab'!I25)/(1+'Assumptions Tab'!F27)</f>
        <v>1223.4828884581316</v>
      </c>
      <c r="H36" s="174"/>
      <c r="I36" s="174"/>
      <c r="J36" s="174"/>
    </row>
    <row r="37" spans="2:10" x14ac:dyDescent="0.15">
      <c r="H37" s="174"/>
      <c r="I37" s="174"/>
      <c r="J37" s="174"/>
    </row>
    <row r="38" spans="2:10" x14ac:dyDescent="0.15">
      <c r="B38" t="s">
        <v>271</v>
      </c>
      <c r="C38" s="1">
        <f>C35/C30-1</f>
        <v>0.28927759999999991</v>
      </c>
      <c r="H38" s="174"/>
      <c r="I38" s="174"/>
      <c r="J38" s="174"/>
    </row>
    <row r="39" spans="2:10" x14ac:dyDescent="0.15">
      <c r="B39" t="s">
        <v>272</v>
      </c>
      <c r="C39" s="1">
        <f>C36/C35 - 1</f>
        <v>-0.2091935253392212</v>
      </c>
      <c r="H39" s="174"/>
      <c r="I39" s="174"/>
      <c r="J39" s="174"/>
    </row>
  </sheetData>
  <mergeCells count="2">
    <mergeCell ref="H28:J28"/>
    <mergeCell ref="H29:J3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B16C49-1C69-954A-B1B8-4489C3809016}">
  <dimension ref="A1:AD23"/>
  <sheetViews>
    <sheetView showGridLines="0" tabSelected="1" workbookViewId="0">
      <selection activeCell="B1" sqref="B1"/>
    </sheetView>
  </sheetViews>
  <sheetFormatPr baseColWidth="10" defaultColWidth="8.83203125" defaultRowHeight="15" x14ac:dyDescent="0.2"/>
  <cols>
    <col min="1" max="1" width="21.6640625" style="111" customWidth="1"/>
    <col min="2" max="2" width="55.1640625" style="111" customWidth="1"/>
    <col min="3" max="3" width="21.83203125" style="111" customWidth="1"/>
    <col min="4" max="4" width="20.33203125" style="111" customWidth="1"/>
    <col min="5" max="5" width="38.33203125" style="111" customWidth="1"/>
    <col min="6" max="6" width="31.33203125" style="111" customWidth="1"/>
    <col min="7" max="7" width="28.33203125" style="111" customWidth="1"/>
    <col min="8" max="8" width="15.1640625" style="111" customWidth="1"/>
    <col min="9" max="9" width="16.5" style="111" customWidth="1"/>
    <col min="10" max="10" width="27.5" style="111" customWidth="1"/>
    <col min="11" max="11" width="23.1640625" style="111" customWidth="1"/>
    <col min="12" max="12" width="34" style="111" customWidth="1"/>
    <col min="13" max="13" width="22.5" style="111" customWidth="1"/>
    <col min="14" max="16" width="26.6640625" style="111" customWidth="1"/>
    <col min="17" max="17" width="34" style="111" customWidth="1"/>
    <col min="18" max="18" width="28.1640625" style="111" customWidth="1"/>
    <col min="19" max="19" width="17.5" style="111" customWidth="1"/>
    <col min="20" max="20" width="22.5" style="111" customWidth="1"/>
    <col min="21" max="21" width="15.1640625" style="111" customWidth="1"/>
    <col min="22" max="22" width="23.83203125" style="111" customWidth="1"/>
    <col min="23" max="23" width="26.6640625" style="111" customWidth="1"/>
    <col min="24" max="24" width="22.5" style="111" customWidth="1"/>
    <col min="25" max="25" width="20.33203125" style="111" customWidth="1"/>
    <col min="26" max="26" width="19.5" style="111" customWidth="1"/>
    <col min="27" max="27" width="20.33203125" style="111" customWidth="1"/>
    <col min="28" max="28" width="23.1640625" style="111" customWidth="1"/>
    <col min="29" max="29" width="39.6640625" style="111" customWidth="1"/>
    <col min="30" max="30" width="18.6640625" style="111" customWidth="1"/>
    <col min="31" max="16384" width="8.83203125" style="111"/>
  </cols>
  <sheetData>
    <row r="1" spans="1:30" ht="25" customHeight="1" x14ac:dyDescent="0.2">
      <c r="B1" s="176" t="str">
        <f>HYPERLINK("#'Table of Contents'!A1","&lt;--------")</f>
        <v>&lt;--------</v>
      </c>
      <c r="E1" s="135" t="s">
        <v>132</v>
      </c>
    </row>
    <row r="3" spans="1:30" x14ac:dyDescent="0.2">
      <c r="A3" s="133" t="s">
        <v>133</v>
      </c>
      <c r="B3" s="134">
        <v>46264</v>
      </c>
    </row>
    <row r="4" spans="1:30" x14ac:dyDescent="0.2">
      <c r="A4" s="133" t="s">
        <v>134</v>
      </c>
      <c r="B4" s="132" t="s">
        <v>135</v>
      </c>
    </row>
    <row r="5" spans="1:30" x14ac:dyDescent="0.2">
      <c r="A5" s="130" t="s">
        <v>136</v>
      </c>
      <c r="B5" s="131" t="s">
        <v>137</v>
      </c>
    </row>
    <row r="6" spans="1:30" ht="30" customHeight="1" x14ac:dyDescent="0.2">
      <c r="A6" s="130" t="s">
        <v>138</v>
      </c>
      <c r="B6" s="136" t="s">
        <v>219</v>
      </c>
    </row>
    <row r="8" spans="1:30" ht="35" customHeight="1" x14ac:dyDescent="0.2">
      <c r="A8" s="129" t="s">
        <v>139</v>
      </c>
      <c r="B8" s="129" t="s">
        <v>140</v>
      </c>
      <c r="C8" s="129" t="s">
        <v>164</v>
      </c>
      <c r="D8" s="129" t="s">
        <v>141</v>
      </c>
      <c r="E8" s="129" t="s">
        <v>142</v>
      </c>
      <c r="F8" s="129" t="s">
        <v>143</v>
      </c>
      <c r="G8" s="129" t="s">
        <v>144</v>
      </c>
      <c r="H8" s="129" t="s">
        <v>145</v>
      </c>
      <c r="I8" s="129" t="s">
        <v>146</v>
      </c>
      <c r="J8" s="129" t="s">
        <v>147</v>
      </c>
      <c r="K8" s="129" t="s">
        <v>148</v>
      </c>
      <c r="L8" s="129" t="s">
        <v>149</v>
      </c>
      <c r="M8" s="129" t="s">
        <v>150</v>
      </c>
      <c r="N8" s="129" t="s">
        <v>151</v>
      </c>
      <c r="O8" s="129" t="s">
        <v>152</v>
      </c>
      <c r="P8" s="129" t="s">
        <v>153</v>
      </c>
      <c r="Q8" s="129" t="s">
        <v>154</v>
      </c>
      <c r="R8" s="129" t="s">
        <v>155</v>
      </c>
      <c r="S8" s="129" t="s">
        <v>156</v>
      </c>
      <c r="T8" s="129" t="s">
        <v>157</v>
      </c>
      <c r="U8" s="129" t="s">
        <v>158</v>
      </c>
      <c r="V8" s="129" t="s">
        <v>159</v>
      </c>
      <c r="W8" s="129" t="s">
        <v>160</v>
      </c>
      <c r="X8" s="129" t="s">
        <v>161</v>
      </c>
      <c r="Y8" s="129" t="s">
        <v>0</v>
      </c>
      <c r="Z8" s="129" t="s">
        <v>125</v>
      </c>
      <c r="AA8" s="129" t="s">
        <v>162</v>
      </c>
      <c r="AB8" s="129" t="s">
        <v>163</v>
      </c>
      <c r="AC8" s="129" t="s">
        <v>165</v>
      </c>
      <c r="AD8" s="129" t="s">
        <v>166</v>
      </c>
    </row>
    <row r="9" spans="1:30" x14ac:dyDescent="0.2">
      <c r="A9" s="114" t="s">
        <v>171</v>
      </c>
      <c r="B9" s="114" t="s">
        <v>172</v>
      </c>
      <c r="C9" s="115">
        <v>9.9</v>
      </c>
      <c r="D9" s="115" t="s">
        <v>218</v>
      </c>
      <c r="E9" s="114" t="s">
        <v>173</v>
      </c>
      <c r="F9" s="114" t="s">
        <v>167</v>
      </c>
      <c r="G9" s="114" t="s">
        <v>174</v>
      </c>
      <c r="H9" s="114" t="s">
        <v>218</v>
      </c>
      <c r="I9" s="120" t="s">
        <v>218</v>
      </c>
      <c r="J9" s="114" t="s">
        <v>218</v>
      </c>
      <c r="K9" s="119">
        <v>100</v>
      </c>
      <c r="L9" s="114" t="s">
        <v>173</v>
      </c>
      <c r="M9" s="114" t="s">
        <v>169</v>
      </c>
      <c r="N9" s="114" t="s">
        <v>218</v>
      </c>
      <c r="O9" s="114" t="s">
        <v>218</v>
      </c>
      <c r="P9" s="114" t="s">
        <v>175</v>
      </c>
      <c r="Q9" s="114" t="s">
        <v>218</v>
      </c>
      <c r="R9" s="115" t="s">
        <v>218</v>
      </c>
      <c r="S9" s="118">
        <v>45716</v>
      </c>
      <c r="T9" s="114" t="s">
        <v>176</v>
      </c>
      <c r="U9" s="116">
        <v>1425</v>
      </c>
      <c r="V9" s="114" t="s">
        <v>177</v>
      </c>
      <c r="W9" s="117" t="s">
        <v>178</v>
      </c>
      <c r="X9" s="116">
        <v>1425</v>
      </c>
      <c r="Y9" s="115">
        <v>745</v>
      </c>
      <c r="Z9" s="115">
        <v>144</v>
      </c>
      <c r="AA9" s="115" t="s">
        <v>218</v>
      </c>
      <c r="AB9" s="115">
        <v>1.91</v>
      </c>
      <c r="AC9" s="114" t="s">
        <v>179</v>
      </c>
      <c r="AD9" s="113" t="str">
        <f>HYPERLINK("https://my.pitchbook.com?c=286685-20T", "View Company Online")</f>
        <v>View Company Online</v>
      </c>
    </row>
    <row r="10" spans="1:30" x14ac:dyDescent="0.2">
      <c r="A10" s="122" t="s">
        <v>180</v>
      </c>
      <c r="B10" s="122" t="s">
        <v>181</v>
      </c>
      <c r="C10" s="123">
        <v>15.34</v>
      </c>
      <c r="D10" s="123">
        <v>1.63</v>
      </c>
      <c r="E10" s="122" t="s">
        <v>182</v>
      </c>
      <c r="F10" s="122" t="s">
        <v>167</v>
      </c>
      <c r="G10" s="122" t="s">
        <v>168</v>
      </c>
      <c r="H10" s="122" t="s">
        <v>183</v>
      </c>
      <c r="I10" s="128" t="s">
        <v>184</v>
      </c>
      <c r="J10" s="122" t="s">
        <v>185</v>
      </c>
      <c r="K10" s="127">
        <v>100</v>
      </c>
      <c r="L10" s="122" t="s">
        <v>186</v>
      </c>
      <c r="M10" s="122" t="s">
        <v>169</v>
      </c>
      <c r="N10" s="122" t="s">
        <v>187</v>
      </c>
      <c r="O10" s="122" t="s">
        <v>188</v>
      </c>
      <c r="P10" s="122" t="s">
        <v>218</v>
      </c>
      <c r="Q10" s="122" t="s">
        <v>189</v>
      </c>
      <c r="R10" s="123">
        <v>110.11</v>
      </c>
      <c r="S10" s="126">
        <v>45245</v>
      </c>
      <c r="T10" s="122" t="s">
        <v>170</v>
      </c>
      <c r="U10" s="124">
        <v>1300</v>
      </c>
      <c r="V10" s="122" t="s">
        <v>190</v>
      </c>
      <c r="W10" s="125" t="s">
        <v>191</v>
      </c>
      <c r="X10" s="124">
        <v>1300</v>
      </c>
      <c r="Y10" s="123">
        <v>404.02</v>
      </c>
      <c r="Z10" s="123">
        <v>84.74</v>
      </c>
      <c r="AA10" s="123">
        <v>33.18</v>
      </c>
      <c r="AB10" s="123">
        <v>3.22</v>
      </c>
      <c r="AC10" s="122" t="s">
        <v>192</v>
      </c>
      <c r="AD10" s="121" t="str">
        <f>HYPERLINK("https://my.pitchbook.com?c=228839-14T", "View Company Online")</f>
        <v>View Company Online</v>
      </c>
    </row>
    <row r="11" spans="1:30" x14ac:dyDescent="0.2">
      <c r="A11" s="114" t="s">
        <v>193</v>
      </c>
      <c r="B11" s="114" t="s">
        <v>194</v>
      </c>
      <c r="C11" s="115">
        <v>13.49</v>
      </c>
      <c r="D11" s="115" t="s">
        <v>218</v>
      </c>
      <c r="E11" s="114" t="s">
        <v>195</v>
      </c>
      <c r="F11" s="114" t="s">
        <v>196</v>
      </c>
      <c r="G11" s="114" t="s">
        <v>174</v>
      </c>
      <c r="H11" s="114" t="s">
        <v>197</v>
      </c>
      <c r="I11" s="120" t="s">
        <v>198</v>
      </c>
      <c r="J11" s="114" t="s">
        <v>199</v>
      </c>
      <c r="K11" s="119">
        <v>100</v>
      </c>
      <c r="L11" s="114" t="s">
        <v>200</v>
      </c>
      <c r="M11" s="114" t="s">
        <v>169</v>
      </c>
      <c r="N11" s="114" t="s">
        <v>218</v>
      </c>
      <c r="O11" s="114" t="s">
        <v>218</v>
      </c>
      <c r="P11" s="114" t="s">
        <v>201</v>
      </c>
      <c r="Q11" s="114" t="s">
        <v>218</v>
      </c>
      <c r="R11" s="115" t="s">
        <v>218</v>
      </c>
      <c r="S11" s="118">
        <v>44440</v>
      </c>
      <c r="T11" s="114" t="s">
        <v>176</v>
      </c>
      <c r="U11" s="116">
        <v>1605.6</v>
      </c>
      <c r="V11" s="114" t="s">
        <v>202</v>
      </c>
      <c r="W11" s="117" t="s">
        <v>203</v>
      </c>
      <c r="X11" s="116">
        <v>1605.6</v>
      </c>
      <c r="Y11" s="115">
        <v>511</v>
      </c>
      <c r="Z11" s="115">
        <v>119</v>
      </c>
      <c r="AA11" s="115" t="s">
        <v>218</v>
      </c>
      <c r="AB11" s="115">
        <v>3.14</v>
      </c>
      <c r="AC11" s="114" t="s">
        <v>204</v>
      </c>
      <c r="AD11" s="113" t="str">
        <f>HYPERLINK("https://my.pitchbook.com?c=176735-17T", "View Company Online")</f>
        <v>View Company Online</v>
      </c>
    </row>
    <row r="12" spans="1:30" x14ac:dyDescent="0.2">
      <c r="A12" s="114" t="s">
        <v>206</v>
      </c>
      <c r="B12" s="114" t="s">
        <v>207</v>
      </c>
      <c r="C12" s="115">
        <v>16.27</v>
      </c>
      <c r="D12" s="115" t="s">
        <v>218</v>
      </c>
      <c r="E12" s="114" t="s">
        <v>208</v>
      </c>
      <c r="F12" s="114" t="s">
        <v>209</v>
      </c>
      <c r="G12" s="114" t="s">
        <v>205</v>
      </c>
      <c r="H12" s="114" t="s">
        <v>210</v>
      </c>
      <c r="I12" s="120" t="s">
        <v>211</v>
      </c>
      <c r="J12" s="114" t="s">
        <v>212</v>
      </c>
      <c r="K12" s="119">
        <v>30.57</v>
      </c>
      <c r="L12" s="114" t="s">
        <v>213</v>
      </c>
      <c r="M12" s="114" t="s">
        <v>169</v>
      </c>
      <c r="N12" s="114" t="s">
        <v>218</v>
      </c>
      <c r="O12" s="114" t="s">
        <v>218</v>
      </c>
      <c r="P12" s="114" t="s">
        <v>218</v>
      </c>
      <c r="Q12" s="114" t="s">
        <v>218</v>
      </c>
      <c r="R12" s="115">
        <v>347.9</v>
      </c>
      <c r="S12" s="118">
        <v>44257</v>
      </c>
      <c r="T12" s="114" t="s">
        <v>176</v>
      </c>
      <c r="U12" s="116">
        <v>510</v>
      </c>
      <c r="V12" s="114" t="s">
        <v>214</v>
      </c>
      <c r="W12" s="117" t="s">
        <v>215</v>
      </c>
      <c r="X12" s="116">
        <v>1668.3</v>
      </c>
      <c r="Y12" s="115">
        <v>714.71</v>
      </c>
      <c r="Z12" s="115">
        <v>102.52</v>
      </c>
      <c r="AA12" s="115">
        <v>38.4</v>
      </c>
      <c r="AB12" s="115">
        <v>2.33</v>
      </c>
      <c r="AC12" s="114" t="s">
        <v>216</v>
      </c>
      <c r="AD12" s="113" t="str">
        <f>HYPERLINK("https://my.pitchbook.com?c=167745-16T", "View Company Online")</f>
        <v>View Company Online</v>
      </c>
    </row>
    <row r="14" spans="1:30" x14ac:dyDescent="0.2">
      <c r="A14" s="112" t="s">
        <v>217</v>
      </c>
    </row>
    <row r="23" spans="4:4" x14ac:dyDescent="0.2">
      <c r="D23" s="111">
        <v>2</v>
      </c>
    </row>
  </sheetData>
  <hyperlinks>
    <hyperlink ref="B5" r:id="rId1" xr:uid="{BE556F44-EF23-FA4E-9F06-67A0FA3A5676}"/>
  </hyperlinks>
  <pageMargins left="0.7" right="0.7" top="0.75" bottom="0.75" header="0.3" footer="0.3"/>
  <pageSetup orientation="portrait" horizontalDpi="0" verticalDpi="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6A1A2-E6B1-6F4F-B79F-EED112528F13}">
  <dimension ref="A1:G16"/>
  <sheetViews>
    <sheetView workbookViewId="0">
      <selection activeCell="F20" sqref="F20:F21"/>
    </sheetView>
  </sheetViews>
  <sheetFormatPr baseColWidth="10" defaultRowHeight="13" x14ac:dyDescent="0.15"/>
  <sheetData>
    <row r="1" spans="1:7" x14ac:dyDescent="0.15">
      <c r="A1" s="4" t="s">
        <v>261</v>
      </c>
      <c r="B1" s="4"/>
      <c r="C1" s="4"/>
      <c r="D1" s="4"/>
      <c r="E1" s="4"/>
      <c r="F1" s="4"/>
      <c r="G1" s="4"/>
    </row>
    <row r="2" spans="1:7" x14ac:dyDescent="0.15">
      <c r="A2" s="171" t="s">
        <v>222</v>
      </c>
      <c r="B2" s="171"/>
      <c r="C2" s="171"/>
      <c r="D2" s="171"/>
      <c r="E2" s="171"/>
      <c r="F2" s="171"/>
      <c r="G2" s="171"/>
    </row>
    <row r="3" spans="1:7" x14ac:dyDescent="0.15">
      <c r="A3" s="147">
        <f>'LBO Returns Exit'!P17</f>
        <v>0</v>
      </c>
      <c r="B3" s="153">
        <v>10</v>
      </c>
      <c r="C3" s="153">
        <v>12</v>
      </c>
      <c r="D3" s="153">
        <v>14</v>
      </c>
      <c r="E3" s="153">
        <v>16</v>
      </c>
      <c r="F3" s="153">
        <v>18</v>
      </c>
      <c r="G3" s="153">
        <v>20</v>
      </c>
    </row>
    <row r="4" spans="1:7" x14ac:dyDescent="0.15">
      <c r="A4" s="148">
        <v>10</v>
      </c>
      <c r="B4" s="1">
        <v>0.11800524146412883</v>
      </c>
      <c r="C4" s="1">
        <v>0.1797622960341041</v>
      </c>
      <c r="D4" s="1">
        <v>0.23077666143347897</v>
      </c>
      <c r="E4" s="1">
        <v>0.27451291693845437</v>
      </c>
      <c r="F4" s="1">
        <v>0.3129582956921797</v>
      </c>
      <c r="G4" s="1">
        <v>0.34736590019790725</v>
      </c>
    </row>
    <row r="5" spans="1:7" x14ac:dyDescent="0.15">
      <c r="A5" s="148">
        <v>12</v>
      </c>
      <c r="B5" s="1">
        <v>3.9457091138171974E-2</v>
      </c>
      <c r="C5" s="1">
        <v>9.6875255132197857E-2</v>
      </c>
      <c r="D5" s="1">
        <v>0.14430548345102934</v>
      </c>
      <c r="E5" s="1">
        <v>0.18496894301132727</v>
      </c>
      <c r="F5" s="1">
        <v>0.22071324910663503</v>
      </c>
      <c r="G5" s="1">
        <v>0.25270346450644721</v>
      </c>
    </row>
    <row r="6" spans="1:7" x14ac:dyDescent="0.15">
      <c r="A6" s="148">
        <v>14</v>
      </c>
      <c r="B6" s="1">
        <v>-1.4478195331964594E-2</v>
      </c>
      <c r="C6" s="1">
        <v>3.9960658452905751E-2</v>
      </c>
      <c r="D6" s="1">
        <v>8.4929829962822723E-2</v>
      </c>
      <c r="E6" s="1">
        <v>0.1234833464009375</v>
      </c>
      <c r="F6" s="1">
        <v>0.15737295411055663</v>
      </c>
      <c r="G6" s="1">
        <v>0.18770326315488761</v>
      </c>
    </row>
    <row r="7" spans="1:7" x14ac:dyDescent="0.15">
      <c r="A7" s="148">
        <v>16</v>
      </c>
      <c r="B7" s="1">
        <v>-5.5043436876973106E-2</v>
      </c>
      <c r="C7" s="1">
        <v>-2.8453506152125163E-3</v>
      </c>
      <c r="D7" s="1">
        <v>4.0272836679298818E-2</v>
      </c>
      <c r="E7" s="1">
        <v>7.723944484271672E-2</v>
      </c>
      <c r="F7" s="1">
        <v>0.10973411626975493</v>
      </c>
      <c r="G7" s="1">
        <v>0.1388159939686906</v>
      </c>
    </row>
    <row r="8" spans="1:7" x14ac:dyDescent="0.15">
      <c r="A8" s="148">
        <v>18</v>
      </c>
      <c r="B8" s="1">
        <v>-8.7284233484045237E-2</v>
      </c>
      <c r="C8" s="1">
        <v>-3.6867083985009264E-2</v>
      </c>
      <c r="D8" s="1">
        <v>4.7799619249355718E-3</v>
      </c>
      <c r="E8" s="1">
        <v>4.0485313284007729E-2</v>
      </c>
      <c r="F8" s="1">
        <v>7.1871305081550263E-2</v>
      </c>
      <c r="G8" s="1">
        <v>9.9960943623222942E-2</v>
      </c>
    </row>
    <row r="10" spans="1:7" x14ac:dyDescent="0.15">
      <c r="A10" s="171" t="s">
        <v>260</v>
      </c>
      <c r="B10" s="171"/>
      <c r="C10" s="171"/>
      <c r="D10" s="171"/>
      <c r="E10" s="171"/>
      <c r="F10" s="171"/>
      <c r="G10" s="171"/>
    </row>
    <row r="11" spans="1:7" x14ac:dyDescent="0.15">
      <c r="A11" s="149">
        <f>'LBO Returns Exit'!P16</f>
        <v>0</v>
      </c>
      <c r="B11" s="153">
        <v>10</v>
      </c>
      <c r="C11" s="153">
        <v>12</v>
      </c>
      <c r="D11" s="153">
        <v>14</v>
      </c>
      <c r="E11" s="153">
        <v>16</v>
      </c>
      <c r="F11" s="153">
        <v>18</v>
      </c>
      <c r="G11" s="153">
        <v>20</v>
      </c>
    </row>
    <row r="12" spans="1:7" x14ac:dyDescent="0.15">
      <c r="A12" s="148">
        <v>10</v>
      </c>
      <c r="B12" s="82">
        <v>1.7467035308007479</v>
      </c>
      <c r="C12" s="82">
        <v>2.2854544091655447</v>
      </c>
      <c r="D12" s="82">
        <v>2.8242052875303427</v>
      </c>
      <c r="E12" s="82">
        <v>3.3629561658951412</v>
      </c>
      <c r="F12" s="82">
        <v>3.9017070442599384</v>
      </c>
      <c r="G12" s="82">
        <v>4.4404579226247369</v>
      </c>
    </row>
    <row r="13" spans="1:7" x14ac:dyDescent="0.15">
      <c r="A13" s="148">
        <v>12</v>
      </c>
      <c r="B13" s="82">
        <v>1.2134805833101052</v>
      </c>
      <c r="C13" s="82">
        <v>1.5877648957928525</v>
      </c>
      <c r="D13" s="82">
        <v>1.9620492082756007</v>
      </c>
      <c r="E13" s="82">
        <v>2.3363335207583491</v>
      </c>
      <c r="F13" s="82">
        <v>2.7106178332410966</v>
      </c>
      <c r="G13" s="82">
        <v>3.084902145723845</v>
      </c>
    </row>
    <row r="14" spans="1:7" x14ac:dyDescent="0.15">
      <c r="A14" s="148">
        <v>14</v>
      </c>
      <c r="B14" s="82">
        <v>0.92967507487976653</v>
      </c>
      <c r="C14" s="82">
        <v>1.2164227995813477</v>
      </c>
      <c r="D14" s="82">
        <v>1.5031705242829294</v>
      </c>
      <c r="E14" s="82">
        <v>1.7899182489845111</v>
      </c>
      <c r="F14" s="82">
        <v>2.0766659736860924</v>
      </c>
      <c r="G14" s="82">
        <v>2.3634136983876748</v>
      </c>
    </row>
    <row r="15" spans="1:7" x14ac:dyDescent="0.15">
      <c r="A15" s="148">
        <v>16</v>
      </c>
      <c r="B15" s="82">
        <v>0.75345831259449769</v>
      </c>
      <c r="C15" s="82">
        <v>0.98585397709255529</v>
      </c>
      <c r="D15" s="82">
        <v>1.2182496415906134</v>
      </c>
      <c r="E15" s="82">
        <v>1.4506453060886717</v>
      </c>
      <c r="F15" s="82">
        <v>1.6830409705867295</v>
      </c>
      <c r="G15" s="82">
        <v>1.915436635084788</v>
      </c>
    </row>
    <row r="16" spans="1:7" x14ac:dyDescent="0.15">
      <c r="A16" s="148">
        <v>18</v>
      </c>
      <c r="B16" s="82">
        <v>0.63339956914388429</v>
      </c>
      <c r="C16" s="82">
        <v>0.82876447693434008</v>
      </c>
      <c r="D16" s="82">
        <v>1.0241293847247963</v>
      </c>
      <c r="E16" s="82">
        <v>1.2194942925152525</v>
      </c>
      <c r="F16" s="82">
        <v>1.4148592003057083</v>
      </c>
      <c r="G16" s="82">
        <v>1.6102241080961648</v>
      </c>
    </row>
  </sheetData>
  <mergeCells count="2">
    <mergeCell ref="A2:G2"/>
    <mergeCell ref="A10:G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Table of Contents</vt:lpstr>
      <vt:lpstr>Assumptions Tab</vt:lpstr>
      <vt:lpstr>H.B. Fuller BAS Operating</vt:lpstr>
      <vt:lpstr>BAS Carveout</vt:lpstr>
      <vt:lpstr>Sources And Uses</vt:lpstr>
      <vt:lpstr>Debt Schedule</vt:lpstr>
      <vt:lpstr>LBO Returns Exit</vt:lpstr>
      <vt:lpstr>Seller Impact</vt:lpstr>
      <vt:lpstr>Precedent Transactions</vt:lpstr>
      <vt:lpstr>old artifcats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Hassan</dc:creator>
  <cp:lastModifiedBy>Evan Hassan</cp:lastModifiedBy>
  <dcterms:created xsi:type="dcterms:W3CDTF">2026-08-26T18:20:29Z</dcterms:created>
  <dcterms:modified xsi:type="dcterms:W3CDTF">2026-09-02T01:27:21Z</dcterms:modified>
</cp:coreProperties>
</file>