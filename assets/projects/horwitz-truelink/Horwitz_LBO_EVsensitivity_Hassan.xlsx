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"/>
    </mc:Choice>
  </mc:AlternateContent>
  <xr:revisionPtr revIDLastSave="0" documentId="13_ncr:1_{7200DF8F-3E5C-164B-B1D8-810C1B30C21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EV Sensitivity" sheetId="4" r:id="rId1"/>
    <sheet name="LBO Lit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C24" i="4" s="1"/>
  <c r="B5" i="5"/>
  <c r="C23" i="4"/>
  <c r="C20" i="4"/>
  <c r="B10" i="4"/>
  <c r="B11" i="4"/>
  <c r="B12" i="4"/>
  <c r="B13" i="4"/>
  <c r="B14" i="4"/>
  <c r="B15" i="4"/>
  <c r="B16" i="4"/>
  <c r="C10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B4" i="5" l="1"/>
  <c r="B6" i="5" s="1"/>
  <c r="B24" i="5" l="1"/>
  <c r="C24" i="5" s="1"/>
  <c r="C25" i="5" s="1"/>
  <c r="C26" i="5" s="1"/>
  <c r="E17" i="5"/>
  <c r="B17" i="5"/>
  <c r="B18" i="5"/>
  <c r="D24" i="5"/>
  <c r="B19" i="5" l="1"/>
  <c r="E18" i="5" s="1"/>
  <c r="E19" i="5" s="1"/>
  <c r="E24" i="5"/>
  <c r="E25" i="5" s="1"/>
  <c r="D25" i="5"/>
  <c r="D26" i="5" s="1"/>
  <c r="F24" i="5" l="1"/>
  <c r="F25" i="5" s="1"/>
  <c r="E26" i="5"/>
  <c r="F26" i="5" s="1"/>
  <c r="G24" i="5" l="1"/>
  <c r="G25" i="5" s="1"/>
  <c r="G26" i="5" s="1"/>
  <c r="K24" i="5" s="1"/>
  <c r="K25" i="5" s="1"/>
  <c r="G27" i="5" l="1"/>
  <c r="G28" i="5"/>
  <c r="G29" i="5" s="1"/>
  <c r="G30" i="5" s="1"/>
  <c r="J24" i="5"/>
  <c r="J25" i="5" s="1"/>
  <c r="N24" i="5"/>
  <c r="N25" i="5" s="1"/>
  <c r="M24" i="5"/>
  <c r="M25" i="5" s="1"/>
  <c r="L24" i="5"/>
  <c r="L25" i="5" s="1"/>
</calcChain>
</file>

<file path=xl/sharedStrings.xml><?xml version="1.0" encoding="utf-8"?>
<sst xmlns="http://schemas.openxmlformats.org/spreadsheetml/2006/main" count="74" uniqueCount="70">
  <si>
    <t>Enterprise Value Sensitivity</t>
  </si>
  <si>
    <t>EBITDA ($mm)</t>
  </si>
  <si>
    <t>Base Case Selection</t>
  </si>
  <si>
    <t>Selected EBITDA ($mm)</t>
  </si>
  <si>
    <t>Change this assumption</t>
  </si>
  <si>
    <t>Selected Entry Multiple</t>
  </si>
  <si>
    <t>Implied Enterprise Value ($mm)</t>
  </si>
  <si>
    <t>Formula: EBITDA × multiple</t>
  </si>
  <si>
    <t>Comment</t>
  </si>
  <si>
    <t>Illustrative only because terms are undisclosed</t>
  </si>
  <si>
    <t>LBO Lite – Sponsor Return Sensitivity</t>
  </si>
  <si>
    <t>Assumptions</t>
  </si>
  <si>
    <t>Linked from EV Sensitivity</t>
  </si>
  <si>
    <t>Entry Multiple</t>
  </si>
  <si>
    <t>Purchase Enterprise Value ($mm)</t>
  </si>
  <si>
    <t>Formula</t>
  </si>
  <si>
    <t>Transaction Fees (% EV)</t>
  </si>
  <si>
    <t>Illustrative assumption</t>
  </si>
  <si>
    <t>Debt Multiple</t>
  </si>
  <si>
    <t>EBITDA Growth</t>
  </si>
  <si>
    <t>Illustrative organic EBITDA growth</t>
  </si>
  <si>
    <t>Cash Flow Available for Debt Paydown (% EBITDA)</t>
  </si>
  <si>
    <t>Simplified FCF conversion</t>
  </si>
  <si>
    <t>Exit Multiple</t>
  </si>
  <si>
    <t>Illustrative exit multiple</t>
  </si>
  <si>
    <t>Hold Period</t>
  </si>
  <si>
    <t>Years</t>
  </si>
  <si>
    <t>Sources &amp; Uses</t>
  </si>
  <si>
    <t>Uses</t>
  </si>
  <si>
    <t>Amount ($mm)</t>
  </si>
  <si>
    <t>Sources</t>
  </si>
  <si>
    <t>Purchase Enterprise Value</t>
  </si>
  <si>
    <t>Debt</t>
  </si>
  <si>
    <t>Transaction Fees</t>
  </si>
  <si>
    <t>Sponsor Equity</t>
  </si>
  <si>
    <t>Total Uses</t>
  </si>
  <si>
    <t>Total Sources</t>
  </si>
  <si>
    <t>5-Year EBITDA / Debt Paydown</t>
  </si>
  <si>
    <t>Exit Multiple Sensitivity – MOIC</t>
  </si>
  <si>
    <t>Year</t>
  </si>
  <si>
    <t>0</t>
  </si>
  <si>
    <t>2</t>
  </si>
  <si>
    <t>3</t>
  </si>
  <si>
    <t>4</t>
  </si>
  <si>
    <t>5</t>
  </si>
  <si>
    <t>MOIC</t>
  </si>
  <si>
    <t>Ending Debt ($mm)</t>
  </si>
  <si>
    <t>Exit Enterprise Value ($mm)</t>
  </si>
  <si>
    <t>Exit Equity Value ($mm)</t>
  </si>
  <si>
    <t>Sponsor Equity MOIC</t>
  </si>
  <si>
    <t>Sponsor IRR</t>
  </si>
  <si>
    <t>Implied Enterprise Value ($mm) = Revenue x  EBITDA Margin × ( Comparable EV / EBITDA Multiple)</t>
  </si>
  <si>
    <t>Revenue Estimate ($mm)</t>
  </si>
  <si>
    <t>Employee Count</t>
  </si>
  <si>
    <t>Regression</t>
  </si>
  <si>
    <t>Deal announcement</t>
  </si>
  <si>
    <t>EBITDA Margin</t>
  </si>
  <si>
    <t>Implied EBITDA($MM)</t>
  </si>
  <si>
    <t>Implied EBITDA ($mm)</t>
  </si>
  <si>
    <t xml:space="preserve">Selected EBITDA Margin </t>
  </si>
  <si>
    <t>Revenue Estimate ($MM)</t>
  </si>
  <si>
    <t>Revenue Estimate</t>
  </si>
  <si>
    <t>From Regression</t>
  </si>
  <si>
    <t>standard case</t>
  </si>
  <si>
    <t>not assuming multiple expansion</t>
  </si>
  <si>
    <t>wall street oasis standard placeholder</t>
  </si>
  <si>
    <t>simplied fcf conversion assumption</t>
  </si>
  <si>
    <t>Cash Flow Available For Debt Paydown($MM)</t>
  </si>
  <si>
    <t>IRR</t>
  </si>
  <si>
    <t xml:space="preserve">Exit Multiple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</si>
</sst>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x"/>
    <numFmt numFmtId="165" formatCode="\$#,##0.0;[Red]\(\$#,##0.0\);\-"/>
    <numFmt numFmtId="166" formatCode="0.0%"/>
    <numFmt numFmtId="167" formatCode="&quot;$&quot;#,##0.00"/>
    <numFmt numFmtId="168" formatCode="&quot;$&quot;#,##0.0"/>
    <numFmt numFmtId="169" formatCode="0.0&quot;x&quot;"/>
    <numFmt numFmtId="170" formatCode="0.00\x"/>
  </numFmts>
  <fonts count="8">
    <font>
      <sz val="11"/>
      <name val="Carlito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/>
      <right/>
      <top style="medium">
        <color indexed="64"/>
      </top>
      <bottom style="thin">
        <color theme="2"/>
      </bottom>
      <diagonal/>
    </border>
    <border>
      <left/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medium">
        <color indexed="64"/>
      </bottom>
      <diagonal/>
    </border>
    <border>
      <left/>
      <right/>
      <top style="thin">
        <color theme="2"/>
      </top>
      <bottom style="medium">
        <color indexed="64"/>
      </bottom>
      <diagonal/>
    </border>
    <border>
      <left/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medium">
        <color indexed="64"/>
      </right>
      <top/>
      <bottom style="thin">
        <color theme="2"/>
      </bottom>
      <diagonal/>
    </border>
  </borders>
  <cellStyleXfs count="6">
    <xf numFmtId="0" fontId="0" fillId="0" borderId="0"/>
    <xf numFmtId="164" fontId="5" fillId="8" borderId="21" applyNumberFormat="0">
      <alignment horizontal="center" wrapText="1"/>
    </xf>
    <xf numFmtId="0" fontId="2" fillId="2" borderId="17"/>
    <xf numFmtId="0" fontId="1" fillId="6" borderId="4" applyBorder="0"/>
    <xf numFmtId="0" fontId="1" fillId="5" borderId="0">
      <alignment horizontal="left"/>
    </xf>
    <xf numFmtId="165" fontId="3" fillId="0" borderId="8"/>
  </cellStyleXfs>
  <cellXfs count="76">
    <xf numFmtId="0" fontId="0" fillId="0" borderId="0" xfId="0"/>
    <xf numFmtId="0" fontId="1" fillId="6" borderId="2" xfId="0" applyFont="1" applyFill="1" applyBorder="1"/>
    <xf numFmtId="0" fontId="1" fillId="6" borderId="3" xfId="0" applyFont="1" applyFill="1" applyBorder="1"/>
    <xf numFmtId="0" fontId="1" fillId="6" borderId="20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wrapText="1"/>
    </xf>
    <xf numFmtId="0" fontId="2" fillId="2" borderId="7" xfId="0" applyFont="1" applyFill="1" applyBorder="1"/>
    <xf numFmtId="165" fontId="3" fillId="0" borderId="8" xfId="0" applyNumberFormat="1" applyFont="1" applyBorder="1"/>
    <xf numFmtId="165" fontId="3" fillId="0" borderId="9" xfId="0" applyNumberFormat="1" applyFont="1" applyBorder="1"/>
    <xf numFmtId="0" fontId="3" fillId="0" borderId="8" xfId="0" applyFont="1" applyBorder="1"/>
    <xf numFmtId="164" fontId="3" fillId="0" borderId="9" xfId="0" applyNumberFormat="1" applyFont="1" applyBorder="1"/>
    <xf numFmtId="0" fontId="2" fillId="2" borderId="10" xfId="0" applyFont="1" applyFill="1" applyBorder="1"/>
    <xf numFmtId="0" fontId="3" fillId="0" borderId="11" xfId="0" applyFont="1" applyBorder="1"/>
    <xf numFmtId="166" fontId="3" fillId="0" borderId="12" xfId="0" applyNumberFormat="1" applyFont="1" applyBorder="1"/>
    <xf numFmtId="0" fontId="1" fillId="4" borderId="0" xfId="0" applyFont="1" applyFill="1"/>
    <xf numFmtId="0" fontId="1" fillId="7" borderId="0" xfId="0" applyFont="1" applyFill="1"/>
    <xf numFmtId="0" fontId="3" fillId="0" borderId="0" xfId="0" applyFont="1"/>
    <xf numFmtId="0" fontId="1" fillId="3" borderId="0" xfId="0" applyFont="1" applyFill="1"/>
    <xf numFmtId="0" fontId="2" fillId="0" borderId="0" xfId="0" applyFont="1"/>
    <xf numFmtId="0" fontId="1" fillId="6" borderId="4" xfId="0" applyFont="1" applyFill="1" applyBorder="1" applyAlignment="1">
      <alignment horizontal="center" wrapText="1"/>
    </xf>
    <xf numFmtId="0" fontId="1" fillId="6" borderId="13" xfId="0" applyFont="1" applyFill="1" applyBorder="1" applyAlignment="1">
      <alignment horizontal="center" wrapText="1"/>
    </xf>
    <xf numFmtId="165" fontId="3" fillId="0" borderId="11" xfId="0" applyNumberFormat="1" applyFont="1" applyBorder="1"/>
    <xf numFmtId="165" fontId="3" fillId="0" borderId="12" xfId="0" applyNumberFormat="1" applyFont="1" applyBorder="1"/>
    <xf numFmtId="0" fontId="1" fillId="3" borderId="4" xfId="0" applyFont="1" applyFill="1" applyBorder="1"/>
    <xf numFmtId="0" fontId="1" fillId="3" borderId="13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2" fillId="2" borderId="14" xfId="0" applyFont="1" applyFill="1" applyBorder="1"/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2" borderId="15" xfId="0" applyFont="1" applyFill="1" applyBorder="1"/>
    <xf numFmtId="0" fontId="3" fillId="0" borderId="11" xfId="0" applyFont="1" applyBorder="1" applyAlignment="1">
      <alignment wrapText="1"/>
    </xf>
    <xf numFmtId="0" fontId="3" fillId="0" borderId="12" xfId="0" applyFont="1" applyBorder="1"/>
    <xf numFmtId="168" fontId="3" fillId="0" borderId="8" xfId="0" applyNumberFormat="1" applyFont="1" applyBorder="1"/>
    <xf numFmtId="168" fontId="6" fillId="0" borderId="8" xfId="0" applyNumberFormat="1" applyFont="1" applyFill="1" applyBorder="1"/>
    <xf numFmtId="9" fontId="5" fillId="8" borderId="8" xfId="0" applyNumberFormat="1" applyFont="1" applyFill="1" applyBorder="1"/>
    <xf numFmtId="169" fontId="5" fillId="8" borderId="8" xfId="0" applyNumberFormat="1" applyFont="1" applyFill="1" applyBorder="1" applyAlignment="1">
      <alignment horizontal="right"/>
    </xf>
    <xf numFmtId="164" fontId="4" fillId="8" borderId="5" xfId="0" applyNumberFormat="1" applyFont="1" applyFill="1" applyBorder="1" applyAlignment="1">
      <alignment horizontal="center" wrapText="1"/>
    </xf>
    <xf numFmtId="9" fontId="5" fillId="8" borderId="7" xfId="0" applyNumberFormat="1" applyFont="1" applyFill="1" applyBorder="1"/>
    <xf numFmtId="9" fontId="5" fillId="8" borderId="10" xfId="0" applyNumberFormat="1" applyFont="1" applyFill="1" applyBorder="1"/>
    <xf numFmtId="164" fontId="5" fillId="8" borderId="5" xfId="0" applyNumberFormat="1" applyFont="1" applyFill="1" applyBorder="1" applyAlignment="1">
      <alignment horizontal="center" wrapText="1"/>
    </xf>
    <xf numFmtId="164" fontId="5" fillId="8" borderId="6" xfId="0" applyNumberFormat="1" applyFont="1" applyFill="1" applyBorder="1" applyAlignment="1">
      <alignment horizontal="center" wrapText="1"/>
    </xf>
    <xf numFmtId="9" fontId="4" fillId="8" borderId="7" xfId="0" applyNumberFormat="1" applyFont="1" applyFill="1" applyBorder="1"/>
    <xf numFmtId="167" fontId="6" fillId="0" borderId="14" xfId="0" applyNumberFormat="1" applyFont="1" applyBorder="1"/>
    <xf numFmtId="167" fontId="6" fillId="0" borderId="15" xfId="0" applyNumberFormat="1" applyFont="1" applyBorder="1"/>
    <xf numFmtId="0" fontId="1" fillId="5" borderId="0" xfId="0" applyFont="1" applyFill="1" applyAlignment="1">
      <alignment horizontal="left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2" fillId="2" borderId="17" xfId="0" applyFont="1" applyFill="1" applyBorder="1"/>
    <xf numFmtId="165" fontId="7" fillId="0" borderId="19" xfId="0" applyNumberFormat="1" applyFont="1" applyBorder="1"/>
    <xf numFmtId="164" fontId="7" fillId="0" borderId="19" xfId="0" applyNumberFormat="1" applyFont="1" applyBorder="1"/>
    <xf numFmtId="166" fontId="5" fillId="8" borderId="19" xfId="0" applyNumberFormat="1" applyFont="1" applyFill="1" applyBorder="1"/>
    <xf numFmtId="164" fontId="5" fillId="8" borderId="19" xfId="0" applyNumberFormat="1" applyFont="1" applyFill="1" applyBorder="1"/>
    <xf numFmtId="0" fontId="2" fillId="2" borderId="16" xfId="0" applyFont="1" applyFill="1" applyBorder="1"/>
    <xf numFmtId="0" fontId="5" fillId="8" borderId="18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1" fillId="6" borderId="1" xfId="0" applyFont="1" applyFill="1" applyBorder="1"/>
    <xf numFmtId="164" fontId="4" fillId="8" borderId="21" xfId="0" applyNumberFormat="1" applyFont="1" applyFill="1" applyBorder="1" applyAlignment="1">
      <alignment horizontal="center" wrapText="1"/>
    </xf>
    <xf numFmtId="9" fontId="3" fillId="0" borderId="7" xfId="0" applyNumberFormat="1" applyFont="1" applyBorder="1"/>
    <xf numFmtId="170" fontId="3" fillId="0" borderId="8" xfId="0" applyNumberFormat="1" applyFont="1" applyBorder="1"/>
    <xf numFmtId="170" fontId="3" fillId="0" borderId="9" xfId="0" applyNumberFormat="1" applyFont="1" applyBorder="1"/>
    <xf numFmtId="9" fontId="3" fillId="0" borderId="8" xfId="0" applyNumberFormat="1" applyFont="1" applyBorder="1"/>
    <xf numFmtId="9" fontId="3" fillId="0" borderId="9" xfId="0" applyNumberFormat="1" applyFont="1" applyBorder="1"/>
    <xf numFmtId="0" fontId="3" fillId="0" borderId="7" xfId="0" applyFont="1" applyBorder="1"/>
    <xf numFmtId="0" fontId="3" fillId="0" borderId="10" xfId="0" applyFont="1" applyBorder="1"/>
    <xf numFmtId="165" fontId="7" fillId="0" borderId="8" xfId="0" applyNumberFormat="1" applyFont="1" applyFill="1" applyBorder="1"/>
    <xf numFmtId="164" fontId="5" fillId="8" borderId="21" xfId="0" applyNumberFormat="1" applyFont="1" applyFill="1" applyBorder="1" applyAlignment="1">
      <alignment horizontal="center" wrapText="1"/>
    </xf>
    <xf numFmtId="164" fontId="5" fillId="8" borderId="22" xfId="0" applyNumberFormat="1" applyFont="1" applyFill="1" applyBorder="1" applyAlignment="1">
      <alignment horizontal="center" wrapText="1"/>
    </xf>
  </cellXfs>
  <cellStyles count="6">
    <cellStyle name="assumptions" xfId="2" xr:uid="{057D0C20-FFED-5340-913E-CC497AD85A1F}"/>
    <cellStyle name="basic inside" xfId="5" xr:uid="{C0207BED-C7B9-2C40-AD06-C8201415BDE1}"/>
    <cellStyle name="header" xfId="3" xr:uid="{ACC9E064-2988-194B-970B-E46DA227FBFA}"/>
    <cellStyle name="input1" xfId="1" xr:uid="{347F6008-C060-6848-92F6-3F3E8261268A}"/>
    <cellStyle name="Normal" xfId="0" builtinId="0"/>
    <cellStyle name="title1" xfId="4" xr:uid="{2C0BEEC2-3EDF-594F-B352-28E921C18860}"/>
  </cellStyles>
  <dxfs count="0"/>
  <tableStyles count="0" defaultTableStyle="TableStyleMedium2" defaultPivotStyle="PivotStyleLight16"/>
  <colors>
    <mruColors>
      <color rgb="FF008000"/>
      <color rgb="FFFFFFCC"/>
      <color rgb="FF0000FF"/>
      <color rgb="FFB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tabSelected="1" zoomScale="110" zoomScaleNormal="186" workbookViewId="0">
      <selection activeCell="I25" sqref="I25"/>
    </sheetView>
  </sheetViews>
  <sheetFormatPr baseColWidth="10" defaultColWidth="8.83203125" defaultRowHeight="14"/>
  <cols>
    <col min="1" max="1" width="24" style="16" customWidth="1"/>
    <col min="2" max="2" width="17.33203125" style="16" customWidth="1"/>
    <col min="3" max="8" width="16" style="16" customWidth="1"/>
    <col min="9" max="9" width="20" style="16" customWidth="1"/>
    <col min="10" max="16384" width="8.83203125" style="16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5"/>
    </row>
    <row r="3" spans="1:9">
      <c r="A3" s="17" t="s">
        <v>51</v>
      </c>
      <c r="B3" s="17"/>
      <c r="C3" s="17"/>
      <c r="D3" s="17"/>
      <c r="E3" s="17"/>
      <c r="F3" s="17"/>
      <c r="G3" s="17"/>
      <c r="H3" s="17"/>
      <c r="I3" s="15"/>
    </row>
    <row r="4" spans="1:9">
      <c r="A4" s="18" t="s">
        <v>52</v>
      </c>
      <c r="B4" s="16">
        <v>263.3</v>
      </c>
      <c r="C4" s="16" t="s">
        <v>54</v>
      </c>
    </row>
    <row r="5" spans="1:9">
      <c r="A5" s="18" t="s">
        <v>53</v>
      </c>
      <c r="B5" s="16">
        <v>720</v>
      </c>
      <c r="C5" s="16" t="s">
        <v>55</v>
      </c>
    </row>
    <row r="8" spans="1:9" ht="15" thickBot="1"/>
    <row r="9" spans="1:9" ht="30">
      <c r="A9" s="19" t="s">
        <v>56</v>
      </c>
      <c r="B9" s="20" t="s">
        <v>57</v>
      </c>
      <c r="C9" s="42">
        <v>7</v>
      </c>
      <c r="D9" s="42">
        <v>8</v>
      </c>
      <c r="E9" s="42">
        <v>9</v>
      </c>
      <c r="F9" s="39">
        <v>10</v>
      </c>
      <c r="G9" s="42">
        <v>11</v>
      </c>
      <c r="H9" s="43">
        <v>12</v>
      </c>
    </row>
    <row r="10" spans="1:9">
      <c r="A10" s="40">
        <v>7.0000000000000007E-2</v>
      </c>
      <c r="B10" s="45">
        <f>A10*$B$4</f>
        <v>18.431000000000001</v>
      </c>
      <c r="C10" s="7">
        <f t="shared" ref="C10:H16" si="0">$B$4*$A10*C$9</f>
        <v>129.017</v>
      </c>
      <c r="D10" s="7">
        <f t="shared" si="0"/>
        <v>147.44800000000001</v>
      </c>
      <c r="E10" s="7">
        <f t="shared" si="0"/>
        <v>165.87900000000002</v>
      </c>
      <c r="F10" s="7">
        <f t="shared" si="0"/>
        <v>184.31</v>
      </c>
      <c r="G10" s="7">
        <f t="shared" si="0"/>
        <v>202.74100000000001</v>
      </c>
      <c r="H10" s="8">
        <f t="shared" si="0"/>
        <v>221.17200000000003</v>
      </c>
    </row>
    <row r="11" spans="1:9">
      <c r="A11" s="40">
        <v>0.08</v>
      </c>
      <c r="B11" s="45">
        <f t="shared" ref="B11:B16" si="1">A11*$B$4</f>
        <v>21.064</v>
      </c>
      <c r="C11" s="7">
        <f t="shared" si="0"/>
        <v>147.44800000000001</v>
      </c>
      <c r="D11" s="7">
        <f t="shared" si="0"/>
        <v>168.512</v>
      </c>
      <c r="E11" s="7">
        <f t="shared" si="0"/>
        <v>189.57599999999999</v>
      </c>
      <c r="F11" s="7">
        <f t="shared" si="0"/>
        <v>210.64</v>
      </c>
      <c r="G11" s="7">
        <f t="shared" si="0"/>
        <v>231.70400000000001</v>
      </c>
      <c r="H11" s="8">
        <f t="shared" si="0"/>
        <v>252.768</v>
      </c>
    </row>
    <row r="12" spans="1:9">
      <c r="A12" s="40">
        <v>0.09</v>
      </c>
      <c r="B12" s="45">
        <f t="shared" si="1"/>
        <v>23.696999999999999</v>
      </c>
      <c r="C12" s="7">
        <f t="shared" si="0"/>
        <v>165.87899999999999</v>
      </c>
      <c r="D12" s="7">
        <f t="shared" si="0"/>
        <v>189.57599999999999</v>
      </c>
      <c r="E12" s="7">
        <f t="shared" si="0"/>
        <v>213.273</v>
      </c>
      <c r="F12" s="7">
        <f t="shared" si="0"/>
        <v>236.97</v>
      </c>
      <c r="G12" s="7">
        <f t="shared" si="0"/>
        <v>260.66699999999997</v>
      </c>
      <c r="H12" s="8">
        <f t="shared" si="0"/>
        <v>284.36399999999998</v>
      </c>
    </row>
    <row r="13" spans="1:9">
      <c r="A13" s="44">
        <v>0.1</v>
      </c>
      <c r="B13" s="45">
        <f t="shared" si="1"/>
        <v>26.330000000000002</v>
      </c>
      <c r="C13" s="7">
        <f t="shared" si="0"/>
        <v>184.31</v>
      </c>
      <c r="D13" s="7">
        <f t="shared" si="0"/>
        <v>210.64000000000001</v>
      </c>
      <c r="E13" s="7">
        <f t="shared" si="0"/>
        <v>236.97000000000003</v>
      </c>
      <c r="F13" s="7">
        <f t="shared" si="0"/>
        <v>263.3</v>
      </c>
      <c r="G13" s="7">
        <f t="shared" si="0"/>
        <v>289.63</v>
      </c>
      <c r="H13" s="8">
        <f t="shared" si="0"/>
        <v>315.96000000000004</v>
      </c>
    </row>
    <row r="14" spans="1:9">
      <c r="A14" s="40">
        <v>0.11</v>
      </c>
      <c r="B14" s="45">
        <f t="shared" si="1"/>
        <v>28.963000000000001</v>
      </c>
      <c r="C14" s="7">
        <f t="shared" si="0"/>
        <v>202.74100000000001</v>
      </c>
      <c r="D14" s="7">
        <f t="shared" si="0"/>
        <v>231.70400000000001</v>
      </c>
      <c r="E14" s="7">
        <f t="shared" si="0"/>
        <v>260.66700000000003</v>
      </c>
      <c r="F14" s="7">
        <f t="shared" si="0"/>
        <v>289.63</v>
      </c>
      <c r="G14" s="7">
        <f t="shared" si="0"/>
        <v>318.59300000000002</v>
      </c>
      <c r="H14" s="8">
        <f t="shared" si="0"/>
        <v>347.55600000000004</v>
      </c>
    </row>
    <row r="15" spans="1:9">
      <c r="A15" s="40">
        <v>0.12</v>
      </c>
      <c r="B15" s="45">
        <f t="shared" si="1"/>
        <v>31.596</v>
      </c>
      <c r="C15" s="7">
        <f t="shared" si="0"/>
        <v>221.172</v>
      </c>
      <c r="D15" s="7">
        <f t="shared" si="0"/>
        <v>252.768</v>
      </c>
      <c r="E15" s="7">
        <f t="shared" si="0"/>
        <v>284.36399999999998</v>
      </c>
      <c r="F15" s="7">
        <f t="shared" si="0"/>
        <v>315.95999999999998</v>
      </c>
      <c r="G15" s="7">
        <f t="shared" si="0"/>
        <v>347.55599999999998</v>
      </c>
      <c r="H15" s="8">
        <f t="shared" si="0"/>
        <v>379.15199999999999</v>
      </c>
    </row>
    <row r="16" spans="1:9" ht="15" thickBot="1">
      <c r="A16" s="41">
        <v>0.13</v>
      </c>
      <c r="B16" s="46">
        <f t="shared" si="1"/>
        <v>34.228999999999999</v>
      </c>
      <c r="C16" s="21">
        <f t="shared" si="0"/>
        <v>239.60300000000001</v>
      </c>
      <c r="D16" s="21">
        <f t="shared" si="0"/>
        <v>273.83199999999999</v>
      </c>
      <c r="E16" s="21">
        <f t="shared" si="0"/>
        <v>308.06099999999998</v>
      </c>
      <c r="F16" s="21">
        <f t="shared" si="0"/>
        <v>342.28999999999996</v>
      </c>
      <c r="G16" s="21">
        <f t="shared" si="0"/>
        <v>376.51900000000001</v>
      </c>
      <c r="H16" s="22">
        <f t="shared" si="0"/>
        <v>410.74799999999999</v>
      </c>
    </row>
    <row r="18" spans="1:9" ht="15" thickBot="1"/>
    <row r="19" spans="1:9">
      <c r="A19" s="23" t="s">
        <v>2</v>
      </c>
      <c r="B19" s="24"/>
      <c r="C19" s="25"/>
      <c r="D19" s="25"/>
      <c r="E19" s="26"/>
      <c r="F19" s="15"/>
      <c r="G19" s="15"/>
      <c r="H19" s="15"/>
      <c r="I19" s="15"/>
    </row>
    <row r="20" spans="1:9" ht="18" customHeight="1">
      <c r="A20" s="6" t="s">
        <v>60</v>
      </c>
      <c r="B20" s="27"/>
      <c r="C20" s="73">
        <f>B4</f>
        <v>263.3</v>
      </c>
      <c r="D20" s="28" t="s">
        <v>62</v>
      </c>
      <c r="E20" s="29"/>
    </row>
    <row r="21" spans="1:9" ht="18" customHeight="1">
      <c r="A21" s="6" t="s">
        <v>59</v>
      </c>
      <c r="B21" s="27"/>
      <c r="C21" s="37">
        <v>0.1</v>
      </c>
      <c r="D21" s="30" t="s">
        <v>4</v>
      </c>
      <c r="E21" s="31"/>
    </row>
    <row r="22" spans="1:9" ht="18" customHeight="1">
      <c r="A22" s="6" t="s">
        <v>58</v>
      </c>
      <c r="B22" s="27"/>
      <c r="C22" s="36">
        <f>_xlfn.XLOOKUP(C21,A10:A16,B10:B16)</f>
        <v>26.330000000000002</v>
      </c>
      <c r="D22" s="28" t="s">
        <v>61</v>
      </c>
      <c r="E22" s="29"/>
    </row>
    <row r="23" spans="1:9" ht="18" customHeight="1">
      <c r="A23" s="6" t="s">
        <v>5</v>
      </c>
      <c r="B23" s="27"/>
      <c r="C23" s="38">
        <f>F9</f>
        <v>10</v>
      </c>
      <c r="D23" s="30" t="s">
        <v>4</v>
      </c>
      <c r="E23" s="31"/>
    </row>
    <row r="24" spans="1:9" ht="30" customHeight="1">
      <c r="A24" s="6" t="s">
        <v>6</v>
      </c>
      <c r="B24" s="27"/>
      <c r="C24" s="35">
        <f>C22*C23</f>
        <v>263.3</v>
      </c>
      <c r="D24" s="28" t="s">
        <v>7</v>
      </c>
      <c r="E24" s="29"/>
    </row>
    <row r="25" spans="1:9" ht="18" customHeight="1" thickBot="1">
      <c r="A25" s="11" t="s">
        <v>8</v>
      </c>
      <c r="B25" s="32"/>
      <c r="C25" s="12" t="s">
        <v>9</v>
      </c>
      <c r="D25" s="33"/>
      <c r="E25" s="34"/>
    </row>
  </sheetData>
  <mergeCells count="4">
    <mergeCell ref="D21:E21"/>
    <mergeCell ref="D23:E23"/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showGridLines="0" zoomScaleNormal="100" workbookViewId="0">
      <selection sqref="A1:N1"/>
    </sheetView>
  </sheetViews>
  <sheetFormatPr baseColWidth="10" defaultColWidth="8.83203125" defaultRowHeight="14"/>
  <cols>
    <col min="1" max="1" width="49.6640625" style="16" customWidth="1"/>
    <col min="2" max="2" width="16" style="16" customWidth="1"/>
    <col min="3" max="3" width="27.5" style="16" customWidth="1"/>
    <col min="4" max="4" width="17.6640625" style="16" customWidth="1"/>
    <col min="5" max="7" width="16" style="16" customWidth="1"/>
    <col min="8" max="8" width="4" style="16" customWidth="1"/>
    <col min="9" max="9" width="20" style="16" customWidth="1"/>
    <col min="10" max="14" width="14" style="16" customWidth="1"/>
    <col min="15" max="16384" width="8.83203125" style="16"/>
  </cols>
  <sheetData>
    <row r="1" spans="1:14">
      <c r="A1" s="47" t="s">
        <v>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5" thickBot="1"/>
    <row r="3" spans="1:14">
      <c r="A3" s="48" t="s">
        <v>11</v>
      </c>
      <c r="B3" s="49"/>
      <c r="C3" s="49"/>
      <c r="D3" s="49"/>
      <c r="E3" s="50"/>
      <c r="F3" s="15"/>
      <c r="G3" s="15"/>
      <c r="H3" s="15"/>
      <c r="I3" s="15"/>
      <c r="J3" s="15"/>
      <c r="K3" s="15"/>
      <c r="L3" s="15"/>
      <c r="M3" s="15"/>
      <c r="N3" s="15"/>
    </row>
    <row r="4" spans="1:14">
      <c r="A4" s="51" t="s">
        <v>3</v>
      </c>
      <c r="B4" s="52">
        <f>'EV Sensitivity'!C22</f>
        <v>26.330000000000002</v>
      </c>
      <c r="C4" s="9" t="s">
        <v>12</v>
      </c>
      <c r="D4" s="9"/>
      <c r="E4" s="29"/>
    </row>
    <row r="5" spans="1:14">
      <c r="A5" s="51" t="s">
        <v>13</v>
      </c>
      <c r="B5" s="53">
        <f>'EV Sensitivity'!C23</f>
        <v>10</v>
      </c>
      <c r="C5" s="9" t="s">
        <v>12</v>
      </c>
      <c r="D5" s="9"/>
      <c r="E5" s="29"/>
    </row>
    <row r="6" spans="1:14">
      <c r="A6" s="51" t="s">
        <v>14</v>
      </c>
      <c r="B6" s="52">
        <f>B4*B5</f>
        <v>263.3</v>
      </c>
      <c r="C6" s="9" t="s">
        <v>15</v>
      </c>
      <c r="D6" s="9"/>
      <c r="E6" s="29"/>
    </row>
    <row r="7" spans="1:14">
      <c r="A7" s="51" t="s">
        <v>16</v>
      </c>
      <c r="B7" s="54">
        <v>0.02</v>
      </c>
      <c r="C7" s="9" t="s">
        <v>17</v>
      </c>
      <c r="D7" s="9" t="s">
        <v>65</v>
      </c>
      <c r="E7" s="29"/>
    </row>
    <row r="8" spans="1:14">
      <c r="A8" s="51" t="s">
        <v>18</v>
      </c>
      <c r="B8" s="55">
        <v>4</v>
      </c>
      <c r="C8" s="9" t="s">
        <v>17</v>
      </c>
      <c r="D8" s="9"/>
      <c r="E8" s="29"/>
    </row>
    <row r="9" spans="1:14">
      <c r="A9" s="51" t="s">
        <v>19</v>
      </c>
      <c r="B9" s="54">
        <v>0.05</v>
      </c>
      <c r="C9" s="9" t="s">
        <v>20</v>
      </c>
      <c r="D9" s="9"/>
      <c r="E9" s="29"/>
    </row>
    <row r="10" spans="1:14">
      <c r="A10" s="51" t="s">
        <v>21</v>
      </c>
      <c r="B10" s="54">
        <v>0.35</v>
      </c>
      <c r="C10" s="9" t="s">
        <v>22</v>
      </c>
      <c r="D10" s="9" t="s">
        <v>66</v>
      </c>
      <c r="E10" s="29"/>
    </row>
    <row r="11" spans="1:14">
      <c r="A11" s="51" t="s">
        <v>23</v>
      </c>
      <c r="B11" s="55">
        <v>10</v>
      </c>
      <c r="C11" s="9" t="s">
        <v>24</v>
      </c>
      <c r="D11" s="9" t="s">
        <v>64</v>
      </c>
      <c r="E11" s="29"/>
    </row>
    <row r="12" spans="1:14" ht="15" thickBot="1">
      <c r="A12" s="56" t="s">
        <v>25</v>
      </c>
      <c r="B12" s="57">
        <v>5</v>
      </c>
      <c r="C12" s="12" t="s">
        <v>26</v>
      </c>
      <c r="D12" s="12" t="s">
        <v>63</v>
      </c>
      <c r="E12" s="34"/>
    </row>
    <row r="14" spans="1:14" ht="15" thickBot="1"/>
    <row r="15" spans="1:14">
      <c r="A15" s="58" t="s">
        <v>27</v>
      </c>
      <c r="B15" s="58"/>
      <c r="C15" s="58"/>
      <c r="D15" s="58"/>
      <c r="E15" s="59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>
      <c r="A16" s="3" t="s">
        <v>28</v>
      </c>
      <c r="B16" s="4" t="s">
        <v>29</v>
      </c>
      <c r="C16" s="4"/>
      <c r="D16" s="4" t="s">
        <v>30</v>
      </c>
      <c r="E16" s="5" t="s">
        <v>29</v>
      </c>
    </row>
    <row r="17" spans="1:14">
      <c r="A17" s="60" t="s">
        <v>31</v>
      </c>
      <c r="B17" s="7">
        <f>$B$6</f>
        <v>263.3</v>
      </c>
      <c r="C17" s="9"/>
      <c r="D17" s="61" t="s">
        <v>32</v>
      </c>
      <c r="E17" s="8">
        <f>$B$4*$B$8</f>
        <v>105.32000000000001</v>
      </c>
    </row>
    <row r="18" spans="1:14">
      <c r="A18" s="60" t="s">
        <v>33</v>
      </c>
      <c r="B18" s="7">
        <f>$B$6*$B$7</f>
        <v>5.266</v>
      </c>
      <c r="C18" s="9"/>
      <c r="D18" s="61" t="s">
        <v>34</v>
      </c>
      <c r="E18" s="8">
        <f>B19-E17</f>
        <v>163.24600000000004</v>
      </c>
    </row>
    <row r="19" spans="1:14" ht="15" thickBot="1">
      <c r="A19" s="62" t="s">
        <v>35</v>
      </c>
      <c r="B19" s="21">
        <f>SUM(B17:B18)</f>
        <v>268.56600000000003</v>
      </c>
      <c r="C19" s="12"/>
      <c r="D19" s="63" t="s">
        <v>36</v>
      </c>
      <c r="E19" s="22">
        <f>SUM(E17:E18)</f>
        <v>268.56600000000003</v>
      </c>
    </row>
    <row r="21" spans="1:14" ht="15" thickBot="1"/>
    <row r="22" spans="1:14">
      <c r="A22" s="1" t="s">
        <v>37</v>
      </c>
      <c r="B22" s="1"/>
      <c r="C22" s="1"/>
      <c r="D22" s="1"/>
      <c r="E22" s="1"/>
      <c r="F22" s="1"/>
      <c r="G22" s="2"/>
      <c r="H22" s="15"/>
      <c r="I22" s="64" t="s">
        <v>38</v>
      </c>
      <c r="J22" s="1"/>
      <c r="K22" s="1"/>
      <c r="L22" s="1"/>
      <c r="M22" s="1"/>
      <c r="N22" s="2"/>
    </row>
    <row r="23" spans="1:14" ht="15">
      <c r="A23" s="3" t="s">
        <v>39</v>
      </c>
      <c r="B23" s="4" t="s">
        <v>40</v>
      </c>
      <c r="C23" s="4">
        <v>1</v>
      </c>
      <c r="D23" s="4" t="s">
        <v>41</v>
      </c>
      <c r="E23" s="4" t="s">
        <v>42</v>
      </c>
      <c r="F23" s="4" t="s">
        <v>43</v>
      </c>
      <c r="G23" s="5" t="s">
        <v>44</v>
      </c>
      <c r="I23" s="3" t="s">
        <v>69</v>
      </c>
      <c r="J23" s="74">
        <v>8</v>
      </c>
      <c r="K23" s="74">
        <v>9</v>
      </c>
      <c r="L23" s="65">
        <v>10</v>
      </c>
      <c r="M23" s="74">
        <v>11</v>
      </c>
      <c r="N23" s="75">
        <v>12</v>
      </c>
    </row>
    <row r="24" spans="1:14">
      <c r="A24" s="6" t="s">
        <v>1</v>
      </c>
      <c r="B24" s="7">
        <f>$B$4</f>
        <v>26.330000000000002</v>
      </c>
      <c r="C24" s="7">
        <f>B24*(1+$B$9)</f>
        <v>27.646500000000003</v>
      </c>
      <c r="D24" s="7">
        <f>C24*(1+$B$9)</f>
        <v>29.028825000000005</v>
      </c>
      <c r="E24" s="7">
        <f>D24*(1+$B$9)</f>
        <v>30.480266250000007</v>
      </c>
      <c r="F24" s="7">
        <f>E24*(1+$B$9)</f>
        <v>32.00427956250001</v>
      </c>
      <c r="G24" s="8">
        <f>F24*(1+$B$9)</f>
        <v>33.604493540625015</v>
      </c>
      <c r="I24" s="66" t="s">
        <v>45</v>
      </c>
      <c r="J24" s="67">
        <f>(($G$24*J$23)-$G$26)/$E$18</f>
        <v>1.329303479709113</v>
      </c>
      <c r="K24" s="67">
        <f>(($G$24*K$23)-$G$26)/$E$18</f>
        <v>1.5351553446284678</v>
      </c>
      <c r="L24" s="67">
        <f>(($G$24*L$23)-$G$26)/$E$18</f>
        <v>1.7410072095478226</v>
      </c>
      <c r="M24" s="67">
        <f>(($G$24*M$23)-$G$26)/$E$18</f>
        <v>1.9468590744671774</v>
      </c>
      <c r="N24" s="68">
        <f>(($G$24*N$23)-$G$26)/$E$18</f>
        <v>2.1527109393865325</v>
      </c>
    </row>
    <row r="25" spans="1:14">
      <c r="A25" s="6" t="s">
        <v>67</v>
      </c>
      <c r="B25" s="7">
        <v>0</v>
      </c>
      <c r="C25" s="7">
        <f t="shared" ref="C25:F25" si="0">C24*$B$10</f>
        <v>9.6762750000000004</v>
      </c>
      <c r="D25" s="7">
        <f t="shared" si="0"/>
        <v>10.160088750000002</v>
      </c>
      <c r="E25" s="7">
        <f t="shared" si="0"/>
        <v>10.668093187500002</v>
      </c>
      <c r="F25" s="7">
        <f t="shared" si="0"/>
        <v>11.201497846875002</v>
      </c>
      <c r="G25" s="8">
        <f>G24*$B$10</f>
        <v>11.761572739218755</v>
      </c>
      <c r="I25" s="66" t="s">
        <v>68</v>
      </c>
      <c r="J25" s="69">
        <f>J24^(1/$B$12)-1</f>
        <v>5.8582788019460708E-2</v>
      </c>
      <c r="K25" s="69">
        <f t="shared" ref="K25:N25" si="1">K24^(1/$B$12)-1</f>
        <v>8.9508106044878577E-2</v>
      </c>
      <c r="L25" s="69">
        <f t="shared" si="1"/>
        <v>0.11727508425543443</v>
      </c>
      <c r="M25" s="69">
        <f t="shared" si="1"/>
        <v>0.14252813417586174</v>
      </c>
      <c r="N25" s="70">
        <f t="shared" si="1"/>
        <v>0.16572777317815368</v>
      </c>
    </row>
    <row r="26" spans="1:14">
      <c r="A26" s="6" t="s">
        <v>46</v>
      </c>
      <c r="B26" s="7">
        <v>105.3</v>
      </c>
      <c r="C26" s="7">
        <f>MAX(0,B26-C25)</f>
        <v>95.623724999999993</v>
      </c>
      <c r="D26" s="7">
        <f t="shared" ref="D26:G26" si="2">MAX(0,C26-D25)</f>
        <v>85.463636249999993</v>
      </c>
      <c r="E26" s="7">
        <f t="shared" si="2"/>
        <v>74.795543062499988</v>
      </c>
      <c r="F26" s="7">
        <f t="shared" si="2"/>
        <v>63.594045215624988</v>
      </c>
      <c r="G26" s="8">
        <f t="shared" si="2"/>
        <v>51.832472476406231</v>
      </c>
      <c r="I26" s="66"/>
      <c r="J26" s="69"/>
      <c r="K26" s="69"/>
      <c r="L26" s="69"/>
      <c r="M26" s="69"/>
      <c r="N26" s="70"/>
    </row>
    <row r="27" spans="1:14">
      <c r="A27" s="6" t="s">
        <v>47</v>
      </c>
      <c r="B27" s="7"/>
      <c r="C27" s="7"/>
      <c r="D27" s="7"/>
      <c r="E27" s="7"/>
      <c r="F27" s="7"/>
      <c r="G27" s="8">
        <f>G24*B11</f>
        <v>336.04493540625015</v>
      </c>
      <c r="I27" s="66"/>
      <c r="J27" s="69"/>
      <c r="K27" s="69"/>
      <c r="L27" s="69"/>
      <c r="M27" s="69"/>
      <c r="N27" s="70"/>
    </row>
    <row r="28" spans="1:14">
      <c r="A28" s="6" t="s">
        <v>48</v>
      </c>
      <c r="B28" s="7"/>
      <c r="C28" s="7"/>
      <c r="D28" s="7"/>
      <c r="E28" s="7"/>
      <c r="F28" s="7"/>
      <c r="G28" s="8">
        <f>G27-G26</f>
        <v>284.21246292984392</v>
      </c>
      <c r="I28" s="66"/>
      <c r="J28" s="69"/>
      <c r="K28" s="69"/>
      <c r="L28" s="69"/>
      <c r="M28" s="69"/>
      <c r="N28" s="70"/>
    </row>
    <row r="29" spans="1:14">
      <c r="A29" s="6" t="s">
        <v>49</v>
      </c>
      <c r="B29" s="9"/>
      <c r="C29" s="9"/>
      <c r="D29" s="9"/>
      <c r="E29" s="9"/>
      <c r="F29" s="9"/>
      <c r="G29" s="10">
        <f>G28/E18</f>
        <v>1.7410072095478226</v>
      </c>
      <c r="I29" s="71"/>
      <c r="J29" s="9"/>
      <c r="K29" s="9"/>
      <c r="L29" s="9"/>
      <c r="M29" s="9"/>
      <c r="N29" s="29"/>
    </row>
    <row r="30" spans="1:14" ht="15" thickBot="1">
      <c r="A30" s="11" t="s">
        <v>50</v>
      </c>
      <c r="B30" s="12"/>
      <c r="C30" s="12"/>
      <c r="D30" s="12"/>
      <c r="E30" s="12"/>
      <c r="F30" s="12"/>
      <c r="G30" s="13">
        <f>G29^(1/G23) - 1</f>
        <v>0.11727508425543443</v>
      </c>
      <c r="I30" s="72"/>
      <c r="J30" s="12"/>
      <c r="K30" s="12"/>
      <c r="L30" s="12"/>
      <c r="M30" s="12"/>
      <c r="N30" s="34"/>
    </row>
  </sheetData>
  <mergeCells count="4">
    <mergeCell ref="A1:N1"/>
    <mergeCell ref="A22:G22"/>
    <mergeCell ref="I22:N22"/>
    <mergeCell ref="A3:E3"/>
  </mergeCells>
  <pageMargins left="0.7" right="0.7" top="0.75" bottom="0.75" header="0.3" footer="0.3"/>
  <pageSetup orientation="portrait" horizontalDpi="0" verticalDpi="0"/>
  <ignoredErrors>
    <ignoredError sqref="B23:G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Sensitivity</vt:lpstr>
      <vt:lpstr>LBO 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Hassan</cp:lastModifiedBy>
  <dcterms:created xsi:type="dcterms:W3CDTF">2026-06-28T00:52:29Z</dcterms:created>
  <dcterms:modified xsi:type="dcterms:W3CDTF">2026-06-29T01:57:15Z</dcterms:modified>
</cp:coreProperties>
</file>