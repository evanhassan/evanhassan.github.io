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vanhassan/Downloads/Investment_Banking_Projects/MEGA project/"/>
    </mc:Choice>
  </mc:AlternateContent>
  <xr:revisionPtr revIDLastSave="0" documentId="13_ncr:1_{43D0E20A-28FA-B840-A900-B1780E49EBE0}" xr6:coauthVersionLast="47" xr6:coauthVersionMax="47" xr10:uidLastSave="{00000000-0000-0000-0000-000000000000}"/>
  <bookViews>
    <workbookView xWindow="0" yWindow="760" windowWidth="30240" windowHeight="18880" xr2:uid="{2DBE66EA-C933-824A-BBE5-40518E36ECBC}"/>
  </bookViews>
  <sheets>
    <sheet name="Table of Contents" sheetId="29" r:id="rId1"/>
    <sheet name="Main Page &amp; Assumptions" sheetId="2" r:id="rId2"/>
    <sheet name="Summary" sheetId="31" r:id="rId3"/>
    <sheet name="Pro Forma Financials" sheetId="32" r:id="rId4"/>
    <sheet name="Sources and Uses" sheetId="20" r:id="rId5"/>
    <sheet name="Pro Forma Opening BS" sheetId="22" r:id="rId6"/>
    <sheet name="PPA &amp; Goodwill" sheetId="21" r:id="rId7"/>
    <sheet name="Synergies &amp; Integration" sheetId="25" r:id="rId8"/>
    <sheet name="Transaction &amp; Refinancing Debt" sheetId="23" r:id="rId9"/>
    <sheet name="Pro Forma D&amp;A" sheetId="24" r:id="rId10"/>
    <sheet name="Olin Standalone" sheetId="13" r:id="rId11"/>
    <sheet name="Olin Debt" sheetId="19" r:id="rId12"/>
    <sheet name="Olin Equity Schedule" sheetId="16" r:id="rId13"/>
    <sheet name="Olin D&amp;A" sheetId="15" r:id="rId14"/>
    <sheet name="Huntsman Standalone" sheetId="6" r:id="rId15"/>
    <sheet name="Huntsman Equity Schedule" sheetId="10" r:id="rId16"/>
    <sheet name="Huntsman D&amp;A" sheetId="9" r:id="rId17"/>
    <sheet name="Huntsman Debt" sheetId="7" r:id="rId18"/>
    <sheet name="Olin Raw" sheetId="5" state="hidden" r:id="rId19"/>
    <sheet name="Huntsman Raw" sheetId="4" state="hidden" r:id="rId20"/>
  </sheets>
  <definedNames>
    <definedName name="_44701110___AllReports" localSheetId="19">'Huntsman Raw'!$A$1:$K$166</definedName>
    <definedName name="_xleta.INDEX" hidden="1" xlm="1">#NAME?</definedName>
    <definedName name="_xleta.N" hidden="1" xlm="1">#NAME?</definedName>
    <definedName name="_xleta.SHEET" hidden="1" xlm="1">#NAME?</definedName>
    <definedName name="_xleta.SUM" hidden="1" xlm="1">#NAME?</definedName>
    <definedName name="_xleta.T" hidden="1" xlm="1">#NAME?</definedName>
    <definedName name="_xlpm.closeYr" hidden="1" xlm="1">#NAME?</definedName>
    <definedName name="_xlpm.er" hidden="1" xlm="1">#NAME?</definedName>
    <definedName name="_xlpm.huntCur" hidden="1" xlm="1">#NAME?</definedName>
    <definedName name="_xlpm.huntPrev" hidden="1" xlm="1">#NAME?</definedName>
    <definedName name="_xlpm.ir" hidden="1" xlm="1">#NAME?</definedName>
    <definedName name="_xlpm.olinCur" hidden="1" xlm="1">#NAME?</definedName>
    <definedName name="_xlpm.olinGoodwill" hidden="1" xlm="1">#NAME?</definedName>
    <definedName name="_xlpm.olinIntangibles" hidden="1" xlm="1">#NAME?</definedName>
    <definedName name="_xlpm.olinPrev" hidden="1" xlm="1">#NAME?</definedName>
    <definedName name="_xlpm.olinRE" hidden="1" xlm="1">#NAME?</definedName>
    <definedName name="_xlpm.openingPF" hidden="1" xlm="1">#NAME?</definedName>
    <definedName name="_xlpm.r" hidden="1" xlm="1">#NAME?</definedName>
    <definedName name="_xlpm.yr" hidden="1" xlm="1">#NAME?</definedName>
    <definedName name="OLN___AllReports" localSheetId="18">'Olin Raw'!$A$1:$K$166</definedName>
  </definedNames>
  <calcPr calcId="191029" iterate="1" iterateCount="1000" iterateDelta="9.9999999999999995E-7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2" l="1"/>
  <c r="M22" i="22"/>
  <c r="C102" i="32" l="1"/>
  <c r="E12" i="22" l="1"/>
  <c r="B5" i="29"/>
  <c r="I38" i="19"/>
  <c r="I36" i="19"/>
  <c r="H38" i="19"/>
  <c r="H36" i="19"/>
  <c r="G38" i="19"/>
  <c r="F38" i="19"/>
  <c r="E38" i="19"/>
  <c r="E36" i="19"/>
  <c r="D38" i="19"/>
  <c r="I99" i="19"/>
  <c r="H99" i="19"/>
  <c r="G99" i="19"/>
  <c r="F99" i="19"/>
  <c r="E99" i="19"/>
  <c r="D99" i="19"/>
  <c r="C102" i="19"/>
  <c r="D98" i="19" s="1"/>
  <c r="I91" i="19"/>
  <c r="H91" i="19"/>
  <c r="G91" i="19"/>
  <c r="F91" i="19"/>
  <c r="D91" i="19"/>
  <c r="C94" i="19"/>
  <c r="D90" i="19" s="1"/>
  <c r="I83" i="19"/>
  <c r="H83" i="19"/>
  <c r="G83" i="19"/>
  <c r="F83" i="19"/>
  <c r="E83" i="19"/>
  <c r="D83" i="19"/>
  <c r="C86" i="19"/>
  <c r="D82" i="19" s="1"/>
  <c r="I75" i="19"/>
  <c r="G75" i="19"/>
  <c r="F75" i="19"/>
  <c r="E75" i="19"/>
  <c r="D75" i="19"/>
  <c r="C78" i="19"/>
  <c r="D74" i="19" s="1"/>
  <c r="I67" i="19"/>
  <c r="H67" i="19"/>
  <c r="F67" i="19"/>
  <c r="E67" i="19"/>
  <c r="D67" i="19"/>
  <c r="C70" i="19"/>
  <c r="D66" i="19" s="1"/>
  <c r="I59" i="19"/>
  <c r="H59" i="19"/>
  <c r="G59" i="19"/>
  <c r="F59" i="19"/>
  <c r="E59" i="19"/>
  <c r="D59" i="19"/>
  <c r="C62" i="19"/>
  <c r="D58" i="19" s="1"/>
  <c r="C54" i="19"/>
  <c r="D50" i="19" s="1"/>
  <c r="C38" i="19"/>
  <c r="P52" i="13"/>
  <c r="Q52" i="13"/>
  <c r="R52" i="13"/>
  <c r="S52" i="13"/>
  <c r="O52" i="13"/>
  <c r="P53" i="6"/>
  <c r="Q53" i="6"/>
  <c r="R53" i="6"/>
  <c r="S53" i="6"/>
  <c r="O53" i="6"/>
  <c r="I39" i="7"/>
  <c r="I37" i="7"/>
  <c r="H39" i="7"/>
  <c r="G39" i="7"/>
  <c r="G37" i="7"/>
  <c r="F39" i="7"/>
  <c r="E39" i="7"/>
  <c r="D39" i="7"/>
  <c r="I99" i="7"/>
  <c r="H99" i="7"/>
  <c r="G99" i="7"/>
  <c r="F99" i="7"/>
  <c r="E99" i="7"/>
  <c r="D99" i="7"/>
  <c r="C102" i="7"/>
  <c r="D98" i="7" s="1"/>
  <c r="I91" i="7"/>
  <c r="H91" i="7"/>
  <c r="G91" i="7"/>
  <c r="F91" i="7"/>
  <c r="D91" i="7"/>
  <c r="C94" i="7"/>
  <c r="D90" i="7" s="1"/>
  <c r="D92" i="7" s="1"/>
  <c r="I83" i="7"/>
  <c r="H83" i="7"/>
  <c r="G83" i="7"/>
  <c r="E83" i="7"/>
  <c r="D83" i="7"/>
  <c r="C86" i="7"/>
  <c r="D82" i="7" s="1"/>
  <c r="I75" i="7"/>
  <c r="H75" i="7"/>
  <c r="G75" i="7"/>
  <c r="F75" i="7"/>
  <c r="E75" i="7"/>
  <c r="D75" i="7"/>
  <c r="C78" i="7"/>
  <c r="D74" i="7" s="1"/>
  <c r="H67" i="7"/>
  <c r="G67" i="7"/>
  <c r="F67" i="7"/>
  <c r="E67" i="7"/>
  <c r="D67" i="7"/>
  <c r="C70" i="7"/>
  <c r="D66" i="7" s="1"/>
  <c r="D68" i="7" s="1"/>
  <c r="I59" i="7"/>
  <c r="H59" i="7"/>
  <c r="F59" i="7"/>
  <c r="E59" i="7"/>
  <c r="D59" i="7"/>
  <c r="C62" i="7"/>
  <c r="D58" i="7" s="1"/>
  <c r="H51" i="7"/>
  <c r="G51" i="7"/>
  <c r="F51" i="7"/>
  <c r="E51" i="7"/>
  <c r="D51" i="7"/>
  <c r="C54" i="7"/>
  <c r="D50" i="7" s="1"/>
  <c r="C39" i="7"/>
  <c r="L36" i="19"/>
  <c r="D100" i="19" l="1"/>
  <c r="D101" i="19" s="1"/>
  <c r="D102" i="19" s="1"/>
  <c r="D76" i="19"/>
  <c r="D84" i="19"/>
  <c r="D85" i="19" s="1"/>
  <c r="D92" i="19"/>
  <c r="D68" i="19"/>
  <c r="D69" i="19" s="1"/>
  <c r="D70" i="19" s="1"/>
  <c r="D60" i="19"/>
  <c r="D61" i="19" s="1"/>
  <c r="D52" i="19"/>
  <c r="D93" i="7"/>
  <c r="D94" i="7" s="1"/>
  <c r="D52" i="7"/>
  <c r="D53" i="7" s="1"/>
  <c r="D84" i="7"/>
  <c r="D100" i="7"/>
  <c r="D101" i="7" s="1"/>
  <c r="D102" i="7" s="1"/>
  <c r="D60" i="7"/>
  <c r="D61" i="7" s="1"/>
  <c r="D62" i="7" s="1"/>
  <c r="D76" i="7"/>
  <c r="D77" i="7" s="1"/>
  <c r="D69" i="7"/>
  <c r="D70" i="7" s="1"/>
  <c r="A1" i="19"/>
  <c r="E66" i="19" l="1"/>
  <c r="D71" i="19"/>
  <c r="E98" i="19"/>
  <c r="D103" i="19"/>
  <c r="D86" i="19"/>
  <c r="D62" i="19"/>
  <c r="D93" i="19"/>
  <c r="D94" i="19" s="1"/>
  <c r="D77" i="19"/>
  <c r="D78" i="19" s="1"/>
  <c r="D44" i="7"/>
  <c r="E58" i="7"/>
  <c r="D63" i="7"/>
  <c r="E98" i="7"/>
  <c r="D103" i="7"/>
  <c r="E66" i="7"/>
  <c r="D71" i="7"/>
  <c r="D85" i="7"/>
  <c r="D86" i="7" s="1"/>
  <c r="E82" i="7" s="1"/>
  <c r="D78" i="7"/>
  <c r="E90" i="7"/>
  <c r="D37" i="7"/>
  <c r="D54" i="7"/>
  <c r="B10" i="29"/>
  <c r="D3" i="31"/>
  <c r="E3" i="31" s="1"/>
  <c r="F3" i="31" s="1"/>
  <c r="G3" i="31" s="1"/>
  <c r="H3" i="31" s="1"/>
  <c r="I3" i="31" s="1"/>
  <c r="A1" i="7"/>
  <c r="A1" i="9"/>
  <c r="A1" i="10"/>
  <c r="B1" i="6"/>
  <c r="A1" i="15"/>
  <c r="A1" i="16"/>
  <c r="B1" i="13"/>
  <c r="A1" i="24"/>
  <c r="B1" i="23"/>
  <c r="A1" i="25"/>
  <c r="A1" i="21"/>
  <c r="A1" i="32"/>
  <c r="A1" i="22"/>
  <c r="A1" i="20"/>
  <c r="A1" i="31"/>
  <c r="A1" i="2"/>
  <c r="B26" i="29"/>
  <c r="B25" i="29"/>
  <c r="B24" i="29"/>
  <c r="B23" i="29"/>
  <c r="B20" i="29"/>
  <c r="B19" i="29"/>
  <c r="B18" i="29"/>
  <c r="B17" i="29"/>
  <c r="B14" i="29"/>
  <c r="B12" i="29"/>
  <c r="B9" i="29"/>
  <c r="B4" i="29"/>
  <c r="C68" i="23"/>
  <c r="D68" i="23" s="1"/>
  <c r="E68" i="23" s="1"/>
  <c r="F68" i="23" s="1"/>
  <c r="G68" i="23" s="1"/>
  <c r="H68" i="23" s="1"/>
  <c r="I68" i="23" s="1"/>
  <c r="C3" i="32"/>
  <c r="D6" i="32"/>
  <c r="D43" i="32" s="1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D65" i="6" s="1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1" i="4"/>
  <c r="M164" i="5"/>
  <c r="M163" i="5"/>
  <c r="M162" i="5"/>
  <c r="M161" i="5"/>
  <c r="M160" i="5"/>
  <c r="M159" i="5"/>
  <c r="M158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D113" i="13" s="1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D64" i="13" s="1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1" i="5"/>
  <c r="C45" i="7"/>
  <c r="S90" i="6"/>
  <c r="R90" i="6"/>
  <c r="Q90" i="6"/>
  <c r="P90" i="6"/>
  <c r="O90" i="6"/>
  <c r="N90" i="6"/>
  <c r="S84" i="6"/>
  <c r="Q84" i="6"/>
  <c r="C22" i="7"/>
  <c r="C21" i="7"/>
  <c r="C17" i="7"/>
  <c r="R31" i="9"/>
  <c r="R35" i="9" s="1"/>
  <c r="I24" i="24" s="1"/>
  <c r="Q31" i="9"/>
  <c r="Q35" i="9" s="1"/>
  <c r="H24" i="24" s="1"/>
  <c r="P31" i="9"/>
  <c r="P35" i="9" s="1"/>
  <c r="G24" i="24" s="1"/>
  <c r="O31" i="9"/>
  <c r="O35" i="9" s="1"/>
  <c r="F24" i="24" s="1"/>
  <c r="N31" i="9"/>
  <c r="N35" i="9" s="1"/>
  <c r="E24" i="24" s="1"/>
  <c r="M31" i="9"/>
  <c r="M35" i="9" s="1"/>
  <c r="D24" i="24" s="1"/>
  <c r="R24" i="9"/>
  <c r="Q24" i="9"/>
  <c r="P24" i="9"/>
  <c r="O24" i="9"/>
  <c r="N24" i="9"/>
  <c r="M24" i="9"/>
  <c r="N13" i="9"/>
  <c r="O13" i="9" s="1"/>
  <c r="P13" i="9" s="1"/>
  <c r="Q13" i="9" s="1"/>
  <c r="R13" i="9" s="1"/>
  <c r="D5" i="9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M28" i="10"/>
  <c r="R17" i="10"/>
  <c r="Q17" i="10"/>
  <c r="P17" i="10"/>
  <c r="O17" i="10"/>
  <c r="N17" i="10"/>
  <c r="M17" i="10"/>
  <c r="R12" i="10"/>
  <c r="Q12" i="10"/>
  <c r="P12" i="10"/>
  <c r="O12" i="10"/>
  <c r="N12" i="10"/>
  <c r="R11" i="10"/>
  <c r="Q11" i="10"/>
  <c r="P11" i="10"/>
  <c r="O11" i="10"/>
  <c r="N11" i="10"/>
  <c r="N10" i="10"/>
  <c r="O10" i="10" s="1"/>
  <c r="D5" i="10"/>
  <c r="S136" i="6"/>
  <c r="R136" i="6"/>
  <c r="Q136" i="6"/>
  <c r="P136" i="6"/>
  <c r="O136" i="6"/>
  <c r="S125" i="6"/>
  <c r="R125" i="6"/>
  <c r="Q125" i="6"/>
  <c r="P125" i="6"/>
  <c r="O125" i="6"/>
  <c r="N116" i="6"/>
  <c r="E112" i="6"/>
  <c r="F112" i="6" s="1"/>
  <c r="G112" i="6" s="1"/>
  <c r="H112" i="6" s="1"/>
  <c r="I112" i="6" s="1"/>
  <c r="J112" i="6" s="1"/>
  <c r="K112" i="6" s="1"/>
  <c r="L112" i="6" s="1"/>
  <c r="M112" i="6" s="1"/>
  <c r="N112" i="6" s="1"/>
  <c r="O112" i="6" s="1"/>
  <c r="P112" i="6" s="1"/>
  <c r="Q112" i="6" s="1"/>
  <c r="R112" i="6" s="1"/>
  <c r="S112" i="6" s="1"/>
  <c r="S91" i="6"/>
  <c r="R91" i="6"/>
  <c r="Q91" i="6"/>
  <c r="P91" i="6"/>
  <c r="O91" i="6"/>
  <c r="S85" i="6"/>
  <c r="R85" i="6"/>
  <c r="Q85" i="6"/>
  <c r="P85" i="6"/>
  <c r="O85" i="6"/>
  <c r="E63" i="6"/>
  <c r="F63" i="6" s="1"/>
  <c r="G63" i="6" s="1"/>
  <c r="H63" i="6" s="1"/>
  <c r="I63" i="6" s="1"/>
  <c r="J63" i="6" s="1"/>
  <c r="K63" i="6" s="1"/>
  <c r="L63" i="6" s="1"/>
  <c r="M63" i="6" s="1"/>
  <c r="N63" i="6" s="1"/>
  <c r="O63" i="6" s="1"/>
  <c r="P63" i="6" s="1"/>
  <c r="Q63" i="6" s="1"/>
  <c r="R63" i="6" s="1"/>
  <c r="S63" i="6" s="1"/>
  <c r="S59" i="6"/>
  <c r="R59" i="6"/>
  <c r="Q59" i="6"/>
  <c r="P59" i="6"/>
  <c r="O59" i="6"/>
  <c r="N59" i="6"/>
  <c r="S48" i="6"/>
  <c r="R48" i="6"/>
  <c r="Q48" i="6"/>
  <c r="P48" i="6"/>
  <c r="O48" i="6"/>
  <c r="N48" i="6"/>
  <c r="E33" i="6"/>
  <c r="M28" i="6"/>
  <c r="L28" i="6"/>
  <c r="K28" i="6"/>
  <c r="J28" i="6"/>
  <c r="I28" i="6"/>
  <c r="H28" i="6"/>
  <c r="G28" i="6"/>
  <c r="F28" i="6"/>
  <c r="E28" i="6"/>
  <c r="D28" i="6"/>
  <c r="D18" i="6"/>
  <c r="D17" i="6"/>
  <c r="D16" i="6"/>
  <c r="E5" i="6"/>
  <c r="F5" i="6" s="1"/>
  <c r="G5" i="6" s="1"/>
  <c r="H5" i="6" s="1"/>
  <c r="I5" i="6" s="1"/>
  <c r="J5" i="6" s="1"/>
  <c r="K5" i="6" s="1"/>
  <c r="L5" i="6" s="1"/>
  <c r="M5" i="6" s="1"/>
  <c r="R31" i="15"/>
  <c r="R35" i="15" s="1"/>
  <c r="I23" i="24" s="1"/>
  <c r="Q31" i="15"/>
  <c r="P31" i="15"/>
  <c r="P35" i="15" s="1"/>
  <c r="G23" i="24" s="1"/>
  <c r="O31" i="15"/>
  <c r="O35" i="15" s="1"/>
  <c r="F23" i="24" s="1"/>
  <c r="N31" i="15"/>
  <c r="N35" i="15" s="1"/>
  <c r="E23" i="24" s="1"/>
  <c r="M31" i="15"/>
  <c r="R24" i="15"/>
  <c r="Q24" i="15"/>
  <c r="P24" i="15"/>
  <c r="O24" i="15"/>
  <c r="N24" i="15"/>
  <c r="M24" i="15"/>
  <c r="N13" i="15"/>
  <c r="O13" i="15" s="1"/>
  <c r="P13" i="15" s="1"/>
  <c r="Q13" i="15" s="1"/>
  <c r="R13" i="15" s="1"/>
  <c r="D5" i="15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P5" i="15" s="1"/>
  <c r="Q5" i="15" s="1"/>
  <c r="R5" i="15" s="1"/>
  <c r="M28" i="16"/>
  <c r="R17" i="16"/>
  <c r="Q17" i="16"/>
  <c r="P17" i="16"/>
  <c r="O17" i="16"/>
  <c r="N17" i="16"/>
  <c r="M17" i="16"/>
  <c r="R12" i="16"/>
  <c r="Q12" i="16"/>
  <c r="P12" i="16"/>
  <c r="O12" i="16"/>
  <c r="N12" i="16"/>
  <c r="R11" i="16"/>
  <c r="Q11" i="16"/>
  <c r="P11" i="16"/>
  <c r="O11" i="16"/>
  <c r="N11" i="16"/>
  <c r="N10" i="16"/>
  <c r="N28" i="16" s="1"/>
  <c r="D5" i="16"/>
  <c r="C44" i="19"/>
  <c r="R89" i="13"/>
  <c r="Q89" i="13"/>
  <c r="P89" i="13"/>
  <c r="O89" i="13"/>
  <c r="S83" i="13"/>
  <c r="O83" i="13"/>
  <c r="C21" i="19"/>
  <c r="S136" i="13"/>
  <c r="R136" i="13"/>
  <c r="Q136" i="13"/>
  <c r="P136" i="13"/>
  <c r="O136" i="13"/>
  <c r="S125" i="13"/>
  <c r="R125" i="13"/>
  <c r="Q125" i="13"/>
  <c r="P125" i="13"/>
  <c r="O125" i="13"/>
  <c r="S119" i="13"/>
  <c r="R119" i="13"/>
  <c r="Q119" i="13"/>
  <c r="P119" i="13"/>
  <c r="O119" i="13"/>
  <c r="N119" i="13"/>
  <c r="N115" i="13"/>
  <c r="E111" i="13"/>
  <c r="F111" i="13" s="1"/>
  <c r="G111" i="13" s="1"/>
  <c r="H111" i="13" s="1"/>
  <c r="I111" i="13" s="1"/>
  <c r="J111" i="13" s="1"/>
  <c r="K111" i="13" s="1"/>
  <c r="L111" i="13" s="1"/>
  <c r="M111" i="13" s="1"/>
  <c r="N111" i="13" s="1"/>
  <c r="O111" i="13" s="1"/>
  <c r="P111" i="13" s="1"/>
  <c r="Q111" i="13" s="1"/>
  <c r="R111" i="13" s="1"/>
  <c r="S111" i="13" s="1"/>
  <c r="S90" i="13"/>
  <c r="R90" i="13"/>
  <c r="Q90" i="13"/>
  <c r="P90" i="13"/>
  <c r="O90" i="13"/>
  <c r="S84" i="13"/>
  <c r="R84" i="13"/>
  <c r="Q84" i="13"/>
  <c r="P84" i="13"/>
  <c r="O84" i="13"/>
  <c r="E62" i="13"/>
  <c r="S47" i="13"/>
  <c r="R47" i="13"/>
  <c r="Q47" i="13"/>
  <c r="P47" i="13"/>
  <c r="O47" i="13"/>
  <c r="N47" i="13"/>
  <c r="E32" i="13"/>
  <c r="M27" i="13"/>
  <c r="L27" i="13"/>
  <c r="K27" i="13"/>
  <c r="J27" i="13"/>
  <c r="I27" i="13"/>
  <c r="H27" i="13"/>
  <c r="G27" i="13"/>
  <c r="F27" i="13"/>
  <c r="E27" i="13"/>
  <c r="D27" i="13"/>
  <c r="D17" i="13"/>
  <c r="D16" i="13"/>
  <c r="O15" i="13"/>
  <c r="P15" i="13" s="1"/>
  <c r="Q15" i="13" s="1"/>
  <c r="R15" i="13" s="1"/>
  <c r="S15" i="13" s="1"/>
  <c r="D15" i="13"/>
  <c r="E4" i="13"/>
  <c r="F4" i="13" s="1"/>
  <c r="G4" i="13" s="1"/>
  <c r="H4" i="13" s="1"/>
  <c r="I4" i="13" s="1"/>
  <c r="J4" i="13" s="1"/>
  <c r="K4" i="13" s="1"/>
  <c r="L4" i="13" s="1"/>
  <c r="M4" i="13" s="1"/>
  <c r="C4" i="25" s="1"/>
  <c r="D58" i="23"/>
  <c r="C58" i="23"/>
  <c r="B58" i="23"/>
  <c r="D57" i="23"/>
  <c r="C57" i="23"/>
  <c r="B57" i="23"/>
  <c r="D56" i="23"/>
  <c r="C56" i="23"/>
  <c r="B56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B36" i="20" s="1"/>
  <c r="C35" i="23"/>
  <c r="H35" i="23" s="1"/>
  <c r="C34" i="23"/>
  <c r="C33" i="23"/>
  <c r="H33" i="23" s="1"/>
  <c r="C32" i="23"/>
  <c r="H32" i="23" s="1"/>
  <c r="C31" i="23"/>
  <c r="H31" i="23" s="1"/>
  <c r="C30" i="23"/>
  <c r="H30" i="23" s="1"/>
  <c r="C29" i="23"/>
  <c r="H29" i="23" s="1"/>
  <c r="C28" i="23"/>
  <c r="B15" i="20" s="1"/>
  <c r="C27" i="23"/>
  <c r="B14" i="20" s="1"/>
  <c r="C26" i="23"/>
  <c r="B13" i="20" s="1"/>
  <c r="C25" i="23"/>
  <c r="B12" i="20" s="1"/>
  <c r="C24" i="23"/>
  <c r="B11" i="20" s="1"/>
  <c r="C23" i="23"/>
  <c r="B10" i="20" s="1"/>
  <c r="C22" i="23"/>
  <c r="B9" i="20" s="1"/>
  <c r="B21" i="23"/>
  <c r="C19" i="23"/>
  <c r="E19" i="23" s="1"/>
  <c r="C18" i="23"/>
  <c r="E18" i="23" s="1"/>
  <c r="C17" i="23"/>
  <c r="E17" i="23" s="1"/>
  <c r="C16" i="23"/>
  <c r="E16" i="23" s="1"/>
  <c r="C15" i="23"/>
  <c r="C14" i="23"/>
  <c r="E14" i="23" s="1"/>
  <c r="C13" i="23"/>
  <c r="E13" i="23" s="1"/>
  <c r="C12" i="23"/>
  <c r="B23" i="20" s="1"/>
  <c r="C11" i="23"/>
  <c r="B22" i="20" s="1"/>
  <c r="C10" i="23"/>
  <c r="B21" i="20" s="1"/>
  <c r="C9" i="23"/>
  <c r="B20" i="20" s="1"/>
  <c r="C8" i="23"/>
  <c r="B19" i="20" s="1"/>
  <c r="C7" i="23"/>
  <c r="B18" i="20" s="1"/>
  <c r="C6" i="23"/>
  <c r="B17" i="20" s="1"/>
  <c r="B5" i="23"/>
  <c r="E2" i="23"/>
  <c r="C12" i="25"/>
  <c r="H12" i="25" s="1"/>
  <c r="I11" i="25"/>
  <c r="H11" i="25"/>
  <c r="G11" i="25"/>
  <c r="F11" i="25"/>
  <c r="E11" i="25"/>
  <c r="D11" i="25"/>
  <c r="C11" i="25"/>
  <c r="I10" i="25"/>
  <c r="H10" i="25"/>
  <c r="G10" i="25"/>
  <c r="F10" i="25"/>
  <c r="E10" i="25"/>
  <c r="D10" i="25"/>
  <c r="C10" i="25"/>
  <c r="I9" i="25"/>
  <c r="H9" i="25"/>
  <c r="G9" i="25"/>
  <c r="F9" i="25"/>
  <c r="E9" i="25"/>
  <c r="D9" i="25"/>
  <c r="C9" i="25"/>
  <c r="C22" i="21"/>
  <c r="E33" i="22" s="1"/>
  <c r="F12" i="21"/>
  <c r="F10" i="21"/>
  <c r="C9" i="21"/>
  <c r="G8" i="21"/>
  <c r="G10" i="21" s="1"/>
  <c r="E34" i="22"/>
  <c r="E32" i="22"/>
  <c r="E14" i="22"/>
  <c r="D4" i="22"/>
  <c r="C4" i="22"/>
  <c r="C26" i="20"/>
  <c r="C24" i="20"/>
  <c r="F40" i="22" s="1"/>
  <c r="C6" i="20"/>
  <c r="F46" i="2"/>
  <c r="I37" i="2" s="1"/>
  <c r="D18" i="2"/>
  <c r="D23" i="2" s="1"/>
  <c r="D24" i="2" s="1"/>
  <c r="D28" i="2" s="1"/>
  <c r="C8" i="21" s="1"/>
  <c r="B8" i="29"/>
  <c r="B13" i="29"/>
  <c r="B11" i="29"/>
  <c r="D92" i="32" l="1"/>
  <c r="F62" i="13"/>
  <c r="G62" i="13" s="1"/>
  <c r="H62" i="13" s="1"/>
  <c r="I62" i="13" s="1"/>
  <c r="J62" i="13" s="1"/>
  <c r="K62" i="13" s="1"/>
  <c r="L62" i="13" s="1"/>
  <c r="M62" i="13" s="1"/>
  <c r="N62" i="13" s="1"/>
  <c r="O62" i="13" s="1"/>
  <c r="P62" i="13" s="1"/>
  <c r="Q62" i="13" s="1"/>
  <c r="R62" i="13" s="1"/>
  <c r="S62" i="13" s="1"/>
  <c r="E90" i="19"/>
  <c r="D36" i="19"/>
  <c r="E74" i="19"/>
  <c r="D79" i="19"/>
  <c r="E58" i="19"/>
  <c r="D63" i="19"/>
  <c r="E82" i="19"/>
  <c r="D87" i="19"/>
  <c r="D95" i="19"/>
  <c r="E100" i="19"/>
  <c r="E101" i="19" s="1"/>
  <c r="E68" i="19"/>
  <c r="E69" i="19" s="1"/>
  <c r="D43" i="19"/>
  <c r="N131" i="13" s="1"/>
  <c r="E84" i="7"/>
  <c r="E85" i="7" s="1"/>
  <c r="D55" i="7"/>
  <c r="D95" i="7"/>
  <c r="E68" i="7"/>
  <c r="E69" i="7" s="1"/>
  <c r="D43" i="7"/>
  <c r="E50" i="7"/>
  <c r="D38" i="7"/>
  <c r="D40" i="7" s="1"/>
  <c r="E100" i="7"/>
  <c r="E101" i="7" s="1"/>
  <c r="E102" i="7" s="1"/>
  <c r="E92" i="7"/>
  <c r="E91" i="7" s="1"/>
  <c r="E60" i="7"/>
  <c r="E61" i="7" s="1"/>
  <c r="D87" i="7"/>
  <c r="E74" i="7"/>
  <c r="D79" i="7"/>
  <c r="E7" i="23"/>
  <c r="H28" i="23"/>
  <c r="E9" i="23"/>
  <c r="E10" i="23"/>
  <c r="E22" i="23"/>
  <c r="E23" i="23"/>
  <c r="H25" i="23"/>
  <c r="E6" i="23"/>
  <c r="E27" i="23"/>
  <c r="D3" i="32"/>
  <c r="E15" i="13"/>
  <c r="C70" i="23"/>
  <c r="D28" i="32"/>
  <c r="D44" i="22"/>
  <c r="D82" i="13"/>
  <c r="D127" i="13"/>
  <c r="D66" i="6"/>
  <c r="D123" i="6"/>
  <c r="C17" i="9" s="1"/>
  <c r="E28" i="32"/>
  <c r="D118" i="13"/>
  <c r="D119" i="6"/>
  <c r="D41" i="13"/>
  <c r="D44" i="6"/>
  <c r="D42" i="13"/>
  <c r="D94" i="6"/>
  <c r="D71" i="13"/>
  <c r="D16" i="15" s="1"/>
  <c r="D78" i="13"/>
  <c r="D140" i="13"/>
  <c r="D35" i="6"/>
  <c r="D104" i="13"/>
  <c r="H28" i="32"/>
  <c r="D107" i="13"/>
  <c r="C18" i="16" s="1"/>
  <c r="D16" i="16" s="1"/>
  <c r="I28" i="32"/>
  <c r="D38" i="13"/>
  <c r="D67" i="6"/>
  <c r="D121" i="6"/>
  <c r="D98" i="13"/>
  <c r="C27" i="16" s="1"/>
  <c r="D85" i="13"/>
  <c r="D37" i="13"/>
  <c r="G28" i="32"/>
  <c r="D133" i="13"/>
  <c r="C24" i="16" s="1"/>
  <c r="C33" i="16" s="1"/>
  <c r="D114" i="6"/>
  <c r="D136" i="6"/>
  <c r="E6" i="32"/>
  <c r="E43" i="32" s="1"/>
  <c r="F28" i="32"/>
  <c r="D46" i="13"/>
  <c r="D99" i="13"/>
  <c r="D31" i="16" s="1"/>
  <c r="C37" i="16"/>
  <c r="D49" i="13"/>
  <c r="D90" i="13"/>
  <c r="D128" i="13"/>
  <c r="D80" i="6"/>
  <c r="D144" i="6"/>
  <c r="D94" i="13"/>
  <c r="D57" i="13"/>
  <c r="D39" i="13"/>
  <c r="D47" i="6"/>
  <c r="D78" i="6"/>
  <c r="C37" i="10"/>
  <c r="D139" i="6"/>
  <c r="D69" i="13"/>
  <c r="D134" i="13"/>
  <c r="D144" i="13"/>
  <c r="D82" i="6"/>
  <c r="D48" i="13"/>
  <c r="E83" i="6"/>
  <c r="D50" i="13"/>
  <c r="D72" i="13"/>
  <c r="C25" i="15" s="1"/>
  <c r="D123" i="13"/>
  <c r="C17" i="15" s="1"/>
  <c r="D130" i="13"/>
  <c r="D137" i="13"/>
  <c r="D47" i="13"/>
  <c r="D12" i="13" s="1"/>
  <c r="D51" i="13"/>
  <c r="D52" i="13" s="1"/>
  <c r="D73" i="13"/>
  <c r="D124" i="13"/>
  <c r="D131" i="13"/>
  <c r="D138" i="13"/>
  <c r="D56" i="13"/>
  <c r="C19" i="16" s="1"/>
  <c r="D74" i="13"/>
  <c r="D93" i="13"/>
  <c r="D125" i="13"/>
  <c r="D132" i="13"/>
  <c r="D139" i="13"/>
  <c r="E82" i="6"/>
  <c r="D132" i="6"/>
  <c r="D58" i="13"/>
  <c r="C9" i="16" s="1"/>
  <c r="C23" i="16" s="1"/>
  <c r="D79" i="13"/>
  <c r="D86" i="13"/>
  <c r="D95" i="13"/>
  <c r="D38" i="16"/>
  <c r="D37" i="6"/>
  <c r="D59" i="6"/>
  <c r="C9" i="10" s="1"/>
  <c r="C23" i="10" s="1"/>
  <c r="D89" i="6"/>
  <c r="D96" i="6"/>
  <c r="D81" i="13"/>
  <c r="D97" i="13"/>
  <c r="C26" i="16" s="1"/>
  <c r="D43" i="6"/>
  <c r="D70" i="6"/>
  <c r="D68" i="13"/>
  <c r="D83" i="13"/>
  <c r="E17" i="13"/>
  <c r="E57" i="6"/>
  <c r="D19" i="10" s="1"/>
  <c r="E32" i="23"/>
  <c r="E57" i="13"/>
  <c r="E49" i="6"/>
  <c r="E47" i="13"/>
  <c r="E119" i="13" s="1"/>
  <c r="E35" i="6"/>
  <c r="E45" i="6"/>
  <c r="D49" i="6"/>
  <c r="D69" i="6"/>
  <c r="D83" i="6"/>
  <c r="D95" i="6"/>
  <c r="D124" i="6"/>
  <c r="D133" i="6"/>
  <c r="D38" i="10"/>
  <c r="C38" i="10"/>
  <c r="D140" i="6"/>
  <c r="E37" i="6"/>
  <c r="E47" i="6"/>
  <c r="D50" i="6"/>
  <c r="D72" i="6"/>
  <c r="C19" i="9" s="1"/>
  <c r="D84" i="6"/>
  <c r="D98" i="6"/>
  <c r="C26" i="10" s="1"/>
  <c r="D105" i="6"/>
  <c r="D38" i="6"/>
  <c r="D48" i="6"/>
  <c r="D13" i="6" s="1"/>
  <c r="E50" i="6"/>
  <c r="D73" i="6"/>
  <c r="C25" i="9" s="1"/>
  <c r="E91" i="6"/>
  <c r="D99" i="6"/>
  <c r="C27" i="10" s="1"/>
  <c r="D108" i="6"/>
  <c r="C18" i="10" s="1"/>
  <c r="D16" i="10" s="1"/>
  <c r="J7" i="2"/>
  <c r="J6" i="2" s="1"/>
  <c r="C32" i="20" s="1"/>
  <c r="E123" i="13"/>
  <c r="D17" i="15" s="1"/>
  <c r="E16" i="6"/>
  <c r="E38" i="6"/>
  <c r="D52" i="6"/>
  <c r="C32" i="10" s="1"/>
  <c r="D75" i="6"/>
  <c r="D102" i="6"/>
  <c r="C10" i="21"/>
  <c r="D40" i="6"/>
  <c r="D55" i="6"/>
  <c r="D76" i="6"/>
  <c r="C32" i="9" s="1"/>
  <c r="E102" i="6"/>
  <c r="E17" i="6"/>
  <c r="D42" i="6"/>
  <c r="D57" i="6"/>
  <c r="C19" i="10" s="1"/>
  <c r="D77" i="6"/>
  <c r="D126" i="6"/>
  <c r="D127" i="6"/>
  <c r="D138" i="6"/>
  <c r="E43" i="6"/>
  <c r="D128" i="6"/>
  <c r="E28" i="23"/>
  <c r="E67" i="6"/>
  <c r="E52" i="23"/>
  <c r="F52" i="23" s="1"/>
  <c r="H52" i="23" s="1"/>
  <c r="E89" i="6"/>
  <c r="G46" i="7"/>
  <c r="Q117" i="6" s="1"/>
  <c r="E65" i="6"/>
  <c r="D137" i="6"/>
  <c r="E44" i="13"/>
  <c r="D101" i="13"/>
  <c r="C38" i="16"/>
  <c r="D142" i="13"/>
  <c r="E58" i="6"/>
  <c r="D131" i="6"/>
  <c r="E33" i="23"/>
  <c r="E53" i="23"/>
  <c r="F53" i="23" s="1"/>
  <c r="H53" i="23" s="1"/>
  <c r="E59" i="6"/>
  <c r="D9" i="10" s="1"/>
  <c r="D23" i="10" s="1"/>
  <c r="E85" i="6"/>
  <c r="D136" i="13"/>
  <c r="E66" i="6"/>
  <c r="E76" i="6"/>
  <c r="E30" i="9" s="1"/>
  <c r="D12" i="25"/>
  <c r="H45" i="19"/>
  <c r="R116" i="13" s="1"/>
  <c r="E105" i="6"/>
  <c r="D134" i="6"/>
  <c r="C24" i="10" s="1"/>
  <c r="C33" i="10" s="1"/>
  <c r="D142" i="6"/>
  <c r="H23" i="23"/>
  <c r="E85" i="13"/>
  <c r="O10" i="16"/>
  <c r="O28" i="16" s="1"/>
  <c r="D46" i="7"/>
  <c r="N117" i="6" s="1"/>
  <c r="D54" i="13"/>
  <c r="E24" i="23"/>
  <c r="E48" i="13"/>
  <c r="E67" i="13"/>
  <c r="E92" i="13"/>
  <c r="E52" i="6"/>
  <c r="D32" i="10" s="1"/>
  <c r="D30" i="22"/>
  <c r="H24" i="23"/>
  <c r="E18" i="6"/>
  <c r="E42" i="6"/>
  <c r="E70" i="6"/>
  <c r="F46" i="7"/>
  <c r="P117" i="6" s="1"/>
  <c r="C8" i="25"/>
  <c r="C19" i="25"/>
  <c r="C23" i="25" s="1"/>
  <c r="D4" i="25"/>
  <c r="D8" i="25" s="1"/>
  <c r="I12" i="25"/>
  <c r="E54" i="23"/>
  <c r="F54" i="23" s="1"/>
  <c r="H54" i="23" s="1"/>
  <c r="E54" i="13"/>
  <c r="D67" i="13"/>
  <c r="D77" i="13"/>
  <c r="D92" i="13"/>
  <c r="D102" i="13"/>
  <c r="D121" i="13"/>
  <c r="D126" i="13"/>
  <c r="D143" i="13"/>
  <c r="E39" i="6"/>
  <c r="D45" i="6"/>
  <c r="E68" i="6"/>
  <c r="E74" i="6"/>
  <c r="D85" i="6"/>
  <c r="E87" i="6"/>
  <c r="D91" i="6"/>
  <c r="E93" i="6"/>
  <c r="D101" i="6"/>
  <c r="C29" i="10" s="1"/>
  <c r="D103" i="6"/>
  <c r="D143" i="6"/>
  <c r="I46" i="7"/>
  <c r="S117" i="6" s="1"/>
  <c r="N28" i="10"/>
  <c r="E58" i="23"/>
  <c r="F58" i="23" s="1"/>
  <c r="E29" i="23"/>
  <c r="E39" i="13"/>
  <c r="E49" i="13"/>
  <c r="E25" i="23"/>
  <c r="C69" i="23"/>
  <c r="E12" i="25"/>
  <c r="C72" i="23"/>
  <c r="C26" i="32" s="1"/>
  <c r="F12" i="25"/>
  <c r="E26" i="23"/>
  <c r="E35" i="23"/>
  <c r="E56" i="23"/>
  <c r="F56" i="23" s="1"/>
  <c r="H56" i="23" s="1"/>
  <c r="F32" i="13"/>
  <c r="F37" i="13" s="1"/>
  <c r="D37" i="16"/>
  <c r="E46" i="7"/>
  <c r="O117" i="6" s="1"/>
  <c r="G12" i="21"/>
  <c r="G17" i="21" s="1"/>
  <c r="G12" i="25"/>
  <c r="D34" i="13"/>
  <c r="D43" i="13"/>
  <c r="D65" i="13"/>
  <c r="D75" i="13"/>
  <c r="C32" i="15" s="1"/>
  <c r="D84" i="13"/>
  <c r="D88" i="13"/>
  <c r="D100" i="13"/>
  <c r="C29" i="16" s="1"/>
  <c r="D141" i="13" a="1"/>
  <c r="D141" i="13" s="1"/>
  <c r="E136" i="6"/>
  <c r="E44" i="6"/>
  <c r="D51" i="6"/>
  <c r="D58" i="6"/>
  <c r="E73" i="6"/>
  <c r="D25" i="9" s="1"/>
  <c r="E78" i="6"/>
  <c r="D86" i="6"/>
  <c r="D92" i="6"/>
  <c r="D100" i="6"/>
  <c r="C35" i="10" s="1"/>
  <c r="O116" i="6"/>
  <c r="D130" i="6"/>
  <c r="D141" i="6" a="1"/>
  <c r="D141" i="6" s="1"/>
  <c r="E51" i="23"/>
  <c r="C36" i="20" s="1"/>
  <c r="C35" i="20" s="1"/>
  <c r="E57" i="23"/>
  <c r="F57" i="23" s="1"/>
  <c r="H57" i="23" s="1"/>
  <c r="D36" i="13"/>
  <c r="D44" i="13"/>
  <c r="D66" i="13"/>
  <c r="D76" i="13"/>
  <c r="D91" i="13"/>
  <c r="O115" i="13"/>
  <c r="G45" i="19"/>
  <c r="Q116" i="13" s="1"/>
  <c r="F33" i="6"/>
  <c r="F67" i="6" s="1"/>
  <c r="D39" i="6"/>
  <c r="E51" i="6"/>
  <c r="D68" i="6"/>
  <c r="D74" i="6"/>
  <c r="D79" i="6"/>
  <c r="D87" i="6"/>
  <c r="D93" i="6"/>
  <c r="D125" i="6"/>
  <c r="D25" i="2"/>
  <c r="D18" i="24"/>
  <c r="C18" i="24"/>
  <c r="F17" i="21"/>
  <c r="G6" i="2"/>
  <c r="E8" i="23"/>
  <c r="E11" i="23"/>
  <c r="E18" i="24"/>
  <c r="D26" i="2"/>
  <c r="H8" i="21"/>
  <c r="E12" i="23"/>
  <c r="H26" i="23"/>
  <c r="C124" i="32"/>
  <c r="C95" i="32"/>
  <c r="C46" i="32"/>
  <c r="C1" i="32"/>
  <c r="C37" i="32" s="1"/>
  <c r="H27" i="23"/>
  <c r="H34" i="23"/>
  <c r="E34" i="23"/>
  <c r="E55" i="23"/>
  <c r="C33" i="19"/>
  <c r="N4" i="13"/>
  <c r="O4" i="13" s="1"/>
  <c r="P4" i="13" s="1"/>
  <c r="Q4" i="13" s="1"/>
  <c r="R4" i="13" s="1"/>
  <c r="S4" i="13" s="1"/>
  <c r="C4" i="24"/>
  <c r="E31" i="23"/>
  <c r="E30" i="23"/>
  <c r="C71" i="23"/>
  <c r="C25" i="32" s="1"/>
  <c r="E15" i="23"/>
  <c r="H22" i="23"/>
  <c r="R83" i="13"/>
  <c r="E133" i="13"/>
  <c r="D24" i="16" s="1"/>
  <c r="D33" i="16" s="1"/>
  <c r="E132" i="13"/>
  <c r="E107" i="13"/>
  <c r="D18" i="16" s="1"/>
  <c r="E100" i="13"/>
  <c r="D29" i="16" s="1"/>
  <c r="E94" i="13"/>
  <c r="E81" i="13"/>
  <c r="E75" i="13"/>
  <c r="E69" i="13"/>
  <c r="E64" i="13"/>
  <c r="E139" i="13"/>
  <c r="E121" i="13"/>
  <c r="E144" i="13"/>
  <c r="E128" i="13"/>
  <c r="E102" i="13"/>
  <c r="E82" i="13"/>
  <c r="E72" i="13"/>
  <c r="E138" i="13"/>
  <c r="E113" i="13"/>
  <c r="E84" i="13"/>
  <c r="E74" i="13"/>
  <c r="E143" i="13"/>
  <c r="E137" i="13"/>
  <c r="E124" i="13"/>
  <c r="E99" i="13"/>
  <c r="E141" i="13" a="1"/>
  <c r="E141" i="13" s="1"/>
  <c r="E140" i="13"/>
  <c r="E104" i="13"/>
  <c r="E93" i="13"/>
  <c r="E142" i="13"/>
  <c r="E126" i="13"/>
  <c r="E83" i="13"/>
  <c r="E41" i="13"/>
  <c r="E38" i="13"/>
  <c r="E134" i="13"/>
  <c r="E130" i="13"/>
  <c r="E125" i="13"/>
  <c r="E91" i="13"/>
  <c r="E65" i="13"/>
  <c r="E51" i="13"/>
  <c r="E42" i="13"/>
  <c r="E136" i="13"/>
  <c r="E131" i="13"/>
  <c r="E90" i="13"/>
  <c r="E79" i="13"/>
  <c r="E78" i="13"/>
  <c r="E71" i="13"/>
  <c r="E50" i="13"/>
  <c r="E95" i="13"/>
  <c r="E77" i="13"/>
  <c r="E76" i="13"/>
  <c r="E97" i="13"/>
  <c r="D26" i="16" s="1"/>
  <c r="E127" i="13"/>
  <c r="E98" i="13"/>
  <c r="D27" i="16" s="1"/>
  <c r="E68" i="13"/>
  <c r="E58" i="13"/>
  <c r="D9" i="16" s="1"/>
  <c r="D23" i="16" s="1"/>
  <c r="E56" i="13"/>
  <c r="N89" i="13"/>
  <c r="C30" i="22" s="1"/>
  <c r="D45" i="19"/>
  <c r="N116" i="13" s="1"/>
  <c r="E45" i="19"/>
  <c r="O116" i="13" s="1"/>
  <c r="F45" i="19"/>
  <c r="P116" i="13" s="1"/>
  <c r="E34" i="13"/>
  <c r="E66" i="13"/>
  <c r="E86" i="13"/>
  <c r="E101" i="13"/>
  <c r="E118" i="13"/>
  <c r="E36" i="13"/>
  <c r="E16" i="13"/>
  <c r="E37" i="13"/>
  <c r="E43" i="13"/>
  <c r="E46" i="13"/>
  <c r="E73" i="13"/>
  <c r="E88" i="13"/>
  <c r="Q35" i="15"/>
  <c r="H23" i="24" s="1"/>
  <c r="S89" i="13"/>
  <c r="I45" i="19"/>
  <c r="S116" i="13" s="1"/>
  <c r="C34" i="7"/>
  <c r="N5" i="6"/>
  <c r="O5" i="6" s="1"/>
  <c r="P5" i="6" s="1"/>
  <c r="Q5" i="6" s="1"/>
  <c r="R5" i="6" s="1"/>
  <c r="S5" i="6" s="1"/>
  <c r="M35" i="15"/>
  <c r="D23" i="24" s="1"/>
  <c r="E5" i="16"/>
  <c r="P10" i="10"/>
  <c r="O28" i="10"/>
  <c r="P116" i="6"/>
  <c r="E79" i="6"/>
  <c r="E128" i="6"/>
  <c r="E134" i="6"/>
  <c r="D24" i="10" s="1"/>
  <c r="D33" i="10" s="1"/>
  <c r="E125" i="6"/>
  <c r="E131" i="6"/>
  <c r="E144" i="6"/>
  <c r="E138" i="6"/>
  <c r="E142" i="6"/>
  <c r="E139" i="6"/>
  <c r="E130" i="6"/>
  <c r="E143" i="6"/>
  <c r="E141" i="6" a="1"/>
  <c r="E141" i="6" s="1"/>
  <c r="E137" i="6"/>
  <c r="E124" i="6"/>
  <c r="E100" i="6"/>
  <c r="E94" i="6"/>
  <c r="E80" i="6"/>
  <c r="E75" i="6"/>
  <c r="E69" i="6"/>
  <c r="E140" i="6"/>
  <c r="E127" i="6"/>
  <c r="E86" i="6"/>
  <c r="E133" i="6"/>
  <c r="E123" i="6"/>
  <c r="E103" i="6"/>
  <c r="E98" i="6"/>
  <c r="D26" i="10" s="1"/>
  <c r="E92" i="6"/>
  <c r="E114" i="6"/>
  <c r="E108" i="6"/>
  <c r="D18" i="10" s="1"/>
  <c r="E101" i="6"/>
  <c r="D29" i="10" s="1"/>
  <c r="E95" i="6"/>
  <c r="E40" i="6"/>
  <c r="E48" i="6"/>
  <c r="E13" i="6" s="1"/>
  <c r="E55" i="6"/>
  <c r="E72" i="6"/>
  <c r="E84" i="6"/>
  <c r="E99" i="6"/>
  <c r="D27" i="10" s="1"/>
  <c r="E119" i="6"/>
  <c r="E121" i="6"/>
  <c r="E126" i="6"/>
  <c r="E132" i="6"/>
  <c r="E77" i="6"/>
  <c r="E96" i="6"/>
  <c r="D37" i="10"/>
  <c r="E5" i="10"/>
  <c r="N131" i="6"/>
  <c r="H46" i="7"/>
  <c r="R117" i="6" s="1"/>
  <c r="E92" i="32" l="1"/>
  <c r="E70" i="19"/>
  <c r="F66" i="19" s="1"/>
  <c r="E102" i="19"/>
  <c r="F98" i="19" s="1"/>
  <c r="E84" i="19"/>
  <c r="E85" i="19" s="1"/>
  <c r="E86" i="19" s="1"/>
  <c r="F82" i="19" s="1"/>
  <c r="E60" i="19"/>
  <c r="E76" i="19"/>
  <c r="E92" i="19"/>
  <c r="E91" i="19" s="1"/>
  <c r="E93" i="19" s="1"/>
  <c r="E94" i="19" s="1"/>
  <c r="E93" i="7"/>
  <c r="E94" i="7" s="1"/>
  <c r="F98" i="7"/>
  <c r="E103" i="7"/>
  <c r="E70" i="7"/>
  <c r="D45" i="7"/>
  <c r="E62" i="7"/>
  <c r="E86" i="7"/>
  <c r="E76" i="7"/>
  <c r="E52" i="7"/>
  <c r="C24" i="32"/>
  <c r="D22" i="6"/>
  <c r="D22" i="9"/>
  <c r="C13" i="9"/>
  <c r="E3" i="32"/>
  <c r="D19" i="6"/>
  <c r="C35" i="16"/>
  <c r="D8" i="13"/>
  <c r="E22" i="6"/>
  <c r="E11" i="6"/>
  <c r="E12" i="13"/>
  <c r="D11" i="6"/>
  <c r="D21" i="6"/>
  <c r="C100" i="32"/>
  <c r="C99" i="32"/>
  <c r="D20" i="6"/>
  <c r="E21" i="6"/>
  <c r="E26" i="6"/>
  <c r="E8" i="6"/>
  <c r="E19" i="6"/>
  <c r="D9" i="6"/>
  <c r="D16" i="9"/>
  <c r="E20" i="6"/>
  <c r="D32" i="9"/>
  <c r="E107" i="6"/>
  <c r="C36" i="9"/>
  <c r="C23" i="9" s="1"/>
  <c r="E12" i="6"/>
  <c r="F137" i="6"/>
  <c r="E53" i="6"/>
  <c r="F15" i="13"/>
  <c r="E25" i="6"/>
  <c r="E10" i="6"/>
  <c r="D107" i="6"/>
  <c r="F96" i="6"/>
  <c r="D11" i="16"/>
  <c r="D106" i="13"/>
  <c r="D25" i="6"/>
  <c r="D26" i="6"/>
  <c r="D53" i="6"/>
  <c r="E8" i="13"/>
  <c r="F121" i="6"/>
  <c r="D22" i="15"/>
  <c r="E21" i="13"/>
  <c r="E4" i="25"/>
  <c r="E19" i="25" s="1"/>
  <c r="F55" i="6"/>
  <c r="F103" i="6"/>
  <c r="F128" i="6"/>
  <c r="F74" i="6"/>
  <c r="D30" i="9"/>
  <c r="D19" i="25"/>
  <c r="D22" i="25" s="1"/>
  <c r="F48" i="6"/>
  <c r="F13" i="6" s="1"/>
  <c r="F123" i="6"/>
  <c r="E17" i="9" s="1"/>
  <c r="F136" i="6"/>
  <c r="F40" i="6"/>
  <c r="F86" i="6"/>
  <c r="F138" i="6"/>
  <c r="E56" i="6"/>
  <c r="D13" i="10" s="1"/>
  <c r="D20" i="10" s="1"/>
  <c r="D21" i="10" s="1"/>
  <c r="F70" i="6"/>
  <c r="C19" i="15"/>
  <c r="C27" i="15" s="1"/>
  <c r="P10" i="16"/>
  <c r="Q115" i="13" s="1"/>
  <c r="D11" i="10"/>
  <c r="F87" i="6"/>
  <c r="F140" i="6"/>
  <c r="F144" i="6"/>
  <c r="F76" i="6"/>
  <c r="E32" i="9" s="1"/>
  <c r="E12" i="9" s="1"/>
  <c r="E31" i="9" s="1"/>
  <c r="E35" i="9" s="1"/>
  <c r="F43" i="6"/>
  <c r="D31" i="10"/>
  <c r="F119" i="6"/>
  <c r="F134" i="6"/>
  <c r="E24" i="10" s="1"/>
  <c r="E33" i="10" s="1"/>
  <c r="F73" i="6"/>
  <c r="F22" i="9" s="1"/>
  <c r="F82" i="13"/>
  <c r="D10" i="6"/>
  <c r="F114" i="6"/>
  <c r="F141" i="6" a="1"/>
  <c r="F141" i="6" s="1"/>
  <c r="F66" i="6"/>
  <c r="F132" i="6"/>
  <c r="F98" i="6"/>
  <c r="E26" i="10" s="1"/>
  <c r="F126" i="6"/>
  <c r="F78" i="6"/>
  <c r="F80" i="6"/>
  <c r="F92" i="6"/>
  <c r="F133" i="6"/>
  <c r="F54" i="13"/>
  <c r="D55" i="13"/>
  <c r="C13" i="16" s="1"/>
  <c r="C20" i="16" s="1"/>
  <c r="C21" i="16" s="1"/>
  <c r="F104" i="13"/>
  <c r="D21" i="13"/>
  <c r="E9" i="6"/>
  <c r="D12" i="6"/>
  <c r="F136" i="13"/>
  <c r="C38" i="32"/>
  <c r="C39" i="32"/>
  <c r="C40" i="32"/>
  <c r="D18" i="13"/>
  <c r="F125" i="13"/>
  <c r="F17" i="13"/>
  <c r="F126" i="13"/>
  <c r="C18" i="32"/>
  <c r="C13" i="15"/>
  <c r="F99" i="13"/>
  <c r="F31" i="16" s="1"/>
  <c r="F142" i="13"/>
  <c r="C36" i="15"/>
  <c r="D114" i="13" s="1"/>
  <c r="C31" i="32"/>
  <c r="F36" i="13"/>
  <c r="F143" i="13"/>
  <c r="F71" i="13"/>
  <c r="E19" i="15" s="1"/>
  <c r="F132" i="13"/>
  <c r="F99" i="6"/>
  <c r="E27" i="10" s="1"/>
  <c r="F108" i="6"/>
  <c r="E18" i="10" s="1"/>
  <c r="F16" i="10" s="1"/>
  <c r="F125" i="6"/>
  <c r="F42" i="6"/>
  <c r="F69" i="13"/>
  <c r="F138" i="13"/>
  <c r="D25" i="13"/>
  <c r="C22" i="25"/>
  <c r="F6" i="32"/>
  <c r="F43" i="32" s="1"/>
  <c r="C32" i="16"/>
  <c r="C21" i="25"/>
  <c r="G32" i="13"/>
  <c r="G84" i="13" s="1"/>
  <c r="F44" i="13"/>
  <c r="N83" i="13"/>
  <c r="D11" i="13"/>
  <c r="F38" i="22"/>
  <c r="F39" i="22" s="1"/>
  <c r="F72" i="6"/>
  <c r="E19" i="9" s="1"/>
  <c r="F84" i="6"/>
  <c r="F143" i="6"/>
  <c r="F35" i="6"/>
  <c r="F8" i="6" s="1"/>
  <c r="F100" i="13"/>
  <c r="E29" i="16" s="1"/>
  <c r="F127" i="13"/>
  <c r="F101" i="13"/>
  <c r="D10" i="13"/>
  <c r="D19" i="13"/>
  <c r="F49" i="13"/>
  <c r="F77" i="13"/>
  <c r="F133" i="13"/>
  <c r="E24" i="16" s="1"/>
  <c r="E33" i="16" s="1"/>
  <c r="D20" i="13"/>
  <c r="D9" i="13"/>
  <c r="F56" i="13"/>
  <c r="E19" i="16" s="1"/>
  <c r="F42" i="13"/>
  <c r="F16" i="13"/>
  <c r="D117" i="13"/>
  <c r="N84" i="6"/>
  <c r="P115" i="13"/>
  <c r="D119" i="13"/>
  <c r="D30" i="15"/>
  <c r="D36" i="15"/>
  <c r="F44" i="6"/>
  <c r="D56" i="6"/>
  <c r="C13" i="10" s="1"/>
  <c r="C20" i="10" s="1"/>
  <c r="C21" i="10" s="1"/>
  <c r="F101" i="6"/>
  <c r="E29" i="10" s="1"/>
  <c r="F142" i="6"/>
  <c r="F127" i="6"/>
  <c r="F83" i="6"/>
  <c r="F51" i="13"/>
  <c r="E32" i="16" s="1"/>
  <c r="E24" i="13"/>
  <c r="E106" i="13"/>
  <c r="E22" i="9"/>
  <c r="F67" i="13"/>
  <c r="F48" i="13"/>
  <c r="F128" i="13"/>
  <c r="F94" i="13"/>
  <c r="F78" i="13"/>
  <c r="F107" i="13"/>
  <c r="E18" i="16" s="1"/>
  <c r="E8" i="16" s="1"/>
  <c r="E17" i="16" s="1"/>
  <c r="F91" i="13"/>
  <c r="F139" i="13"/>
  <c r="F130" i="13"/>
  <c r="F79" i="13"/>
  <c r="F43" i="13"/>
  <c r="F102" i="13"/>
  <c r="F97" i="13"/>
  <c r="E26" i="16" s="1"/>
  <c r="F141" i="13" a="1"/>
  <c r="F141" i="13" s="1"/>
  <c r="F140" i="13"/>
  <c r="F137" i="13"/>
  <c r="F95" i="13"/>
  <c r="H58" i="23"/>
  <c r="C27" i="9"/>
  <c r="D118" i="6"/>
  <c r="F51" i="6"/>
  <c r="E25" i="13"/>
  <c r="F51" i="23"/>
  <c r="H51" i="23" s="1"/>
  <c r="J9" i="2"/>
  <c r="E20" i="13"/>
  <c r="F130" i="6"/>
  <c r="F124" i="6"/>
  <c r="F57" i="6"/>
  <c r="E19" i="10" s="1"/>
  <c r="F50" i="6"/>
  <c r="F18" i="6"/>
  <c r="F139" i="6"/>
  <c r="F77" i="6"/>
  <c r="F47" i="6"/>
  <c r="F37" i="6"/>
  <c r="F95" i="6"/>
  <c r="F82" i="6"/>
  <c r="F17" i="6"/>
  <c r="F105" i="6"/>
  <c r="F102" i="6"/>
  <c r="F89" i="6"/>
  <c r="F69" i="6"/>
  <c r="F65" i="6"/>
  <c r="F59" i="6"/>
  <c r="E9" i="10" s="1"/>
  <c r="E23" i="10" s="1"/>
  <c r="F52" i="6"/>
  <c r="E32" i="10" s="1"/>
  <c r="F91" i="6"/>
  <c r="F85" i="6"/>
  <c r="F75" i="6"/>
  <c r="F45" i="6"/>
  <c r="F93" i="6"/>
  <c r="F68" i="6"/>
  <c r="F39" i="6"/>
  <c r="F16" i="6"/>
  <c r="G33" i="6"/>
  <c r="F46" i="13"/>
  <c r="F85" i="13"/>
  <c r="F50" i="13"/>
  <c r="F41" i="13"/>
  <c r="F47" i="13"/>
  <c r="F38" i="13"/>
  <c r="F94" i="6"/>
  <c r="E19" i="13"/>
  <c r="F39" i="13"/>
  <c r="F93" i="13"/>
  <c r="F57" i="13"/>
  <c r="F72" i="13"/>
  <c r="F22" i="15" s="1"/>
  <c r="F134" i="13"/>
  <c r="F131" i="13"/>
  <c r="F64" i="13"/>
  <c r="F58" i="13"/>
  <c r="E9" i="16" s="1"/>
  <c r="E23" i="16" s="1"/>
  <c r="G54" i="23"/>
  <c r="E9" i="13"/>
  <c r="E18" i="13"/>
  <c r="F34" i="13"/>
  <c r="F7" i="13" s="1"/>
  <c r="F75" i="13"/>
  <c r="E32" i="15" s="1"/>
  <c r="F81" i="13"/>
  <c r="F144" i="13"/>
  <c r="F66" i="13"/>
  <c r="F74" i="13"/>
  <c r="F86" i="13"/>
  <c r="G53" i="23"/>
  <c r="F79" i="6"/>
  <c r="D13" i="15"/>
  <c r="F73" i="13"/>
  <c r="F90" i="13"/>
  <c r="F68" i="13"/>
  <c r="F92" i="13"/>
  <c r="F83" i="13"/>
  <c r="F76" i="13"/>
  <c r="F84" i="13"/>
  <c r="F121" i="13"/>
  <c r="F38" i="6"/>
  <c r="D24" i="13"/>
  <c r="F100" i="6"/>
  <c r="F49" i="6"/>
  <c r="E11" i="13"/>
  <c r="F88" i="13"/>
  <c r="F124" i="13"/>
  <c r="F98" i="13"/>
  <c r="E27" i="16" s="1"/>
  <c r="F65" i="13"/>
  <c r="F123" i="13"/>
  <c r="E17" i="15" s="1"/>
  <c r="F118" i="13"/>
  <c r="F113" i="13"/>
  <c r="C24" i="25"/>
  <c r="C19" i="32" s="1"/>
  <c r="F131" i="6"/>
  <c r="F58" i="6"/>
  <c r="F55" i="23"/>
  <c r="H55" i="23" s="1"/>
  <c r="E16" i="10"/>
  <c r="D8" i="10"/>
  <c r="D17" i="10" s="1"/>
  <c r="G58" i="23"/>
  <c r="D36" i="9"/>
  <c r="D35" i="16"/>
  <c r="E31" i="16"/>
  <c r="G57" i="23"/>
  <c r="D17" i="9"/>
  <c r="D13" i="9"/>
  <c r="E38" i="16"/>
  <c r="E37" i="16"/>
  <c r="E11" i="16" s="1"/>
  <c r="F5" i="16"/>
  <c r="D32" i="15"/>
  <c r="E30" i="15"/>
  <c r="E16" i="16"/>
  <c r="D8" i="16"/>
  <c r="D17" i="16" s="1"/>
  <c r="C73" i="23"/>
  <c r="C104" i="32"/>
  <c r="G56" i="23"/>
  <c r="C8" i="24"/>
  <c r="D4" i="24"/>
  <c r="C10" i="24"/>
  <c r="C9" i="24"/>
  <c r="C7" i="24"/>
  <c r="C36" i="24"/>
  <c r="C11" i="24"/>
  <c r="D32" i="16"/>
  <c r="E52" i="13"/>
  <c r="I8" i="21"/>
  <c r="H10" i="21"/>
  <c r="H12" i="21"/>
  <c r="E16" i="9"/>
  <c r="D19" i="9"/>
  <c r="D35" i="10"/>
  <c r="E31" i="10"/>
  <c r="P28" i="10"/>
  <c r="Q10" i="10"/>
  <c r="Q116" i="6"/>
  <c r="E117" i="13"/>
  <c r="C61" i="23"/>
  <c r="G52" i="23"/>
  <c r="D33" i="19"/>
  <c r="D95" i="32"/>
  <c r="D46" i="32"/>
  <c r="D1" i="32"/>
  <c r="E38" i="10"/>
  <c r="E37" i="10"/>
  <c r="E11" i="10" s="1"/>
  <c r="F5" i="10"/>
  <c r="D34" i="7"/>
  <c r="E118" i="6"/>
  <c r="E7" i="13"/>
  <c r="E10" i="13"/>
  <c r="D19" i="16"/>
  <c r="E55" i="13"/>
  <c r="D13" i="16" s="1"/>
  <c r="D20" i="16" s="1"/>
  <c r="D19" i="15"/>
  <c r="E16" i="15"/>
  <c r="D25" i="15"/>
  <c r="E22" i="15"/>
  <c r="G51" i="23"/>
  <c r="G55" i="23"/>
  <c r="C5" i="20"/>
  <c r="G18" i="2"/>
  <c r="G20" i="2" s="1"/>
  <c r="F92" i="32" l="1"/>
  <c r="E103" i="19"/>
  <c r="E71" i="19"/>
  <c r="F90" i="19"/>
  <c r="E95" i="19"/>
  <c r="F84" i="19"/>
  <c r="F85" i="19" s="1"/>
  <c r="E87" i="19"/>
  <c r="E77" i="19"/>
  <c r="E78" i="19" s="1"/>
  <c r="F100" i="19"/>
  <c r="F101" i="19" s="1"/>
  <c r="E61" i="19"/>
  <c r="E62" i="19" s="1"/>
  <c r="F68" i="19"/>
  <c r="F69" i="19" s="1"/>
  <c r="E114" i="13"/>
  <c r="F90" i="7"/>
  <c r="F92" i="7" s="1"/>
  <c r="E95" i="7"/>
  <c r="E37" i="7"/>
  <c r="F82" i="7"/>
  <c r="E87" i="7"/>
  <c r="F58" i="7"/>
  <c r="E63" i="7"/>
  <c r="E53" i="7"/>
  <c r="E54" i="7" s="1"/>
  <c r="F66" i="7"/>
  <c r="E71" i="7"/>
  <c r="E77" i="7"/>
  <c r="E78" i="7" s="1"/>
  <c r="F100" i="7"/>
  <c r="F3" i="32"/>
  <c r="F30" i="9"/>
  <c r="G102" i="13"/>
  <c r="G134" i="13"/>
  <c r="G123" i="13"/>
  <c r="F17" i="15" s="1"/>
  <c r="G113" i="13"/>
  <c r="G44" i="13"/>
  <c r="G85" i="13"/>
  <c r="G74" i="13"/>
  <c r="G125" i="13"/>
  <c r="G143" i="13"/>
  <c r="G49" i="13"/>
  <c r="G54" i="13"/>
  <c r="G72" i="13"/>
  <c r="G22" i="15" s="1"/>
  <c r="F16" i="9"/>
  <c r="G131" i="13"/>
  <c r="G140" i="13"/>
  <c r="G83" i="13"/>
  <c r="G104" i="13"/>
  <c r="P28" i="16"/>
  <c r="D115" i="6"/>
  <c r="G34" i="13"/>
  <c r="G7" i="13" s="1"/>
  <c r="G137" i="13"/>
  <c r="G17" i="13"/>
  <c r="G95" i="13"/>
  <c r="C23" i="15"/>
  <c r="E36" i="15"/>
  <c r="F114" i="13" s="1"/>
  <c r="G15" i="13"/>
  <c r="G86" i="13"/>
  <c r="G36" i="13"/>
  <c r="G88" i="13"/>
  <c r="G99" i="13"/>
  <c r="G31" i="16" s="1"/>
  <c r="G37" i="13"/>
  <c r="G127" i="13"/>
  <c r="G118" i="13"/>
  <c r="F4" i="25"/>
  <c r="G4" i="25" s="1"/>
  <c r="G142" i="13"/>
  <c r="E8" i="25"/>
  <c r="G126" i="13"/>
  <c r="G121" i="13"/>
  <c r="G93" i="13"/>
  <c r="G39" i="13"/>
  <c r="H32" i="13"/>
  <c r="H125" i="13" s="1"/>
  <c r="G51" i="13"/>
  <c r="F32" i="16" s="1"/>
  <c r="G133" i="13"/>
  <c r="F24" i="16" s="1"/>
  <c r="F33" i="16" s="1"/>
  <c r="F11" i="6"/>
  <c r="G65" i="13"/>
  <c r="G138" i="13"/>
  <c r="G47" i="13"/>
  <c r="G119" i="13" s="1"/>
  <c r="G141" i="13" a="1"/>
  <c r="G141" i="13" s="1"/>
  <c r="G67" i="13"/>
  <c r="G38" i="13"/>
  <c r="G77" i="13"/>
  <c r="G58" i="13"/>
  <c r="F9" i="16" s="1"/>
  <c r="F23" i="16" s="1"/>
  <c r="G71" i="13"/>
  <c r="F19" i="15" s="1"/>
  <c r="G78" i="13"/>
  <c r="G57" i="13"/>
  <c r="G16" i="13"/>
  <c r="G64" i="13"/>
  <c r="G46" i="13"/>
  <c r="G90" i="13"/>
  <c r="G68" i="13"/>
  <c r="G92" i="13"/>
  <c r="G42" i="13"/>
  <c r="G56" i="13"/>
  <c r="F19" i="16" s="1"/>
  <c r="G132" i="13"/>
  <c r="G81" i="13"/>
  <c r="G97" i="13"/>
  <c r="F26" i="16" s="1"/>
  <c r="G130" i="13"/>
  <c r="E25" i="9"/>
  <c r="E27" i="9" s="1"/>
  <c r="Q10" i="16"/>
  <c r="R115" i="13" s="1"/>
  <c r="G43" i="13"/>
  <c r="G41" i="13"/>
  <c r="G136" i="13"/>
  <c r="G94" i="13"/>
  <c r="G91" i="13"/>
  <c r="G66" i="13"/>
  <c r="G98" i="13"/>
  <c r="F27" i="16" s="1"/>
  <c r="E8" i="10"/>
  <c r="E17" i="10" s="1"/>
  <c r="F16" i="15"/>
  <c r="E36" i="9"/>
  <c r="F115" i="6" s="1"/>
  <c r="F107" i="6"/>
  <c r="D12" i="9"/>
  <c r="D31" i="9" s="1"/>
  <c r="D35" i="9" s="1"/>
  <c r="F19" i="6"/>
  <c r="F118" i="6"/>
  <c r="F12" i="6"/>
  <c r="F22" i="6"/>
  <c r="D12" i="15"/>
  <c r="D31" i="15" s="1"/>
  <c r="D35" i="15" s="1"/>
  <c r="F106" i="13"/>
  <c r="E35" i="16"/>
  <c r="E12" i="16" s="1"/>
  <c r="E34" i="16" s="1"/>
  <c r="F52" i="13"/>
  <c r="F25" i="6"/>
  <c r="E13" i="9"/>
  <c r="F55" i="13"/>
  <c r="E13" i="16" s="1"/>
  <c r="E20" i="16" s="1"/>
  <c r="E21" i="16" s="1"/>
  <c r="F53" i="6"/>
  <c r="D24" i="25"/>
  <c r="D19" i="32" s="1"/>
  <c r="D21" i="25"/>
  <c r="D23" i="25" s="1"/>
  <c r="D18" i="32" s="1"/>
  <c r="F26" i="6"/>
  <c r="G100" i="13"/>
  <c r="F29" i="16" s="1"/>
  <c r="G82" i="13"/>
  <c r="G128" i="13"/>
  <c r="G75" i="13"/>
  <c r="F32" i="15" s="1"/>
  <c r="G50" i="13"/>
  <c r="G144" i="13"/>
  <c r="G124" i="13"/>
  <c r="G73" i="13"/>
  <c r="F9" i="6"/>
  <c r="G139" i="13"/>
  <c r="G48" i="13"/>
  <c r="G101" i="13"/>
  <c r="G69" i="13"/>
  <c r="G79" i="13"/>
  <c r="G107" i="13"/>
  <c r="F18" i="16" s="1"/>
  <c r="F8" i="16" s="1"/>
  <c r="F17" i="16" s="1"/>
  <c r="G76" i="13"/>
  <c r="D12" i="10"/>
  <c r="D34" i="10" s="1"/>
  <c r="F30" i="15"/>
  <c r="G6" i="32"/>
  <c r="G43" i="32" s="1"/>
  <c r="F10" i="6"/>
  <c r="F20" i="6"/>
  <c r="F21" i="6"/>
  <c r="E25" i="15"/>
  <c r="E27" i="15" s="1"/>
  <c r="F11" i="13"/>
  <c r="F16" i="16"/>
  <c r="F21" i="13"/>
  <c r="F20" i="13"/>
  <c r="F10" i="13"/>
  <c r="F8" i="13"/>
  <c r="C63" i="23"/>
  <c r="F24" i="13"/>
  <c r="F18" i="13"/>
  <c r="F117" i="13"/>
  <c r="F9" i="13"/>
  <c r="F56" i="6"/>
  <c r="E13" i="10" s="1"/>
  <c r="E20" i="10" s="1"/>
  <c r="E21" i="10" s="1"/>
  <c r="G42" i="6"/>
  <c r="G127" i="6"/>
  <c r="G123" i="6"/>
  <c r="G138" i="6"/>
  <c r="G132" i="6"/>
  <c r="G100" i="6"/>
  <c r="G96" i="6"/>
  <c r="G37" i="6"/>
  <c r="G91" i="6"/>
  <c r="G126" i="6"/>
  <c r="G103" i="6"/>
  <c r="G108" i="6"/>
  <c r="F18" i="10" s="1"/>
  <c r="G79" i="6"/>
  <c r="G94" i="6"/>
  <c r="G70" i="6"/>
  <c r="G40" i="6"/>
  <c r="G72" i="6"/>
  <c r="G130" i="6"/>
  <c r="G142" i="6"/>
  <c r="G98" i="6"/>
  <c r="F26" i="10" s="1"/>
  <c r="G101" i="6"/>
  <c r="F29" i="10" s="1"/>
  <c r="G74" i="6"/>
  <c r="G68" i="6"/>
  <c r="G86" i="6"/>
  <c r="G52" i="6"/>
  <c r="G39" i="6"/>
  <c r="G124" i="6"/>
  <c r="G92" i="6"/>
  <c r="G95" i="6"/>
  <c r="G125" i="6"/>
  <c r="G102" i="6"/>
  <c r="G49" i="6"/>
  <c r="G48" i="6"/>
  <c r="G13" i="6" s="1"/>
  <c r="G55" i="6"/>
  <c r="G141" i="6" a="1"/>
  <c r="G141" i="6" s="1"/>
  <c r="G84" i="6"/>
  <c r="G121" i="6"/>
  <c r="G76" i="6"/>
  <c r="G89" i="6"/>
  <c r="G43" i="6"/>
  <c r="G47" i="6"/>
  <c r="G50" i="6"/>
  <c r="G85" i="6"/>
  <c r="G139" i="6"/>
  <c r="G78" i="6"/>
  <c r="G119" i="6"/>
  <c r="G66" i="6"/>
  <c r="G87" i="6"/>
  <c r="G131" i="6"/>
  <c r="G35" i="6"/>
  <c r="G8" i="6" s="1"/>
  <c r="G18" i="6"/>
  <c r="G143" i="6"/>
  <c r="G73" i="6"/>
  <c r="G105" i="6"/>
  <c r="G58" i="6"/>
  <c r="G82" i="6"/>
  <c r="G83" i="6"/>
  <c r="G16" i="6"/>
  <c r="G44" i="6"/>
  <c r="G137" i="6"/>
  <c r="G67" i="6"/>
  <c r="G99" i="6"/>
  <c r="F27" i="10" s="1"/>
  <c r="G51" i="6"/>
  <c r="G65" i="6"/>
  <c r="G77" i="6"/>
  <c r="G75" i="6"/>
  <c r="G136" i="6"/>
  <c r="G134" i="6"/>
  <c r="F24" i="10" s="1"/>
  <c r="F33" i="10" s="1"/>
  <c r="G133" i="6"/>
  <c r="G93" i="6"/>
  <c r="G45" i="6"/>
  <c r="G59" i="6"/>
  <c r="F9" i="10" s="1"/>
  <c r="F23" i="10" s="1"/>
  <c r="G69" i="6"/>
  <c r="H33" i="6"/>
  <c r="G128" i="6"/>
  <c r="G140" i="6"/>
  <c r="G114" i="6"/>
  <c r="G144" i="6"/>
  <c r="G38" i="6"/>
  <c r="G80" i="6"/>
  <c r="G57" i="6"/>
  <c r="G17" i="6"/>
  <c r="C25" i="25"/>
  <c r="C26" i="25" s="1"/>
  <c r="C28" i="25" s="1"/>
  <c r="F19" i="13"/>
  <c r="E13" i="15"/>
  <c r="F25" i="13"/>
  <c r="F12" i="13"/>
  <c r="F119" i="13"/>
  <c r="E35" i="10"/>
  <c r="E12" i="10" s="1"/>
  <c r="E34" i="10" s="1"/>
  <c r="F31" i="10"/>
  <c r="F38" i="10"/>
  <c r="G5" i="10"/>
  <c r="F37" i="10"/>
  <c r="F11" i="10" s="1"/>
  <c r="E8" i="15"/>
  <c r="E18" i="15" s="1"/>
  <c r="D12" i="16"/>
  <c r="D34" i="16" s="1"/>
  <c r="D27" i="15"/>
  <c r="D8" i="15"/>
  <c r="D18" i="15" s="1"/>
  <c r="F18" i="24"/>
  <c r="H17" i="21"/>
  <c r="E115" i="6"/>
  <c r="E34" i="7"/>
  <c r="J8" i="21"/>
  <c r="I12" i="21"/>
  <c r="I10" i="21"/>
  <c r="D21" i="16"/>
  <c r="D8" i="9"/>
  <c r="D18" i="9" s="1"/>
  <c r="D27" i="9"/>
  <c r="C40" i="24"/>
  <c r="C39" i="24"/>
  <c r="R10" i="10"/>
  <c r="Q28" i="10"/>
  <c r="R116" i="6"/>
  <c r="E8" i="9"/>
  <c r="E18" i="9" s="1"/>
  <c r="D115" i="32"/>
  <c r="D111" i="32"/>
  <c r="D109" i="32"/>
  <c r="D99" i="32"/>
  <c r="D120" i="32"/>
  <c r="D110" i="32"/>
  <c r="D116" i="32"/>
  <c r="D103" i="32"/>
  <c r="C25" i="24"/>
  <c r="E12" i="15"/>
  <c r="E31" i="15" s="1"/>
  <c r="E35" i="15" s="1"/>
  <c r="D9" i="24"/>
  <c r="E4" i="24"/>
  <c r="D36" i="24"/>
  <c r="D11" i="24"/>
  <c r="D10" i="24"/>
  <c r="D8" i="24"/>
  <c r="D7" i="24"/>
  <c r="C62" i="23"/>
  <c r="C25" i="20" s="1"/>
  <c r="E33" i="19"/>
  <c r="E46" i="32"/>
  <c r="E1" i="32"/>
  <c r="E95" i="32"/>
  <c r="E24" i="25"/>
  <c r="E19" i="32" s="1"/>
  <c r="E21" i="25"/>
  <c r="E22" i="25"/>
  <c r="F38" i="16"/>
  <c r="F37" i="16"/>
  <c r="F11" i="16" s="1"/>
  <c r="G5" i="16"/>
  <c r="G19" i="13" l="1"/>
  <c r="G9" i="13"/>
  <c r="G10" i="13"/>
  <c r="G92" i="32"/>
  <c r="H94" i="13"/>
  <c r="H36" i="13"/>
  <c r="H50" i="13"/>
  <c r="H86" i="13"/>
  <c r="H66" i="13"/>
  <c r="H143" i="13"/>
  <c r="H17" i="13"/>
  <c r="H73" i="13"/>
  <c r="E9" i="9"/>
  <c r="E23" i="9" s="1"/>
  <c r="F19" i="25"/>
  <c r="F22" i="25" s="1"/>
  <c r="H113" i="13"/>
  <c r="F8" i="25"/>
  <c r="H76" i="13"/>
  <c r="H79" i="13"/>
  <c r="H140" i="13"/>
  <c r="H88" i="13"/>
  <c r="H126" i="13"/>
  <c r="I32" i="13"/>
  <c r="I140" i="13" s="1"/>
  <c r="H136" i="13"/>
  <c r="H139" i="13"/>
  <c r="H97" i="13"/>
  <c r="G26" i="16" s="1"/>
  <c r="H71" i="13"/>
  <c r="G19" i="15" s="1"/>
  <c r="H54" i="13"/>
  <c r="H121" i="13"/>
  <c r="H34" i="13"/>
  <c r="H133" i="13"/>
  <c r="G24" i="16" s="1"/>
  <c r="G33" i="16" s="1"/>
  <c r="H132" i="13"/>
  <c r="H124" i="13"/>
  <c r="H100" i="13"/>
  <c r="G29" i="16" s="1"/>
  <c r="H83" i="13"/>
  <c r="H64" i="13"/>
  <c r="H91" i="13"/>
  <c r="H43" i="13"/>
  <c r="H51" i="13"/>
  <c r="H92" i="13"/>
  <c r="H68" i="13"/>
  <c r="H46" i="13"/>
  <c r="H128" i="13"/>
  <c r="H130" i="13"/>
  <c r="H99" i="13"/>
  <c r="H31" i="16" s="1"/>
  <c r="R10" i="16"/>
  <c r="R28" i="16" s="1"/>
  <c r="H38" i="13"/>
  <c r="H82" i="13"/>
  <c r="H138" i="13"/>
  <c r="H98" i="13"/>
  <c r="G27" i="16" s="1"/>
  <c r="H42" i="13"/>
  <c r="H16" i="13"/>
  <c r="H39" i="13"/>
  <c r="H75" i="13"/>
  <c r="G32" i="15" s="1"/>
  <c r="H127" i="13"/>
  <c r="H48" i="13"/>
  <c r="G16" i="16"/>
  <c r="H65" i="13"/>
  <c r="H58" i="13"/>
  <c r="G9" i="16" s="1"/>
  <c r="G23" i="16" s="1"/>
  <c r="H67" i="13"/>
  <c r="H18" i="13" s="1"/>
  <c r="H144" i="13"/>
  <c r="H78" i="13"/>
  <c r="D34" i="23" a="1"/>
  <c r="D34" i="23" s="1"/>
  <c r="F34" i="23" s="1"/>
  <c r="G34" i="23" s="1"/>
  <c r="I34" i="23" s="1"/>
  <c r="D18" i="23" a="1"/>
  <c r="D18" i="23" s="1"/>
  <c r="F18" i="23" s="1"/>
  <c r="G18" i="23" s="1"/>
  <c r="G11" i="13"/>
  <c r="D12" i="23" a="1"/>
  <c r="D12" i="23" s="1"/>
  <c r="F12" i="23" s="1"/>
  <c r="C23" i="20" s="1"/>
  <c r="D16" i="23" a="1"/>
  <c r="D16" i="23" s="1"/>
  <c r="F16" i="23" s="1"/>
  <c r="G16" i="23" s="1"/>
  <c r="H16" i="23" s="1"/>
  <c r="I16" i="23" s="1"/>
  <c r="D13" i="23" a="1"/>
  <c r="D13" i="23" s="1"/>
  <c r="F13" i="23" s="1"/>
  <c r="G13" i="23" s="1"/>
  <c r="F25" i="15"/>
  <c r="F27" i="15" s="1"/>
  <c r="F34" i="7"/>
  <c r="D17" i="23" a="1"/>
  <c r="D17" i="23" s="1"/>
  <c r="F17" i="23" s="1"/>
  <c r="G17" i="23" s="1"/>
  <c r="E71" i="23"/>
  <c r="E25" i="32" s="1"/>
  <c r="D71" i="23"/>
  <c r="D25" i="32" s="1"/>
  <c r="F70" i="19"/>
  <c r="G66" i="19" s="1"/>
  <c r="F58" i="19"/>
  <c r="E63" i="19"/>
  <c r="F74" i="19"/>
  <c r="E79" i="19"/>
  <c r="F86" i="19"/>
  <c r="F102" i="19"/>
  <c r="E43" i="19"/>
  <c r="O131" i="13" s="1"/>
  <c r="F92" i="19"/>
  <c r="D9" i="15"/>
  <c r="D10" i="15" s="1"/>
  <c r="E9" i="15"/>
  <c r="E43" i="7"/>
  <c r="F74" i="7"/>
  <c r="E79" i="7"/>
  <c r="F101" i="7"/>
  <c r="F102" i="7" s="1"/>
  <c r="F68" i="7"/>
  <c r="F69" i="7" s="1"/>
  <c r="F70" i="7" s="1"/>
  <c r="F60" i="7"/>
  <c r="F93" i="7"/>
  <c r="F94" i="7" s="1"/>
  <c r="F84" i="7"/>
  <c r="F83" i="7" s="1"/>
  <c r="F85" i="7" s="1"/>
  <c r="F86" i="7" s="1"/>
  <c r="E44" i="7"/>
  <c r="O131" i="6" s="1"/>
  <c r="F50" i="7"/>
  <c r="E38" i="7"/>
  <c r="E40" i="7" s="1"/>
  <c r="E55" i="7"/>
  <c r="O84" i="6"/>
  <c r="G52" i="13"/>
  <c r="G25" i="13"/>
  <c r="G8" i="13"/>
  <c r="H84" i="13"/>
  <c r="H81" i="13"/>
  <c r="H74" i="13"/>
  <c r="H93" i="13"/>
  <c r="H95" i="13"/>
  <c r="H101" i="13"/>
  <c r="H134" i="13"/>
  <c r="H37" i="13"/>
  <c r="H107" i="13"/>
  <c r="G18" i="16" s="1"/>
  <c r="H16" i="16" s="1"/>
  <c r="H85" i="13"/>
  <c r="H21" i="13" s="1"/>
  <c r="H44" i="13"/>
  <c r="H104" i="13"/>
  <c r="H131" i="13"/>
  <c r="H49" i="13"/>
  <c r="H118" i="13"/>
  <c r="H47" i="13"/>
  <c r="H12" i="13" s="1"/>
  <c r="H123" i="13"/>
  <c r="G13" i="15" s="1"/>
  <c r="H141" i="13" a="1"/>
  <c r="H141" i="13" s="1"/>
  <c r="F33" i="19"/>
  <c r="D19" i="23" s="1" a="1"/>
  <c r="D19" i="23" s="1"/>
  <c r="F19" i="23" s="1"/>
  <c r="G19" i="23" s="1"/>
  <c r="H19" i="23" s="1"/>
  <c r="I19" i="23" s="1"/>
  <c r="H137" i="13"/>
  <c r="H56" i="13"/>
  <c r="H102" i="13"/>
  <c r="H72" i="13"/>
  <c r="G25" i="15" s="1"/>
  <c r="H15" i="13"/>
  <c r="H69" i="13"/>
  <c r="H77" i="13"/>
  <c r="H142" i="13"/>
  <c r="H41" i="13"/>
  <c r="H90" i="13"/>
  <c r="F13" i="15"/>
  <c r="G3" i="32"/>
  <c r="G21" i="13"/>
  <c r="F35" i="16"/>
  <c r="F12" i="16" s="1"/>
  <c r="F34" i="16" s="1"/>
  <c r="G12" i="13"/>
  <c r="G20" i="13"/>
  <c r="G106" i="13"/>
  <c r="F36" i="15"/>
  <c r="G24" i="13"/>
  <c r="Q28" i="16"/>
  <c r="G55" i="13"/>
  <c r="F13" i="16" s="1"/>
  <c r="F20" i="16" s="1"/>
  <c r="F21" i="16" s="1"/>
  <c r="H57" i="13"/>
  <c r="G16" i="15"/>
  <c r="G30" i="15"/>
  <c r="G117" i="13"/>
  <c r="G18" i="13"/>
  <c r="D9" i="9"/>
  <c r="D23" i="9" s="1"/>
  <c r="F12" i="15"/>
  <c r="F31" i="15" s="1"/>
  <c r="F35" i="15" s="1"/>
  <c r="G9" i="6"/>
  <c r="G25" i="6"/>
  <c r="H6" i="32"/>
  <c r="H43" i="32" s="1"/>
  <c r="G10" i="6"/>
  <c r="G11" i="6"/>
  <c r="G107" i="6"/>
  <c r="G22" i="6"/>
  <c r="G26" i="6"/>
  <c r="G20" i="6"/>
  <c r="F36" i="9"/>
  <c r="G115" i="6" s="1"/>
  <c r="E23" i="25"/>
  <c r="G21" i="6"/>
  <c r="F32" i="9"/>
  <c r="F12" i="9" s="1"/>
  <c r="F31" i="9" s="1"/>
  <c r="G30" i="9"/>
  <c r="G118" i="6"/>
  <c r="G16" i="9"/>
  <c r="F19" i="9"/>
  <c r="F35" i="10"/>
  <c r="G31" i="10"/>
  <c r="F32" i="10"/>
  <c r="G53" i="6"/>
  <c r="H131" i="6"/>
  <c r="H119" i="6"/>
  <c r="H76" i="6"/>
  <c r="H137" i="6"/>
  <c r="H39" i="6"/>
  <c r="H77" i="6"/>
  <c r="H17" i="6"/>
  <c r="H40" i="6"/>
  <c r="H142" i="6"/>
  <c r="H144" i="6"/>
  <c r="H87" i="6"/>
  <c r="H66" i="6"/>
  <c r="H83" i="6"/>
  <c r="H139" i="6"/>
  <c r="H69" i="6"/>
  <c r="H72" i="6"/>
  <c r="H50" i="6"/>
  <c r="H124" i="6"/>
  <c r="H138" i="6"/>
  <c r="H105" i="6"/>
  <c r="H58" i="6"/>
  <c r="H70" i="6"/>
  <c r="H86" i="6"/>
  <c r="H57" i="6"/>
  <c r="H55" i="6"/>
  <c r="H44" i="6"/>
  <c r="H141" i="6" a="1"/>
  <c r="H141" i="6" s="1"/>
  <c r="H127" i="6"/>
  <c r="H99" i="6"/>
  <c r="G27" i="10" s="1"/>
  <c r="H51" i="6"/>
  <c r="H102" i="6"/>
  <c r="H85" i="6"/>
  <c r="H37" i="6"/>
  <c r="H42" i="6"/>
  <c r="H133" i="6"/>
  <c r="H114" i="6"/>
  <c r="H143" i="6"/>
  <c r="H45" i="6"/>
  <c r="H89" i="6"/>
  <c r="H78" i="6"/>
  <c r="H48" i="6"/>
  <c r="H13" i="6" s="1"/>
  <c r="H18" i="6"/>
  <c r="H132" i="6"/>
  <c r="H108" i="6"/>
  <c r="G18" i="10" s="1"/>
  <c r="H128" i="6"/>
  <c r="H38" i="6"/>
  <c r="H73" i="6"/>
  <c r="H75" i="6"/>
  <c r="H93" i="6"/>
  <c r="H96" i="6"/>
  <c r="H134" i="6"/>
  <c r="G24" i="10" s="1"/>
  <c r="G33" i="10" s="1"/>
  <c r="H95" i="6"/>
  <c r="H126" i="6"/>
  <c r="H100" i="6"/>
  <c r="H59" i="6"/>
  <c r="G9" i="10" s="1"/>
  <c r="G23" i="10" s="1"/>
  <c r="H74" i="6"/>
  <c r="H16" i="6"/>
  <c r="H67" i="6"/>
  <c r="H130" i="6"/>
  <c r="H101" i="6"/>
  <c r="G29" i="10" s="1"/>
  <c r="H91" i="6"/>
  <c r="H136" i="6"/>
  <c r="H65" i="6"/>
  <c r="H98" i="6"/>
  <c r="G26" i="10" s="1"/>
  <c r="H35" i="6"/>
  <c r="H8" i="6" s="1"/>
  <c r="H94" i="6"/>
  <c r="H123" i="6"/>
  <c r="H121" i="6"/>
  <c r="H84" i="6"/>
  <c r="H68" i="6"/>
  <c r="H47" i="6"/>
  <c r="H92" i="6"/>
  <c r="I33" i="6"/>
  <c r="H43" i="6"/>
  <c r="H140" i="6"/>
  <c r="H82" i="6"/>
  <c r="H125" i="6"/>
  <c r="H79" i="6"/>
  <c r="H52" i="6"/>
  <c r="H103" i="6"/>
  <c r="H80" i="6"/>
  <c r="H49" i="6"/>
  <c r="G22" i="9"/>
  <c r="F25" i="9"/>
  <c r="G19" i="6"/>
  <c r="F17" i="9"/>
  <c r="F13" i="9"/>
  <c r="F8" i="10"/>
  <c r="F17" i="10" s="1"/>
  <c r="G16" i="10"/>
  <c r="F19" i="10"/>
  <c r="G56" i="6"/>
  <c r="F13" i="10" s="1"/>
  <c r="F20" i="10" s="1"/>
  <c r="H20" i="13"/>
  <c r="G12" i="6"/>
  <c r="F71" i="23"/>
  <c r="F25" i="32" s="1"/>
  <c r="I101" i="13"/>
  <c r="I65" i="13"/>
  <c r="I81" i="13"/>
  <c r="I90" i="13"/>
  <c r="I68" i="13"/>
  <c r="I86" i="13"/>
  <c r="I66" i="13"/>
  <c r="I72" i="13"/>
  <c r="I49" i="13"/>
  <c r="I42" i="13"/>
  <c r="I44" i="13"/>
  <c r="F95" i="32"/>
  <c r="F1" i="32"/>
  <c r="F46" i="32"/>
  <c r="G32" i="16"/>
  <c r="H52" i="13"/>
  <c r="E10" i="9"/>
  <c r="G38" i="10"/>
  <c r="H5" i="10"/>
  <c r="G37" i="10"/>
  <c r="G11" i="10" s="1"/>
  <c r="G18" i="24"/>
  <c r="I17" i="21"/>
  <c r="D25" i="25"/>
  <c r="D25" i="24"/>
  <c r="D26" i="24" s="1"/>
  <c r="D30" i="24" s="1"/>
  <c r="R28" i="10"/>
  <c r="S116" i="6"/>
  <c r="K8" i="21"/>
  <c r="J12" i="21"/>
  <c r="J10" i="21"/>
  <c r="F30" i="22"/>
  <c r="G30" i="22" s="1"/>
  <c r="G38" i="16"/>
  <c r="G37" i="16"/>
  <c r="G11" i="16" s="1"/>
  <c r="H5" i="16"/>
  <c r="E109" i="32"/>
  <c r="E99" i="32"/>
  <c r="E120" i="32"/>
  <c r="E110" i="32"/>
  <c r="E116" i="32"/>
  <c r="E103" i="32"/>
  <c r="E111" i="32"/>
  <c r="D40" i="24"/>
  <c r="D39" i="24"/>
  <c r="D38" i="24"/>
  <c r="D20" i="32" s="1"/>
  <c r="F8" i="15"/>
  <c r="F18" i="15" s="1"/>
  <c r="H4" i="25"/>
  <c r="G8" i="25"/>
  <c r="G19" i="25"/>
  <c r="E8" i="24"/>
  <c r="F4" i="24"/>
  <c r="E10" i="24"/>
  <c r="E36" i="24"/>
  <c r="E11" i="24"/>
  <c r="E9" i="24"/>
  <c r="E7" i="24"/>
  <c r="S115" i="13"/>
  <c r="C41" i="24"/>
  <c r="C21" i="32" s="1"/>
  <c r="H24" i="13" l="1"/>
  <c r="J32" i="13"/>
  <c r="I71" i="13"/>
  <c r="I88" i="13"/>
  <c r="I16" i="13"/>
  <c r="I98" i="13"/>
  <c r="H27" i="16" s="1"/>
  <c r="I84" i="13"/>
  <c r="I75" i="13"/>
  <c r="I34" i="13"/>
  <c r="I7" i="13" s="1"/>
  <c r="I57" i="13"/>
  <c r="I99" i="13"/>
  <c r="I82" i="13"/>
  <c r="I104" i="13"/>
  <c r="I77" i="13"/>
  <c r="H11" i="13"/>
  <c r="I47" i="13"/>
  <c r="I128" i="13"/>
  <c r="I107" i="13"/>
  <c r="H18" i="16" s="1"/>
  <c r="I48" i="13"/>
  <c r="I56" i="13"/>
  <c r="I144" i="13"/>
  <c r="I133" i="13"/>
  <c r="H24" i="16" s="1"/>
  <c r="H33" i="16" s="1"/>
  <c r="I85" i="13"/>
  <c r="I142" i="13"/>
  <c r="I43" i="13"/>
  <c r="I132" i="13"/>
  <c r="I94" i="13"/>
  <c r="I95" i="13"/>
  <c r="H19" i="13"/>
  <c r="I50" i="13"/>
  <c r="G35" i="16"/>
  <c r="I54" i="13"/>
  <c r="I124" i="13"/>
  <c r="I121" i="13"/>
  <c r="I78" i="13"/>
  <c r="C73" i="32"/>
  <c r="I92" i="13"/>
  <c r="I69" i="13"/>
  <c r="I73" i="13"/>
  <c r="I37" i="13"/>
  <c r="I93" i="13"/>
  <c r="I41" i="13"/>
  <c r="I83" i="13"/>
  <c r="I74" i="13"/>
  <c r="I136" i="13"/>
  <c r="I91" i="13"/>
  <c r="H30" i="15"/>
  <c r="I36" i="13"/>
  <c r="I126" i="13"/>
  <c r="I15" i="13"/>
  <c r="I138" i="13"/>
  <c r="I64" i="13"/>
  <c r="I143" i="13"/>
  <c r="I58" i="13"/>
  <c r="H9" i="16" s="1"/>
  <c r="H23" i="16" s="1"/>
  <c r="I79" i="13"/>
  <c r="I123" i="13"/>
  <c r="I46" i="13"/>
  <c r="I51" i="13"/>
  <c r="I113" i="13"/>
  <c r="I127" i="13"/>
  <c r="I139" i="13"/>
  <c r="H16" i="15"/>
  <c r="F24" i="25"/>
  <c r="F19" i="32" s="1"/>
  <c r="F21" i="25"/>
  <c r="H106" i="13"/>
  <c r="H92" i="32"/>
  <c r="H10" i="13"/>
  <c r="I141" i="13" a="1"/>
  <c r="I141" i="13" s="1"/>
  <c r="I67" i="13"/>
  <c r="I97" i="13"/>
  <c r="H26" i="16" s="1"/>
  <c r="I130" i="13"/>
  <c r="I137" i="13"/>
  <c r="I76" i="13"/>
  <c r="H8" i="13"/>
  <c r="H9" i="13"/>
  <c r="I125" i="13"/>
  <c r="I102" i="13"/>
  <c r="I17" i="13"/>
  <c r="I38" i="13"/>
  <c r="I118" i="13"/>
  <c r="I39" i="13"/>
  <c r="I100" i="13"/>
  <c r="H29" i="16" s="1"/>
  <c r="I131" i="13"/>
  <c r="I134" i="13"/>
  <c r="H55" i="13"/>
  <c r="G13" i="16" s="1"/>
  <c r="H25" i="13"/>
  <c r="H7" i="13"/>
  <c r="G34" i="7"/>
  <c r="H34" i="7" s="1"/>
  <c r="I34" i="7" s="1"/>
  <c r="D32" i="23" a="1"/>
  <c r="D32" i="23" s="1"/>
  <c r="F32" i="23" s="1"/>
  <c r="G32" i="23" s="1"/>
  <c r="I32" i="23" s="1"/>
  <c r="D30" i="23" a="1"/>
  <c r="D30" i="23" s="1"/>
  <c r="D31" i="23" a="1"/>
  <c r="D31" i="23" s="1"/>
  <c r="F31" i="23" s="1"/>
  <c r="G31" i="23" s="1"/>
  <c r="I31" i="23" s="1"/>
  <c r="D26" i="23" a="1"/>
  <c r="D26" i="23" s="1"/>
  <c r="F26" i="23" s="1"/>
  <c r="C13" i="20" s="1"/>
  <c r="D33" i="23" a="1"/>
  <c r="D33" i="23" s="1"/>
  <c r="D35" i="23" a="1"/>
  <c r="D35" i="23" s="1"/>
  <c r="F35" i="23" s="1"/>
  <c r="G35" i="23" s="1"/>
  <c r="I35" i="23" s="1"/>
  <c r="D27" i="23" a="1"/>
  <c r="D27" i="23" s="1"/>
  <c r="F27" i="23" s="1"/>
  <c r="C14" i="20" s="1"/>
  <c r="D24" i="23" a="1"/>
  <c r="D24" i="23" s="1"/>
  <c r="F24" i="23" s="1"/>
  <c r="C11" i="20" s="1"/>
  <c r="D28" i="23" a="1"/>
  <c r="D28" i="23" s="1"/>
  <c r="D29" i="23" a="1"/>
  <c r="D29" i="23" s="1"/>
  <c r="F29" i="23" s="1"/>
  <c r="G29" i="23" s="1"/>
  <c r="I29" i="23" s="1"/>
  <c r="G33" i="19"/>
  <c r="H33" i="19" s="1"/>
  <c r="I33" i="19" s="1"/>
  <c r="D11" i="23" a="1"/>
  <c r="D11" i="23" s="1"/>
  <c r="F11" i="23" s="1"/>
  <c r="C22" i="20" s="1"/>
  <c r="D14" i="23" a="1"/>
  <c r="D14" i="23" s="1"/>
  <c r="F14" i="23" s="1"/>
  <c r="G14" i="23" s="1"/>
  <c r="H14" i="23" s="1"/>
  <c r="I14" i="23" s="1"/>
  <c r="D8" i="23" a="1"/>
  <c r="D8" i="23" s="1"/>
  <c r="F8" i="23" s="1"/>
  <c r="C19" i="20" s="1"/>
  <c r="D20" i="23" a="1"/>
  <c r="D20" i="23" s="1"/>
  <c r="D15" i="23" a="1"/>
  <c r="D15" i="23" s="1"/>
  <c r="F15" i="23" s="1"/>
  <c r="G15" i="23" s="1"/>
  <c r="H15" i="23" s="1"/>
  <c r="I15" i="23" s="1"/>
  <c r="D10" i="23" a="1"/>
  <c r="D10" i="23" s="1"/>
  <c r="F10" i="23" s="1"/>
  <c r="C21" i="20" s="1"/>
  <c r="D21" i="23" a="1"/>
  <c r="D21" i="23" s="1"/>
  <c r="G12" i="23"/>
  <c r="H12" i="23" s="1"/>
  <c r="I12" i="23" s="1"/>
  <c r="F71" i="19"/>
  <c r="F36" i="19"/>
  <c r="G98" i="19"/>
  <c r="F103" i="19"/>
  <c r="G82" i="19"/>
  <c r="F87" i="19"/>
  <c r="F76" i="19"/>
  <c r="F77" i="19" s="1"/>
  <c r="G68" i="19"/>
  <c r="G67" i="19" s="1"/>
  <c r="G69" i="19" s="1"/>
  <c r="G70" i="19" s="1"/>
  <c r="F93" i="19"/>
  <c r="F94" i="19" s="1"/>
  <c r="F60" i="19"/>
  <c r="E18" i="32"/>
  <c r="G114" i="13"/>
  <c r="F9" i="15"/>
  <c r="E45" i="7"/>
  <c r="G90" i="7"/>
  <c r="F95" i="7"/>
  <c r="G66" i="7"/>
  <c r="F71" i="7"/>
  <c r="G98" i="7"/>
  <c r="F103" i="7"/>
  <c r="G82" i="7"/>
  <c r="F87" i="7"/>
  <c r="F61" i="7"/>
  <c r="F62" i="7" s="1"/>
  <c r="D23" i="23" s="1" a="1"/>
  <c r="D23" i="23" s="1"/>
  <c r="F23" i="23" s="1"/>
  <c r="C10" i="20" s="1"/>
  <c r="F76" i="7"/>
  <c r="F77" i="7" s="1"/>
  <c r="F78" i="7" s="1"/>
  <c r="F52" i="7"/>
  <c r="E115" i="32"/>
  <c r="H117" i="13"/>
  <c r="G17" i="15"/>
  <c r="G8" i="15" s="1"/>
  <c r="G18" i="15" s="1"/>
  <c r="G8" i="16"/>
  <c r="G17" i="16" s="1"/>
  <c r="H119" i="13"/>
  <c r="G36" i="15"/>
  <c r="G19" i="16"/>
  <c r="H3" i="32"/>
  <c r="H22" i="15"/>
  <c r="D23" i="15"/>
  <c r="D34" i="15" s="1"/>
  <c r="G12" i="15"/>
  <c r="G31" i="15" s="1"/>
  <c r="G35" i="15" s="1"/>
  <c r="D10" i="9"/>
  <c r="I19" i="13"/>
  <c r="I6" i="32"/>
  <c r="I43" i="32" s="1"/>
  <c r="E25" i="25"/>
  <c r="E26" i="25" s="1"/>
  <c r="E28" i="25" s="1"/>
  <c r="H12" i="6"/>
  <c r="H19" i="6"/>
  <c r="H25" i="6"/>
  <c r="I11" i="13"/>
  <c r="H107" i="6"/>
  <c r="D41" i="24"/>
  <c r="D21" i="32" s="1"/>
  <c r="I106" i="13"/>
  <c r="I8" i="13"/>
  <c r="H11" i="6"/>
  <c r="F12" i="10"/>
  <c r="F34" i="10" s="1"/>
  <c r="F23" i="25"/>
  <c r="I24" i="13"/>
  <c r="H26" i="6"/>
  <c r="H9" i="6"/>
  <c r="G32" i="10"/>
  <c r="H53" i="6"/>
  <c r="G36" i="9"/>
  <c r="G17" i="9"/>
  <c r="G13" i="9"/>
  <c r="H22" i="9"/>
  <c r="G25" i="9"/>
  <c r="G19" i="9"/>
  <c r="H16" i="9"/>
  <c r="F27" i="9"/>
  <c r="F8" i="9"/>
  <c r="F18" i="9" s="1"/>
  <c r="H20" i="6"/>
  <c r="H10" i="6"/>
  <c r="G35" i="10"/>
  <c r="H31" i="10"/>
  <c r="H16" i="10"/>
  <c r="G8" i="10"/>
  <c r="G17" i="10" s="1"/>
  <c r="G19" i="10"/>
  <c r="H56" i="6"/>
  <c r="G13" i="10" s="1"/>
  <c r="G20" i="10" s="1"/>
  <c r="I132" i="6"/>
  <c r="I101" i="6"/>
  <c r="H29" i="10" s="1"/>
  <c r="I93" i="6"/>
  <c r="I100" i="6"/>
  <c r="I78" i="6"/>
  <c r="I38" i="6"/>
  <c r="I52" i="6"/>
  <c r="I45" i="6"/>
  <c r="I39" i="6"/>
  <c r="I139" i="6"/>
  <c r="I95" i="6"/>
  <c r="I85" i="6"/>
  <c r="I79" i="6"/>
  <c r="I75" i="6"/>
  <c r="I89" i="6"/>
  <c r="I47" i="6"/>
  <c r="I18" i="6"/>
  <c r="I121" i="6"/>
  <c r="I82" i="6"/>
  <c r="I128" i="6"/>
  <c r="I68" i="6"/>
  <c r="I114" i="6"/>
  <c r="I77" i="6"/>
  <c r="I16" i="6"/>
  <c r="I50" i="6"/>
  <c r="I143" i="6"/>
  <c r="I76" i="6"/>
  <c r="I134" i="6"/>
  <c r="H24" i="10" s="1"/>
  <c r="H33" i="10" s="1"/>
  <c r="I83" i="6"/>
  <c r="I103" i="6"/>
  <c r="I69" i="6"/>
  <c r="I80" i="6"/>
  <c r="I44" i="6"/>
  <c r="I137" i="6"/>
  <c r="I70" i="6"/>
  <c r="I130" i="6"/>
  <c r="I49" i="6"/>
  <c r="I67" i="6"/>
  <c r="I58" i="6"/>
  <c r="J33" i="6"/>
  <c r="I124" i="6"/>
  <c r="I140" i="6"/>
  <c r="I65" i="6"/>
  <c r="I102" i="6"/>
  <c r="I43" i="6"/>
  <c r="I141" i="6" a="1"/>
  <c r="I141" i="6" s="1"/>
  <c r="I57" i="6"/>
  <c r="I17" i="6"/>
  <c r="I73" i="6"/>
  <c r="I131" i="6"/>
  <c r="I119" i="6"/>
  <c r="I96" i="6"/>
  <c r="I42" i="6"/>
  <c r="I126" i="6"/>
  <c r="I37" i="6"/>
  <c r="I98" i="6"/>
  <c r="H26" i="10" s="1"/>
  <c r="I40" i="6"/>
  <c r="I144" i="6"/>
  <c r="I87" i="6"/>
  <c r="I142" i="6"/>
  <c r="I35" i="6"/>
  <c r="I8" i="6" s="1"/>
  <c r="I125" i="6"/>
  <c r="I74" i="6"/>
  <c r="I72" i="6"/>
  <c r="I66" i="6"/>
  <c r="I138" i="6"/>
  <c r="I105" i="6"/>
  <c r="I127" i="6"/>
  <c r="I123" i="6"/>
  <c r="I84" i="6"/>
  <c r="I59" i="6"/>
  <c r="H9" i="10" s="1"/>
  <c r="H23" i="10" s="1"/>
  <c r="I55" i="6"/>
  <c r="I94" i="6"/>
  <c r="I133" i="6"/>
  <c r="I108" i="6"/>
  <c r="H18" i="10" s="1"/>
  <c r="I99" i="6"/>
  <c r="H27" i="10" s="1"/>
  <c r="I136" i="6"/>
  <c r="I86" i="6"/>
  <c r="I92" i="6"/>
  <c r="I48" i="6"/>
  <c r="I13" i="6" s="1"/>
  <c r="I51" i="6"/>
  <c r="I91" i="6"/>
  <c r="H22" i="6"/>
  <c r="H21" i="6"/>
  <c r="G32" i="9"/>
  <c r="G12" i="9" s="1"/>
  <c r="G31" i="9" s="1"/>
  <c r="G35" i="9" s="1"/>
  <c r="H30" i="9"/>
  <c r="G12" i="16"/>
  <c r="G34" i="16" s="1"/>
  <c r="H118" i="6"/>
  <c r="F35" i="9"/>
  <c r="F9" i="9"/>
  <c r="I18" i="13"/>
  <c r="F21" i="10"/>
  <c r="H18" i="23"/>
  <c r="I18" i="23" s="1"/>
  <c r="F11" i="24"/>
  <c r="F10" i="24"/>
  <c r="G4" i="24"/>
  <c r="F8" i="24"/>
  <c r="F9" i="24"/>
  <c r="F7" i="24"/>
  <c r="F36" i="24"/>
  <c r="F109" i="32"/>
  <c r="F116" i="32"/>
  <c r="F99" i="32"/>
  <c r="F120" i="32"/>
  <c r="F110" i="32"/>
  <c r="F111" i="32"/>
  <c r="F103" i="32"/>
  <c r="I9" i="13"/>
  <c r="I10" i="13"/>
  <c r="E23" i="15"/>
  <c r="E10" i="15"/>
  <c r="G22" i="25"/>
  <c r="G24" i="25"/>
  <c r="G19" i="32" s="1"/>
  <c r="G21" i="25"/>
  <c r="G27" i="15"/>
  <c r="G20" i="16"/>
  <c r="I119" i="13"/>
  <c r="I12" i="13"/>
  <c r="H19" i="16"/>
  <c r="I55" i="13"/>
  <c r="H13" i="16" s="1"/>
  <c r="J140" i="13"/>
  <c r="J123" i="13"/>
  <c r="J88" i="13"/>
  <c r="J54" i="13"/>
  <c r="J131" i="13"/>
  <c r="J137" i="13"/>
  <c r="J101" i="13"/>
  <c r="J93" i="13"/>
  <c r="J81" i="13"/>
  <c r="J71" i="13"/>
  <c r="J46" i="13"/>
  <c r="J38" i="13"/>
  <c r="J17" i="13"/>
  <c r="J142" i="13"/>
  <c r="J136" i="13"/>
  <c r="J126" i="13"/>
  <c r="J104" i="13"/>
  <c r="J83" i="13"/>
  <c r="J73" i="13"/>
  <c r="J130" i="13"/>
  <c r="J127" i="13"/>
  <c r="J98" i="13"/>
  <c r="I27" i="16" s="1"/>
  <c r="J144" i="13"/>
  <c r="J134" i="13"/>
  <c r="J128" i="13"/>
  <c r="J121" i="13"/>
  <c r="J102" i="13"/>
  <c r="J92" i="13"/>
  <c r="J94" i="13"/>
  <c r="J90" i="13"/>
  <c r="J77" i="13"/>
  <c r="J50" i="13"/>
  <c r="J39" i="13"/>
  <c r="J37" i="13"/>
  <c r="J132" i="13"/>
  <c r="J107" i="13"/>
  <c r="I18" i="16" s="1"/>
  <c r="J78" i="13"/>
  <c r="J69" i="13"/>
  <c r="J49" i="13"/>
  <c r="J68" i="13"/>
  <c r="J143" i="13"/>
  <c r="J138" i="13"/>
  <c r="J118" i="13"/>
  <c r="J85" i="13"/>
  <c r="J74" i="13"/>
  <c r="J141" i="13" a="1"/>
  <c r="J141" i="13" s="1"/>
  <c r="J113" i="13"/>
  <c r="J99" i="13"/>
  <c r="J86" i="13"/>
  <c r="J133" i="13"/>
  <c r="I24" i="16" s="1"/>
  <c r="I33" i="16" s="1"/>
  <c r="J100" i="13"/>
  <c r="I29" i="16" s="1"/>
  <c r="J66" i="13"/>
  <c r="J41" i="13"/>
  <c r="J51" i="13"/>
  <c r="J34" i="13"/>
  <c r="J7" i="13" s="1"/>
  <c r="K32" i="13"/>
  <c r="J91" i="13"/>
  <c r="J56" i="13"/>
  <c r="J95" i="13"/>
  <c r="J72" i="13"/>
  <c r="J48" i="13"/>
  <c r="J76" i="13"/>
  <c r="J64" i="13"/>
  <c r="J84" i="13"/>
  <c r="J67" i="13"/>
  <c r="J57" i="13"/>
  <c r="J124" i="13"/>
  <c r="J75" i="13"/>
  <c r="J43" i="13"/>
  <c r="J15" i="13"/>
  <c r="J16" i="13"/>
  <c r="J58" i="13"/>
  <c r="I9" i="16" s="1"/>
  <c r="I23" i="16" s="1"/>
  <c r="J47" i="13"/>
  <c r="J97" i="13"/>
  <c r="I26" i="16" s="1"/>
  <c r="J139" i="13"/>
  <c r="J125" i="13"/>
  <c r="J82" i="13"/>
  <c r="J65" i="13"/>
  <c r="J44" i="13"/>
  <c r="J79" i="13"/>
  <c r="J36" i="13"/>
  <c r="J42" i="13"/>
  <c r="H8" i="16"/>
  <c r="H17" i="16" s="1"/>
  <c r="I16" i="16"/>
  <c r="H13" i="15"/>
  <c r="H17" i="15"/>
  <c r="H19" i="25"/>
  <c r="I4" i="25"/>
  <c r="H8" i="25"/>
  <c r="G71" i="23"/>
  <c r="G25" i="32" s="1"/>
  <c r="H32" i="16"/>
  <c r="I52" i="13"/>
  <c r="H36" i="15"/>
  <c r="G1" i="32"/>
  <c r="G46" i="32"/>
  <c r="G95" i="32"/>
  <c r="I31" i="16"/>
  <c r="H35" i="16"/>
  <c r="I117" i="13"/>
  <c r="H38" i="16"/>
  <c r="I5" i="16"/>
  <c r="H37" i="16"/>
  <c r="H11" i="16" s="1"/>
  <c r="D26" i="25"/>
  <c r="D28" i="25" s="1"/>
  <c r="H32" i="15"/>
  <c r="H12" i="15" s="1"/>
  <c r="H31" i="15" s="1"/>
  <c r="H35" i="15" s="1"/>
  <c r="I30" i="15"/>
  <c r="I25" i="13"/>
  <c r="I16" i="15"/>
  <c r="H19" i="15"/>
  <c r="H13" i="23"/>
  <c r="I13" i="23" s="1"/>
  <c r="H38" i="10"/>
  <c r="I5" i="10"/>
  <c r="H37" i="10"/>
  <c r="H11" i="10" s="1"/>
  <c r="H17" i="23"/>
  <c r="I17" i="23" s="1"/>
  <c r="H18" i="24"/>
  <c r="J17" i="21"/>
  <c r="E39" i="24"/>
  <c r="E40" i="24"/>
  <c r="E38" i="24"/>
  <c r="E20" i="32" s="1"/>
  <c r="E34" i="9"/>
  <c r="E11" i="9"/>
  <c r="E24" i="9" s="1"/>
  <c r="I20" i="13"/>
  <c r="E25" i="24"/>
  <c r="E26" i="24" s="1"/>
  <c r="E30" i="24" s="1"/>
  <c r="K10" i="21"/>
  <c r="K12" i="21"/>
  <c r="D34" i="9"/>
  <c r="D11" i="9"/>
  <c r="D24" i="9" s="1"/>
  <c r="I22" i="15"/>
  <c r="H25" i="15"/>
  <c r="I21" i="13"/>
  <c r="I92" i="32" l="1"/>
  <c r="G24" i="23"/>
  <c r="I24" i="23" s="1"/>
  <c r="G27" i="23"/>
  <c r="I27" i="23" s="1"/>
  <c r="G26" i="23"/>
  <c r="I26" i="23" s="1"/>
  <c r="G74" i="7"/>
  <c r="G76" i="7" s="1"/>
  <c r="G77" i="7" s="1"/>
  <c r="G78" i="7" s="1"/>
  <c r="D25" i="23" a="1"/>
  <c r="D25" i="23" s="1"/>
  <c r="F28" i="23"/>
  <c r="C15" i="20" s="1"/>
  <c r="F33" i="23"/>
  <c r="G33" i="23" s="1"/>
  <c r="I33" i="23" s="1"/>
  <c r="G10" i="23"/>
  <c r="H10" i="23" s="1"/>
  <c r="I10" i="23" s="1"/>
  <c r="G11" i="23"/>
  <c r="H11" i="23" s="1"/>
  <c r="I11" i="23" s="1"/>
  <c r="G23" i="23"/>
  <c r="I23" i="23" s="1"/>
  <c r="G8" i="23"/>
  <c r="H8" i="23" s="1"/>
  <c r="I8" i="23" s="1"/>
  <c r="F30" i="23"/>
  <c r="G30" i="23" s="1"/>
  <c r="I30" i="23" s="1"/>
  <c r="F61" i="19"/>
  <c r="F62" i="19" s="1"/>
  <c r="D7" i="23" s="1" a="1"/>
  <c r="D7" i="23" s="1"/>
  <c r="F78" i="19"/>
  <c r="G90" i="19"/>
  <c r="F95" i="19"/>
  <c r="H66" i="19"/>
  <c r="G71" i="19"/>
  <c r="G84" i="19"/>
  <c r="G85" i="19" s="1"/>
  <c r="G100" i="19"/>
  <c r="G101" i="19" s="1"/>
  <c r="F18" i="32"/>
  <c r="H9" i="15"/>
  <c r="H114" i="13"/>
  <c r="G9" i="15"/>
  <c r="F23" i="15"/>
  <c r="F34" i="15" s="1"/>
  <c r="F44" i="7"/>
  <c r="G84" i="7"/>
  <c r="G85" i="7" s="1"/>
  <c r="F53" i="7"/>
  <c r="F54" i="7" s="1"/>
  <c r="G100" i="7"/>
  <c r="F79" i="7"/>
  <c r="G68" i="7"/>
  <c r="G69" i="7" s="1"/>
  <c r="G70" i="7" s="1"/>
  <c r="H66" i="7" s="1"/>
  <c r="G58" i="7"/>
  <c r="F37" i="7"/>
  <c r="F63" i="7"/>
  <c r="G92" i="7"/>
  <c r="G93" i="7" s="1"/>
  <c r="G94" i="7" s="1"/>
  <c r="H90" i="7" s="1"/>
  <c r="G21" i="16"/>
  <c r="I3" i="32"/>
  <c r="D11" i="15"/>
  <c r="D24" i="15" s="1"/>
  <c r="F10" i="15"/>
  <c r="D42" i="24"/>
  <c r="F25" i="25"/>
  <c r="F26" i="25" s="1"/>
  <c r="F28" i="25" s="1"/>
  <c r="J18" i="13"/>
  <c r="I22" i="6"/>
  <c r="G21" i="10"/>
  <c r="H36" i="9"/>
  <c r="I115" i="6" s="1"/>
  <c r="J11" i="13"/>
  <c r="J9" i="13"/>
  <c r="J24" i="13"/>
  <c r="J19" i="13"/>
  <c r="J21" i="13"/>
  <c r="J8" i="13"/>
  <c r="I36" i="15"/>
  <c r="G12" i="10"/>
  <c r="G34" i="10" s="1"/>
  <c r="I16" i="10"/>
  <c r="H8" i="10"/>
  <c r="H17" i="10" s="1"/>
  <c r="I118" i="6"/>
  <c r="I12" i="6"/>
  <c r="I25" i="6"/>
  <c r="I16" i="9"/>
  <c r="H19" i="9"/>
  <c r="I31" i="10"/>
  <c r="H35" i="10"/>
  <c r="I26" i="6"/>
  <c r="F10" i="9"/>
  <c r="F23" i="9"/>
  <c r="I20" i="6"/>
  <c r="I19" i="6"/>
  <c r="G9" i="9"/>
  <c r="H115" i="6"/>
  <c r="J136" i="6"/>
  <c r="J105" i="6"/>
  <c r="J49" i="6"/>
  <c r="J103" i="6"/>
  <c r="J132" i="6"/>
  <c r="J52" i="6"/>
  <c r="J55" i="6"/>
  <c r="J86" i="6"/>
  <c r="J128" i="6"/>
  <c r="J99" i="6"/>
  <c r="I27" i="10" s="1"/>
  <c r="J43" i="6"/>
  <c r="J82" i="6"/>
  <c r="J100" i="6"/>
  <c r="J47" i="6"/>
  <c r="J51" i="6"/>
  <c r="J38" i="6"/>
  <c r="J127" i="6"/>
  <c r="J93" i="6"/>
  <c r="J42" i="6"/>
  <c r="J67" i="6"/>
  <c r="J76" i="6"/>
  <c r="J16" i="6"/>
  <c r="J45" i="6"/>
  <c r="J124" i="6"/>
  <c r="J126" i="6"/>
  <c r="J85" i="6"/>
  <c r="J35" i="6"/>
  <c r="J8" i="6" s="1"/>
  <c r="J57" i="6"/>
  <c r="J131" i="6"/>
  <c r="J80" i="6"/>
  <c r="J18" i="6"/>
  <c r="J39" i="6"/>
  <c r="J139" i="6"/>
  <c r="J142" i="6"/>
  <c r="J79" i="6"/>
  <c r="J137" i="6"/>
  <c r="J50" i="6"/>
  <c r="J68" i="6"/>
  <c r="K33" i="6"/>
  <c r="J75" i="6"/>
  <c r="J96" i="6"/>
  <c r="J130" i="6"/>
  <c r="J140" i="6"/>
  <c r="J91" i="6"/>
  <c r="J108" i="6"/>
  <c r="I18" i="10" s="1"/>
  <c r="J44" i="6"/>
  <c r="J58" i="6"/>
  <c r="J17" i="6"/>
  <c r="J125" i="6"/>
  <c r="J84" i="6"/>
  <c r="J134" i="6"/>
  <c r="I24" i="10" s="1"/>
  <c r="I33" i="10" s="1"/>
  <c r="J133" i="6"/>
  <c r="J143" i="6"/>
  <c r="J70" i="6"/>
  <c r="J37" i="6"/>
  <c r="J101" i="6"/>
  <c r="I29" i="10" s="1"/>
  <c r="J98" i="6"/>
  <c r="I26" i="10" s="1"/>
  <c r="J78" i="6"/>
  <c r="J144" i="6"/>
  <c r="J119" i="6"/>
  <c r="J102" i="6"/>
  <c r="J73" i="6"/>
  <c r="J94" i="6"/>
  <c r="J74" i="6"/>
  <c r="J95" i="6"/>
  <c r="J66" i="6"/>
  <c r="J138" i="6"/>
  <c r="J87" i="6"/>
  <c r="J89" i="6"/>
  <c r="J59" i="6"/>
  <c r="I9" i="10" s="1"/>
  <c r="I23" i="10" s="1"/>
  <c r="J77" i="6"/>
  <c r="J48" i="6"/>
  <c r="J13" i="6" s="1"/>
  <c r="J72" i="6"/>
  <c r="J40" i="6"/>
  <c r="J141" i="6" a="1"/>
  <c r="J141" i="6" s="1"/>
  <c r="J121" i="6"/>
  <c r="J83" i="6"/>
  <c r="J114" i="6"/>
  <c r="J69" i="6"/>
  <c r="J123" i="6"/>
  <c r="J65" i="6"/>
  <c r="J92" i="6"/>
  <c r="J25" i="13"/>
  <c r="H17" i="9"/>
  <c r="H13" i="9"/>
  <c r="H25" i="9"/>
  <c r="I22" i="9"/>
  <c r="I21" i="6"/>
  <c r="I10" i="6"/>
  <c r="G27" i="9"/>
  <c r="G8" i="9"/>
  <c r="G18" i="9" s="1"/>
  <c r="F25" i="24"/>
  <c r="F26" i="24" s="1"/>
  <c r="F30" i="24" s="1"/>
  <c r="I107" i="6"/>
  <c r="I11" i="6"/>
  <c r="H19" i="10"/>
  <c r="I56" i="6"/>
  <c r="H13" i="10" s="1"/>
  <c r="H20" i="10" s="1"/>
  <c r="I30" i="9"/>
  <c r="H32" i="9"/>
  <c r="H12" i="9" s="1"/>
  <c r="H31" i="9" s="1"/>
  <c r="H32" i="10"/>
  <c r="I53" i="6"/>
  <c r="G23" i="25"/>
  <c r="D12" i="31" s="1"/>
  <c r="I9" i="6"/>
  <c r="H71" i="23"/>
  <c r="H25" i="32" s="1"/>
  <c r="I8" i="25"/>
  <c r="I19" i="25"/>
  <c r="J52" i="13"/>
  <c r="I32" i="16"/>
  <c r="H46" i="32"/>
  <c r="H95" i="32"/>
  <c r="H1" i="32"/>
  <c r="H21" i="25"/>
  <c r="H22" i="25"/>
  <c r="H24" i="25"/>
  <c r="H19" i="32" s="1"/>
  <c r="J119" i="13"/>
  <c r="J12" i="13"/>
  <c r="J10" i="13"/>
  <c r="I114" i="13"/>
  <c r="I17" i="15"/>
  <c r="I13" i="15"/>
  <c r="H20" i="16"/>
  <c r="H21" i="16" s="1"/>
  <c r="I25" i="15"/>
  <c r="J22" i="15"/>
  <c r="J16" i="15"/>
  <c r="I19" i="15"/>
  <c r="F40" i="24"/>
  <c r="F39" i="24"/>
  <c r="F38" i="24"/>
  <c r="F20" i="32" s="1"/>
  <c r="H12" i="16"/>
  <c r="H34" i="16" s="1"/>
  <c r="G103" i="32"/>
  <c r="G120" i="32"/>
  <c r="G99" i="32"/>
  <c r="G110" i="32"/>
  <c r="G116" i="32"/>
  <c r="G109" i="32"/>
  <c r="G111" i="32"/>
  <c r="E34" i="15"/>
  <c r="E11" i="15"/>
  <c r="E24" i="15" s="1"/>
  <c r="I18" i="24"/>
  <c r="K17" i="21"/>
  <c r="E41" i="24"/>
  <c r="E21" i="32" s="1"/>
  <c r="G68" i="32"/>
  <c r="G74" i="32"/>
  <c r="J117" i="13"/>
  <c r="J30" i="15"/>
  <c r="I32" i="15"/>
  <c r="I12" i="15" s="1"/>
  <c r="I31" i="15" s="1"/>
  <c r="I19" i="16"/>
  <c r="J55" i="13"/>
  <c r="I13" i="16" s="1"/>
  <c r="I20" i="16" s="1"/>
  <c r="J31" i="16"/>
  <c r="I35" i="16"/>
  <c r="H8" i="15"/>
  <c r="H18" i="15" s="1"/>
  <c r="H27" i="15"/>
  <c r="I37" i="16"/>
  <c r="I11" i="16" s="1"/>
  <c r="J5" i="16"/>
  <c r="I38" i="16"/>
  <c r="J20" i="13"/>
  <c r="J106" i="13"/>
  <c r="J5" i="10"/>
  <c r="I37" i="10"/>
  <c r="I11" i="10" s="1"/>
  <c r="I38" i="10"/>
  <c r="K131" i="13"/>
  <c r="K99" i="13"/>
  <c r="K93" i="13"/>
  <c r="K79" i="13"/>
  <c r="K74" i="13"/>
  <c r="K68" i="13"/>
  <c r="K144" i="13"/>
  <c r="K141" i="13" a="1"/>
  <c r="K141" i="13" s="1"/>
  <c r="K138" i="13"/>
  <c r="K142" i="13"/>
  <c r="K136" i="13"/>
  <c r="K126" i="13"/>
  <c r="K104" i="13"/>
  <c r="K83" i="13"/>
  <c r="K73" i="13"/>
  <c r="K15" i="13"/>
  <c r="K140" i="13"/>
  <c r="K107" i="13"/>
  <c r="J18" i="16" s="1"/>
  <c r="K95" i="13"/>
  <c r="K85" i="13"/>
  <c r="K75" i="13"/>
  <c r="K65" i="13"/>
  <c r="K54" i="13"/>
  <c r="K139" i="13"/>
  <c r="K100" i="13"/>
  <c r="J29" i="16" s="1"/>
  <c r="K132" i="13"/>
  <c r="K125" i="13"/>
  <c r="K113" i="13"/>
  <c r="K94" i="13"/>
  <c r="K82" i="13"/>
  <c r="K78" i="13"/>
  <c r="K71" i="13"/>
  <c r="K69" i="13"/>
  <c r="K49" i="13"/>
  <c r="K97" i="13"/>
  <c r="J26" i="16" s="1"/>
  <c r="K76" i="13"/>
  <c r="K58" i="13"/>
  <c r="J9" i="16" s="1"/>
  <c r="J23" i="16" s="1"/>
  <c r="K43" i="13"/>
  <c r="K143" i="13"/>
  <c r="K137" i="13"/>
  <c r="K118" i="13"/>
  <c r="K98" i="13"/>
  <c r="J27" i="16" s="1"/>
  <c r="K67" i="13"/>
  <c r="K57" i="13"/>
  <c r="K88" i="13"/>
  <c r="K86" i="13"/>
  <c r="K133" i="13"/>
  <c r="J24" i="16" s="1"/>
  <c r="J33" i="16" s="1"/>
  <c r="K123" i="13"/>
  <c r="K66" i="13"/>
  <c r="K128" i="13"/>
  <c r="K124" i="13"/>
  <c r="K102" i="13"/>
  <c r="K84" i="13"/>
  <c r="K72" i="13"/>
  <c r="K51" i="13"/>
  <c r="K42" i="13"/>
  <c r="K90" i="13"/>
  <c r="K101" i="13"/>
  <c r="K91" i="13"/>
  <c r="K56" i="13"/>
  <c r="K17" i="13"/>
  <c r="K48" i="13"/>
  <c r="K81" i="13"/>
  <c r="K64" i="13"/>
  <c r="K41" i="13"/>
  <c r="K134" i="13"/>
  <c r="K127" i="13"/>
  <c r="K47" i="13"/>
  <c r="K16" i="13"/>
  <c r="K130" i="13"/>
  <c r="K77" i="13"/>
  <c r="K46" i="13"/>
  <c r="L32" i="13"/>
  <c r="K37" i="13"/>
  <c r="K92" i="13"/>
  <c r="K38" i="13"/>
  <c r="K121" i="13"/>
  <c r="K39" i="13"/>
  <c r="K44" i="13"/>
  <c r="K36" i="13"/>
  <c r="K34" i="13"/>
  <c r="K7" i="13" s="1"/>
  <c r="K50" i="13"/>
  <c r="J16" i="16"/>
  <c r="I8" i="16"/>
  <c r="I17" i="16" s="1"/>
  <c r="G10" i="24"/>
  <c r="H4" i="24"/>
  <c r="G9" i="24"/>
  <c r="G8" i="24"/>
  <c r="G7" i="24"/>
  <c r="G36" i="24"/>
  <c r="G11" i="24"/>
  <c r="G28" i="23" l="1"/>
  <c r="I28" i="23" s="1"/>
  <c r="G74" i="19"/>
  <c r="G76" i="19" s="1"/>
  <c r="D9" i="23" a="1"/>
  <c r="D9" i="23" s="1"/>
  <c r="F7" i="23"/>
  <c r="C18" i="20" s="1"/>
  <c r="F25" i="23"/>
  <c r="C12" i="20" s="1"/>
  <c r="F79" i="19"/>
  <c r="F43" i="19"/>
  <c r="P131" i="13" s="1"/>
  <c r="G58" i="19"/>
  <c r="F63" i="19"/>
  <c r="G102" i="19"/>
  <c r="H98" i="19" s="1"/>
  <c r="H100" i="19" s="1"/>
  <c r="G86" i="19"/>
  <c r="H82" i="19" s="1"/>
  <c r="H68" i="19"/>
  <c r="G92" i="19"/>
  <c r="G93" i="19" s="1"/>
  <c r="G94" i="19" s="1"/>
  <c r="F11" i="15"/>
  <c r="F24" i="15" s="1"/>
  <c r="J114" i="13"/>
  <c r="I9" i="15"/>
  <c r="G10" i="15"/>
  <c r="G101" i="7"/>
  <c r="G102" i="7" s="1"/>
  <c r="G86" i="7"/>
  <c r="H82" i="7" s="1"/>
  <c r="H74" i="7"/>
  <c r="G79" i="7"/>
  <c r="F38" i="7"/>
  <c r="F40" i="7" s="1"/>
  <c r="G50" i="7"/>
  <c r="F55" i="7"/>
  <c r="F45" i="7" s="1"/>
  <c r="G71" i="7"/>
  <c r="H68" i="7"/>
  <c r="G95" i="7"/>
  <c r="H92" i="7"/>
  <c r="H93" i="7" s="1"/>
  <c r="H94" i="7" s="1"/>
  <c r="F43" i="7"/>
  <c r="G60" i="7"/>
  <c r="G59" i="7" s="1"/>
  <c r="G61" i="7" s="1"/>
  <c r="G62" i="7" s="1"/>
  <c r="P131" i="6"/>
  <c r="J21" i="6"/>
  <c r="G23" i="15"/>
  <c r="G11" i="15" s="1"/>
  <c r="G24" i="15" s="1"/>
  <c r="G18" i="32"/>
  <c r="J10" i="6"/>
  <c r="J12" i="6"/>
  <c r="J20" i="6"/>
  <c r="J25" i="6"/>
  <c r="J19" i="6"/>
  <c r="I12" i="16"/>
  <c r="I34" i="16" s="1"/>
  <c r="J11" i="6"/>
  <c r="H21" i="10"/>
  <c r="J22" i="6"/>
  <c r="J9" i="6"/>
  <c r="I21" i="16"/>
  <c r="K10" i="13"/>
  <c r="K9" i="13"/>
  <c r="K11" i="13"/>
  <c r="K19" i="13"/>
  <c r="K8" i="13"/>
  <c r="K18" i="13"/>
  <c r="K25" i="13"/>
  <c r="K20" i="13"/>
  <c r="K21" i="13"/>
  <c r="H23" i="25"/>
  <c r="I12" i="31" s="1"/>
  <c r="H35" i="9"/>
  <c r="H9" i="9"/>
  <c r="J36" i="15"/>
  <c r="E42" i="24"/>
  <c r="I25" i="9"/>
  <c r="J22" i="9"/>
  <c r="J107" i="6"/>
  <c r="H12" i="10"/>
  <c r="H34" i="10" s="1"/>
  <c r="I32" i="9"/>
  <c r="I12" i="9" s="1"/>
  <c r="I31" i="9" s="1"/>
  <c r="I35" i="9" s="1"/>
  <c r="J30" i="9"/>
  <c r="I17" i="9"/>
  <c r="I13" i="9"/>
  <c r="H27" i="9"/>
  <c r="H8" i="9"/>
  <c r="H18" i="9" s="1"/>
  <c r="G25" i="25"/>
  <c r="G26" i="25" s="1"/>
  <c r="G28" i="25" s="1"/>
  <c r="K136" i="6"/>
  <c r="K79" i="6"/>
  <c r="K94" i="6"/>
  <c r="K101" i="6"/>
  <c r="J29" i="10" s="1"/>
  <c r="L33" i="6"/>
  <c r="K114" i="6"/>
  <c r="K50" i="6"/>
  <c r="K38" i="6"/>
  <c r="K142" i="6"/>
  <c r="K102" i="6"/>
  <c r="K73" i="6"/>
  <c r="K75" i="6"/>
  <c r="K80" i="6"/>
  <c r="K95" i="6"/>
  <c r="K130" i="6"/>
  <c r="K128" i="6"/>
  <c r="K74" i="6"/>
  <c r="K133" i="6"/>
  <c r="K89" i="6"/>
  <c r="K18" i="6"/>
  <c r="K16" i="6"/>
  <c r="K44" i="6"/>
  <c r="K82" i="6"/>
  <c r="K143" i="6"/>
  <c r="K127" i="6"/>
  <c r="K68" i="6"/>
  <c r="K108" i="6"/>
  <c r="J18" i="10" s="1"/>
  <c r="K86" i="6"/>
  <c r="K124" i="6"/>
  <c r="K17" i="6"/>
  <c r="K42" i="6"/>
  <c r="K67" i="6"/>
  <c r="K137" i="6"/>
  <c r="K126" i="6"/>
  <c r="K91" i="6"/>
  <c r="K70" i="6"/>
  <c r="K78" i="6"/>
  <c r="K92" i="6"/>
  <c r="K98" i="6"/>
  <c r="J26" i="10" s="1"/>
  <c r="K40" i="6"/>
  <c r="K125" i="6"/>
  <c r="K84" i="6"/>
  <c r="K119" i="6"/>
  <c r="K121" i="6"/>
  <c r="K96" i="6"/>
  <c r="K59" i="6"/>
  <c r="J9" i="10" s="1"/>
  <c r="J23" i="10" s="1"/>
  <c r="K65" i="6"/>
  <c r="K72" i="6"/>
  <c r="K55" i="6"/>
  <c r="K103" i="6"/>
  <c r="K140" i="6"/>
  <c r="K134" i="6"/>
  <c r="J24" i="10" s="1"/>
  <c r="J33" i="10" s="1"/>
  <c r="K52" i="6"/>
  <c r="K83" i="6"/>
  <c r="K76" i="6"/>
  <c r="K105" i="6"/>
  <c r="K139" i="6"/>
  <c r="K51" i="6"/>
  <c r="K144" i="6"/>
  <c r="K99" i="6"/>
  <c r="J27" i="10" s="1"/>
  <c r="K132" i="6"/>
  <c r="K47" i="6"/>
  <c r="K87" i="6"/>
  <c r="K57" i="6"/>
  <c r="K45" i="6"/>
  <c r="K58" i="6"/>
  <c r="K141" i="6" a="1"/>
  <c r="K141" i="6" s="1"/>
  <c r="K93" i="6"/>
  <c r="K131" i="6"/>
  <c r="K39" i="6"/>
  <c r="K77" i="6"/>
  <c r="K48" i="6"/>
  <c r="K13" i="6" s="1"/>
  <c r="K35" i="6"/>
  <c r="K8" i="6" s="1"/>
  <c r="K43" i="6"/>
  <c r="K138" i="6"/>
  <c r="K85" i="6"/>
  <c r="K100" i="6"/>
  <c r="K123" i="6"/>
  <c r="K69" i="6"/>
  <c r="K37" i="6"/>
  <c r="K66" i="6"/>
  <c r="K49" i="6"/>
  <c r="G23" i="9"/>
  <c r="G10" i="9"/>
  <c r="J56" i="6"/>
  <c r="I13" i="10" s="1"/>
  <c r="I20" i="10" s="1"/>
  <c r="I19" i="10"/>
  <c r="J118" i="6"/>
  <c r="I32" i="10"/>
  <c r="J53" i="6"/>
  <c r="F34" i="9"/>
  <c r="F11" i="9"/>
  <c r="F24" i="9" s="1"/>
  <c r="J16" i="10"/>
  <c r="I8" i="10"/>
  <c r="I17" i="10" s="1"/>
  <c r="I36" i="9"/>
  <c r="I19" i="9"/>
  <c r="J16" i="9"/>
  <c r="J26" i="6"/>
  <c r="J31" i="10"/>
  <c r="I35" i="10"/>
  <c r="I35" i="15"/>
  <c r="J25" i="15"/>
  <c r="K22" i="15"/>
  <c r="L144" i="13"/>
  <c r="L138" i="13"/>
  <c r="L85" i="13"/>
  <c r="L57" i="13"/>
  <c r="L50" i="13"/>
  <c r="L136" i="13"/>
  <c r="L128" i="13"/>
  <c r="L127" i="13"/>
  <c r="L126" i="13"/>
  <c r="L140" i="13"/>
  <c r="L107" i="13"/>
  <c r="K18" i="16" s="1"/>
  <c r="L95" i="13"/>
  <c r="L75" i="13"/>
  <c r="L65" i="13"/>
  <c r="L54" i="13"/>
  <c r="L43" i="13"/>
  <c r="L36" i="13"/>
  <c r="L130" i="13"/>
  <c r="L123" i="13"/>
  <c r="L98" i="13"/>
  <c r="K27" i="16" s="1"/>
  <c r="L77" i="13"/>
  <c r="L67" i="13"/>
  <c r="L56" i="13"/>
  <c r="L139" i="13"/>
  <c r="L134" i="13"/>
  <c r="L121" i="13"/>
  <c r="L102" i="13"/>
  <c r="L92" i="13"/>
  <c r="L141" i="13" a="1"/>
  <c r="L141" i="13" s="1"/>
  <c r="L133" i="13"/>
  <c r="K24" i="16" s="1"/>
  <c r="K33" i="16" s="1"/>
  <c r="L118" i="13"/>
  <c r="L97" i="13"/>
  <c r="K26" i="16" s="1"/>
  <c r="L84" i="13"/>
  <c r="L143" i="13"/>
  <c r="L132" i="13"/>
  <c r="L93" i="13"/>
  <c r="L76" i="13"/>
  <c r="L58" i="13"/>
  <c r="K9" i="16" s="1"/>
  <c r="K23" i="16" s="1"/>
  <c r="M32" i="13"/>
  <c r="L131" i="13"/>
  <c r="L48" i="13"/>
  <c r="L88" i="13"/>
  <c r="L86" i="13"/>
  <c r="L74" i="13"/>
  <c r="L113" i="13"/>
  <c r="L99" i="13"/>
  <c r="L124" i="13"/>
  <c r="L100" i="13"/>
  <c r="K29" i="16" s="1"/>
  <c r="L73" i="13"/>
  <c r="L72" i="13"/>
  <c r="L101" i="13"/>
  <c r="L83" i="13"/>
  <c r="L82" i="13"/>
  <c r="L47" i="13"/>
  <c r="L44" i="13"/>
  <c r="L91" i="13"/>
  <c r="L68" i="13"/>
  <c r="L66" i="13"/>
  <c r="L17" i="13"/>
  <c r="L104" i="13"/>
  <c r="L81" i="13"/>
  <c r="L64" i="13"/>
  <c r="L41" i="13"/>
  <c r="L78" i="13"/>
  <c r="L39" i="13"/>
  <c r="L137" i="13"/>
  <c r="L69" i="13"/>
  <c r="L125" i="13"/>
  <c r="L46" i="13"/>
  <c r="L38" i="13"/>
  <c r="L90" i="13"/>
  <c r="L71" i="13"/>
  <c r="L94" i="13"/>
  <c r="L37" i="13"/>
  <c r="L51" i="13"/>
  <c r="L15" i="13"/>
  <c r="L16" i="13"/>
  <c r="L142" i="13"/>
  <c r="L79" i="13"/>
  <c r="L34" i="13"/>
  <c r="L7" i="13" s="1"/>
  <c r="L42" i="13"/>
  <c r="L49" i="13"/>
  <c r="K106" i="13"/>
  <c r="H7" i="24"/>
  <c r="H10" i="24"/>
  <c r="H8" i="24"/>
  <c r="I4" i="24"/>
  <c r="H9" i="24"/>
  <c r="H36" i="24"/>
  <c r="H11" i="24"/>
  <c r="K16" i="15"/>
  <c r="J19" i="15"/>
  <c r="K117" i="13"/>
  <c r="K31" i="16"/>
  <c r="J35" i="16"/>
  <c r="J37" i="10"/>
  <c r="J11" i="10" s="1"/>
  <c r="J38" i="10"/>
  <c r="K5" i="10"/>
  <c r="I8" i="15"/>
  <c r="I18" i="15" s="1"/>
  <c r="I27" i="15"/>
  <c r="G25" i="24"/>
  <c r="G26" i="24" s="1"/>
  <c r="G30" i="24" s="1"/>
  <c r="K24" i="13"/>
  <c r="J32" i="15"/>
  <c r="J12" i="15" s="1"/>
  <c r="J31" i="15" s="1"/>
  <c r="J35" i="15" s="1"/>
  <c r="K30" i="15"/>
  <c r="J37" i="16"/>
  <c r="J11" i="16" s="1"/>
  <c r="K5" i="16"/>
  <c r="J38" i="16"/>
  <c r="I24" i="25"/>
  <c r="I19" i="32" s="1"/>
  <c r="I21" i="25"/>
  <c r="I22" i="25"/>
  <c r="J19" i="16"/>
  <c r="K55" i="13"/>
  <c r="J13" i="16" s="1"/>
  <c r="J20" i="16" s="1"/>
  <c r="K12" i="13"/>
  <c r="K119" i="13"/>
  <c r="J17" i="15"/>
  <c r="J13" i="15"/>
  <c r="K16" i="16"/>
  <c r="J8" i="16"/>
  <c r="J17" i="16" s="1"/>
  <c r="H110" i="32"/>
  <c r="H99" i="32"/>
  <c r="H116" i="32"/>
  <c r="H120" i="32"/>
  <c r="H109" i="32"/>
  <c r="H103" i="32"/>
  <c r="H111" i="32"/>
  <c r="H23" i="15"/>
  <c r="H10" i="15"/>
  <c r="H68" i="32"/>
  <c r="H74" i="32"/>
  <c r="I95" i="32"/>
  <c r="I1" i="32"/>
  <c r="I46" i="32"/>
  <c r="F41" i="24"/>
  <c r="F21" i="32" s="1"/>
  <c r="I71" i="23"/>
  <c r="I25" i="32" s="1"/>
  <c r="G39" i="24"/>
  <c r="G38" i="24"/>
  <c r="G20" i="32" s="1"/>
  <c r="G40" i="24"/>
  <c r="J32" i="16"/>
  <c r="K52" i="13"/>
  <c r="I67" i="32" l="1"/>
  <c r="E12" i="31"/>
  <c r="G25" i="23"/>
  <c r="I25" i="23" s="1"/>
  <c r="G7" i="23"/>
  <c r="H7" i="23" s="1"/>
  <c r="I7" i="23" s="1"/>
  <c r="F9" i="23"/>
  <c r="C20" i="20" s="1"/>
  <c r="G103" i="19"/>
  <c r="G87" i="19"/>
  <c r="G60" i="19"/>
  <c r="G61" i="19" s="1"/>
  <c r="H90" i="19"/>
  <c r="G95" i="19"/>
  <c r="H101" i="19"/>
  <c r="H102" i="19" s="1"/>
  <c r="H69" i="19"/>
  <c r="H70" i="19" s="1"/>
  <c r="H84" i="19"/>
  <c r="G77" i="19"/>
  <c r="G78" i="19" s="1"/>
  <c r="K114" i="13"/>
  <c r="J9" i="15"/>
  <c r="G87" i="7"/>
  <c r="H98" i="7"/>
  <c r="H100" i="7" s="1"/>
  <c r="G103" i="7"/>
  <c r="I90" i="7"/>
  <c r="H95" i="7"/>
  <c r="H58" i="7"/>
  <c r="G63" i="7"/>
  <c r="H84" i="7"/>
  <c r="H85" i="7" s="1"/>
  <c r="H86" i="7" s="1"/>
  <c r="G52" i="7"/>
  <c r="H69" i="7"/>
  <c r="H70" i="7" s="1"/>
  <c r="H76" i="7"/>
  <c r="G44" i="7"/>
  <c r="P84" i="6"/>
  <c r="F115" i="32"/>
  <c r="G34" i="15"/>
  <c r="H18" i="32"/>
  <c r="K10" i="6"/>
  <c r="K11" i="6"/>
  <c r="I12" i="10"/>
  <c r="I34" i="10" s="1"/>
  <c r="H25" i="25"/>
  <c r="H26" i="25" s="1"/>
  <c r="H28" i="25" s="1"/>
  <c r="K22" i="6"/>
  <c r="K9" i="6"/>
  <c r="L20" i="13"/>
  <c r="L21" i="13"/>
  <c r="L18" i="13"/>
  <c r="L11" i="13"/>
  <c r="L24" i="13"/>
  <c r="K20" i="6"/>
  <c r="J36" i="9"/>
  <c r="K115" i="6" s="1"/>
  <c r="K12" i="6"/>
  <c r="K21" i="6"/>
  <c r="J21" i="16"/>
  <c r="I9" i="9"/>
  <c r="J115" i="6"/>
  <c r="J19" i="10"/>
  <c r="K56" i="6"/>
  <c r="J13" i="10" s="1"/>
  <c r="J20" i="10" s="1"/>
  <c r="G34" i="9"/>
  <c r="G11" i="9"/>
  <c r="G24" i="9" s="1"/>
  <c r="K53" i="6"/>
  <c r="J32" i="10"/>
  <c r="K26" i="6"/>
  <c r="K118" i="6"/>
  <c r="J25" i="9"/>
  <c r="K22" i="9"/>
  <c r="I23" i="25"/>
  <c r="G12" i="31" s="1"/>
  <c r="K36" i="15"/>
  <c r="J13" i="9"/>
  <c r="J17" i="9"/>
  <c r="J19" i="9"/>
  <c r="K16" i="9"/>
  <c r="L25" i="13"/>
  <c r="K31" i="10"/>
  <c r="J35" i="10"/>
  <c r="K25" i="6"/>
  <c r="J8" i="10"/>
  <c r="J17" i="10" s="1"/>
  <c r="K16" i="10"/>
  <c r="L10" i="13"/>
  <c r="I27" i="9"/>
  <c r="I8" i="9"/>
  <c r="I18" i="9" s="1"/>
  <c r="K107" i="6"/>
  <c r="K19" i="6"/>
  <c r="H23" i="9"/>
  <c r="H10" i="9"/>
  <c r="I21" i="10"/>
  <c r="J32" i="9"/>
  <c r="J12" i="9" s="1"/>
  <c r="J31" i="9" s="1"/>
  <c r="K30" i="9"/>
  <c r="L143" i="6"/>
  <c r="L132" i="6"/>
  <c r="L130" i="6"/>
  <c r="L47" i="6"/>
  <c r="L82" i="6"/>
  <c r="L98" i="6"/>
  <c r="K26" i="10" s="1"/>
  <c r="L45" i="6"/>
  <c r="L105" i="6"/>
  <c r="L43" i="6"/>
  <c r="L137" i="6"/>
  <c r="L139" i="6"/>
  <c r="L100" i="6"/>
  <c r="L39" i="6"/>
  <c r="L67" i="6"/>
  <c r="L95" i="6"/>
  <c r="L35" i="6"/>
  <c r="L8" i="6" s="1"/>
  <c r="L87" i="6"/>
  <c r="L38" i="6"/>
  <c r="L125" i="6"/>
  <c r="L91" i="6"/>
  <c r="L126" i="6"/>
  <c r="L123" i="6"/>
  <c r="L94" i="6"/>
  <c r="L108" i="6"/>
  <c r="K18" i="10" s="1"/>
  <c r="M33" i="6"/>
  <c r="L84" i="6"/>
  <c r="L134" i="6"/>
  <c r="K24" i="10" s="1"/>
  <c r="K33" i="10" s="1"/>
  <c r="L138" i="6"/>
  <c r="L86" i="6"/>
  <c r="L101" i="6"/>
  <c r="K29" i="10" s="1"/>
  <c r="L92" i="6"/>
  <c r="L99" i="6"/>
  <c r="K27" i="10" s="1"/>
  <c r="L93" i="6"/>
  <c r="L68" i="6"/>
  <c r="L141" i="6" a="1"/>
  <c r="L141" i="6" s="1"/>
  <c r="L102" i="6"/>
  <c r="L140" i="6"/>
  <c r="L78" i="6"/>
  <c r="L85" i="6"/>
  <c r="L79" i="6"/>
  <c r="L70" i="6"/>
  <c r="L57" i="6"/>
  <c r="L131" i="6"/>
  <c r="L96" i="6"/>
  <c r="L121" i="6"/>
  <c r="L75" i="6"/>
  <c r="L80" i="6"/>
  <c r="L74" i="6"/>
  <c r="L18" i="6"/>
  <c r="L37" i="6"/>
  <c r="L136" i="6"/>
  <c r="L83" i="6"/>
  <c r="L119" i="6"/>
  <c r="L65" i="6"/>
  <c r="L72" i="6"/>
  <c r="L69" i="6"/>
  <c r="L66" i="6"/>
  <c r="L76" i="6"/>
  <c r="L142" i="6"/>
  <c r="L77" i="6"/>
  <c r="L73" i="6"/>
  <c r="L144" i="6"/>
  <c r="L55" i="6"/>
  <c r="L16" i="6"/>
  <c r="L50" i="6"/>
  <c r="L127" i="6"/>
  <c r="L124" i="6"/>
  <c r="L128" i="6"/>
  <c r="L59" i="6"/>
  <c r="K9" i="10" s="1"/>
  <c r="K23" i="10" s="1"/>
  <c r="L114" i="6"/>
  <c r="L48" i="6"/>
  <c r="L13" i="6" s="1"/>
  <c r="L17" i="6"/>
  <c r="L44" i="6"/>
  <c r="L58" i="6"/>
  <c r="L133" i="6"/>
  <c r="L89" i="6"/>
  <c r="L52" i="6"/>
  <c r="L103" i="6"/>
  <c r="L40" i="6"/>
  <c r="L51" i="6"/>
  <c r="L42" i="6"/>
  <c r="L49" i="6"/>
  <c r="I68" i="32"/>
  <c r="I74" i="32"/>
  <c r="L31" i="16"/>
  <c r="K35" i="16"/>
  <c r="I36" i="24"/>
  <c r="I9" i="24"/>
  <c r="I10" i="24"/>
  <c r="I7" i="24"/>
  <c r="I8" i="24"/>
  <c r="I11" i="24"/>
  <c r="K32" i="16"/>
  <c r="L52" i="13"/>
  <c r="G41" i="24"/>
  <c r="G21" i="32" s="1"/>
  <c r="L8" i="13"/>
  <c r="L119" i="13"/>
  <c r="L12" i="13"/>
  <c r="L117" i="13"/>
  <c r="I120" i="32"/>
  <c r="I110" i="32"/>
  <c r="I109" i="32"/>
  <c r="I103" i="32"/>
  <c r="I99" i="32"/>
  <c r="I111" i="32"/>
  <c r="I116" i="32"/>
  <c r="K37" i="16"/>
  <c r="K11" i="16" s="1"/>
  <c r="K38" i="16"/>
  <c r="L5" i="16"/>
  <c r="K37" i="10"/>
  <c r="K11" i="10" s="1"/>
  <c r="K38" i="10"/>
  <c r="L5" i="10"/>
  <c r="H25" i="24"/>
  <c r="H26" i="24" s="1"/>
  <c r="H30" i="24" s="1"/>
  <c r="K19" i="16"/>
  <c r="L55" i="13"/>
  <c r="K13" i="16" s="1"/>
  <c r="L30" i="15"/>
  <c r="K32" i="15"/>
  <c r="K12" i="15" s="1"/>
  <c r="K31" i="15" s="1"/>
  <c r="L16" i="15"/>
  <c r="K19" i="15"/>
  <c r="L16" i="16"/>
  <c r="K8" i="16"/>
  <c r="K17" i="16" s="1"/>
  <c r="H34" i="15"/>
  <c r="H11" i="15"/>
  <c r="H24" i="15" s="1"/>
  <c r="J12" i="16"/>
  <c r="J34" i="16" s="1"/>
  <c r="L9" i="13"/>
  <c r="L106" i="13"/>
  <c r="K25" i="15"/>
  <c r="L22" i="15"/>
  <c r="I23" i="15"/>
  <c r="I10" i="15"/>
  <c r="F42" i="24"/>
  <c r="M136" i="13"/>
  <c r="M128" i="13"/>
  <c r="M127" i="13"/>
  <c r="M126" i="13"/>
  <c r="M102" i="13"/>
  <c r="M97" i="13"/>
  <c r="M91" i="13"/>
  <c r="M83" i="13"/>
  <c r="M77" i="13"/>
  <c r="M72" i="13"/>
  <c r="L25" i="15" s="1"/>
  <c r="M66" i="13"/>
  <c r="M142" i="13"/>
  <c r="M124" i="13"/>
  <c r="M118" i="13"/>
  <c r="M113" i="13"/>
  <c r="M130" i="13"/>
  <c r="C42" i="19" s="1"/>
  <c r="M123" i="13"/>
  <c r="M98" i="13"/>
  <c r="M85" i="13"/>
  <c r="M67" i="13"/>
  <c r="M56" i="13"/>
  <c r="N32" i="13"/>
  <c r="M139" i="13"/>
  <c r="N138" i="13" s="1"/>
  <c r="M100" i="13"/>
  <c r="M90" i="13"/>
  <c r="C31" i="22" s="1"/>
  <c r="M88" i="13"/>
  <c r="M69" i="13"/>
  <c r="M58" i="13"/>
  <c r="L9" i="16" s="1"/>
  <c r="M49" i="13"/>
  <c r="M141" i="13" a="1"/>
  <c r="M141" i="13" s="1"/>
  <c r="M132" i="13"/>
  <c r="M125" i="13"/>
  <c r="M94" i="13"/>
  <c r="M138" i="13"/>
  <c r="M86" i="13"/>
  <c r="M143" i="13"/>
  <c r="M131" i="13"/>
  <c r="C43" i="19" s="1"/>
  <c r="M107" i="13"/>
  <c r="M48" i="13"/>
  <c r="M43" i="13"/>
  <c r="M140" i="13"/>
  <c r="M137" i="13"/>
  <c r="M121" i="13"/>
  <c r="M95" i="13"/>
  <c r="M75" i="13"/>
  <c r="M68" i="13"/>
  <c r="M46" i="13"/>
  <c r="C46" i="19" s="1"/>
  <c r="M99" i="13"/>
  <c r="M133" i="13"/>
  <c r="M73" i="13"/>
  <c r="M101" i="13"/>
  <c r="M84" i="13"/>
  <c r="C25" i="22" s="1"/>
  <c r="M82" i="13"/>
  <c r="M81" i="13"/>
  <c r="M65" i="13"/>
  <c r="M64" i="13"/>
  <c r="C40" i="19" s="1"/>
  <c r="M34" i="13"/>
  <c r="M104" i="13"/>
  <c r="M41" i="13"/>
  <c r="M144" i="13"/>
  <c r="M93" i="13"/>
  <c r="M78" i="13"/>
  <c r="N78" i="13" s="1"/>
  <c r="M39" i="13"/>
  <c r="M134" i="13"/>
  <c r="M76" i="13"/>
  <c r="M74" i="13"/>
  <c r="M16" i="13"/>
  <c r="N16" i="13" s="1"/>
  <c r="O16" i="13" s="1"/>
  <c r="P16" i="13" s="1"/>
  <c r="Q16" i="13" s="1"/>
  <c r="R16" i="13" s="1"/>
  <c r="S16" i="13" s="1"/>
  <c r="M57" i="13"/>
  <c r="C41" i="32" s="1"/>
  <c r="C42" i="32" s="1"/>
  <c r="M92" i="13"/>
  <c r="M44" i="13"/>
  <c r="M42" i="13"/>
  <c r="M37" i="13"/>
  <c r="M36" i="13"/>
  <c r="M51" i="13"/>
  <c r="M15" i="13"/>
  <c r="M54" i="13"/>
  <c r="M79" i="13"/>
  <c r="M47" i="13"/>
  <c r="M38" i="13"/>
  <c r="M71" i="13"/>
  <c r="M17" i="13"/>
  <c r="N17" i="13" s="1"/>
  <c r="O17" i="13" s="1"/>
  <c r="P17" i="13" s="1"/>
  <c r="Q17" i="13" s="1"/>
  <c r="R17" i="13" s="1"/>
  <c r="S17" i="13" s="1"/>
  <c r="M50" i="13"/>
  <c r="K17" i="15"/>
  <c r="K13" i="15"/>
  <c r="J8" i="15"/>
  <c r="J18" i="15" s="1"/>
  <c r="J27" i="15"/>
  <c r="H40" i="24"/>
  <c r="H39" i="24"/>
  <c r="H38" i="24"/>
  <c r="H20" i="32" s="1"/>
  <c r="L19" i="13"/>
  <c r="F12" i="31" l="1"/>
  <c r="H12" i="31"/>
  <c r="G9" i="23"/>
  <c r="H9" i="23" s="1"/>
  <c r="I9" i="23" s="1"/>
  <c r="C36" i="19"/>
  <c r="C37" i="19" s="1"/>
  <c r="C39" i="19" s="1"/>
  <c r="C47" i="19" s="1"/>
  <c r="G62" i="19"/>
  <c r="G43" i="19"/>
  <c r="I66" i="19"/>
  <c r="H71" i="19"/>
  <c r="I98" i="19"/>
  <c r="H103" i="19"/>
  <c r="H85" i="19"/>
  <c r="H86" i="19" s="1"/>
  <c r="H74" i="19"/>
  <c r="G79" i="19"/>
  <c r="H92" i="19"/>
  <c r="N94" i="13"/>
  <c r="O94" i="13" s="1"/>
  <c r="P94" i="13" s="1"/>
  <c r="Q94" i="13" s="1"/>
  <c r="R94" i="13" s="1"/>
  <c r="S94" i="13" s="1"/>
  <c r="I18" i="32"/>
  <c r="L114" i="13"/>
  <c r="K9" i="15"/>
  <c r="H77" i="7"/>
  <c r="H78" i="7" s="1"/>
  <c r="I82" i="7"/>
  <c r="H87" i="7"/>
  <c r="I66" i="7"/>
  <c r="H71" i="7"/>
  <c r="H101" i="7"/>
  <c r="H102" i="7" s="1"/>
  <c r="H60" i="7"/>
  <c r="G53" i="7"/>
  <c r="G54" i="7" s="1"/>
  <c r="I92" i="7"/>
  <c r="I93" i="7" s="1"/>
  <c r="P83" i="13"/>
  <c r="C24" i="22" s="1"/>
  <c r="L20" i="6"/>
  <c r="I25" i="25"/>
  <c r="I26" i="25" s="1"/>
  <c r="I28" i="25" s="1"/>
  <c r="M8" i="13"/>
  <c r="M11" i="13"/>
  <c r="N11" i="13" s="1"/>
  <c r="J21" i="10"/>
  <c r="G42" i="24"/>
  <c r="H34" i="9"/>
  <c r="H11" i="9"/>
  <c r="H24" i="9" s="1"/>
  <c r="K19" i="9"/>
  <c r="L16" i="9"/>
  <c r="M141" i="6" a="1"/>
  <c r="M141" i="6" s="1"/>
  <c r="M96" i="6"/>
  <c r="M94" i="6"/>
  <c r="M75" i="6"/>
  <c r="M16" i="6"/>
  <c r="M58" i="6"/>
  <c r="M47" i="6"/>
  <c r="C47" i="7" s="1"/>
  <c r="M49" i="6"/>
  <c r="M140" i="6"/>
  <c r="M83" i="6"/>
  <c r="M131" i="6"/>
  <c r="C44" i="7" s="1"/>
  <c r="M65" i="6"/>
  <c r="M87" i="6"/>
  <c r="M136" i="6"/>
  <c r="C120" i="32" s="1"/>
  <c r="M45" i="6"/>
  <c r="M43" i="6"/>
  <c r="M123" i="6"/>
  <c r="C107" i="32" s="1"/>
  <c r="M77" i="6"/>
  <c r="M126" i="6"/>
  <c r="C110" i="32" s="1"/>
  <c r="M114" i="6"/>
  <c r="M69" i="6"/>
  <c r="M121" i="6"/>
  <c r="M35" i="6"/>
  <c r="M39" i="6"/>
  <c r="M144" i="6"/>
  <c r="M72" i="6"/>
  <c r="L19" i="9" s="1"/>
  <c r="M125" i="6"/>
  <c r="C109" i="32" s="1"/>
  <c r="M86" i="6"/>
  <c r="M124" i="6"/>
  <c r="M119" i="6"/>
  <c r="N33" i="6"/>
  <c r="M38" i="6"/>
  <c r="M138" i="6"/>
  <c r="C122" i="32" s="1"/>
  <c r="M66" i="6"/>
  <c r="M103" i="6"/>
  <c r="M82" i="6"/>
  <c r="M95" i="6"/>
  <c r="M73" i="6"/>
  <c r="L25" i="9" s="1"/>
  <c r="M22" i="9" s="1"/>
  <c r="M80" i="6"/>
  <c r="M48" i="6"/>
  <c r="M13" i="6" s="1"/>
  <c r="M142" i="6"/>
  <c r="M128" i="6"/>
  <c r="M98" i="6"/>
  <c r="M67" i="6"/>
  <c r="M105" i="6"/>
  <c r="M99" i="6"/>
  <c r="L27" i="10" s="1"/>
  <c r="M70" i="6"/>
  <c r="M76" i="6"/>
  <c r="L32" i="9" s="1"/>
  <c r="M30" i="9" s="1"/>
  <c r="M32" i="9" s="1"/>
  <c r="M133" i="6"/>
  <c r="C117" i="32" s="1"/>
  <c r="M89" i="6"/>
  <c r="M92" i="6"/>
  <c r="M57" i="6"/>
  <c r="M93" i="6"/>
  <c r="M79" i="6"/>
  <c r="P79" i="6" s="1"/>
  <c r="M55" i="6"/>
  <c r="M68" i="6"/>
  <c r="M132" i="6"/>
  <c r="C116" i="32" s="1"/>
  <c r="M143" i="6"/>
  <c r="M137" i="6"/>
  <c r="M50" i="6"/>
  <c r="M91" i="6"/>
  <c r="M59" i="6"/>
  <c r="L9" i="10" s="1"/>
  <c r="M18" i="6"/>
  <c r="M108" i="6"/>
  <c r="L18" i="10" s="1"/>
  <c r="M139" i="6"/>
  <c r="N138" i="6" s="1"/>
  <c r="M130" i="6"/>
  <c r="C114" i="32" s="1"/>
  <c r="M101" i="6"/>
  <c r="L29" i="10" s="1"/>
  <c r="M44" i="6"/>
  <c r="M84" i="6"/>
  <c r="D24" i="22" s="1"/>
  <c r="M52" i="6"/>
  <c r="M42" i="6"/>
  <c r="M127" i="6"/>
  <c r="C111" i="32" s="1"/>
  <c r="M134" i="6"/>
  <c r="L24" i="10" s="1"/>
  <c r="L33" i="10" s="1"/>
  <c r="M102" i="6"/>
  <c r="M100" i="6"/>
  <c r="L35" i="10" s="1"/>
  <c r="M31" i="10" s="1"/>
  <c r="M78" i="6"/>
  <c r="M37" i="6"/>
  <c r="M74" i="6"/>
  <c r="M51" i="6"/>
  <c r="M40" i="6"/>
  <c r="M85" i="6"/>
  <c r="L19" i="6"/>
  <c r="L16" i="10"/>
  <c r="K8" i="10"/>
  <c r="K17" i="10" s="1"/>
  <c r="L26" i="6"/>
  <c r="L10" i="6"/>
  <c r="J27" i="9"/>
  <c r="J8" i="9"/>
  <c r="J18" i="9" s="1"/>
  <c r="L21" i="6"/>
  <c r="K19" i="10"/>
  <c r="L56" i="6"/>
  <c r="K13" i="10" s="1"/>
  <c r="K13" i="9"/>
  <c r="K17" i="9"/>
  <c r="L31" i="10"/>
  <c r="K35" i="10"/>
  <c r="K25" i="9"/>
  <c r="L22" i="9"/>
  <c r="L11" i="6"/>
  <c r="K36" i="9"/>
  <c r="L22" i="6"/>
  <c r="L12" i="6"/>
  <c r="J35" i="9"/>
  <c r="J9" i="9"/>
  <c r="K32" i="9"/>
  <c r="K12" i="9" s="1"/>
  <c r="K31" i="9" s="1"/>
  <c r="K35" i="9" s="1"/>
  <c r="L30" i="9"/>
  <c r="L25" i="6"/>
  <c r="L9" i="6"/>
  <c r="L107" i="6"/>
  <c r="L53" i="6"/>
  <c r="K32" i="10"/>
  <c r="L118" i="6"/>
  <c r="J12" i="10"/>
  <c r="J34" i="10" s="1"/>
  <c r="I23" i="9"/>
  <c r="I10" i="9"/>
  <c r="K35" i="15"/>
  <c r="M7" i="13"/>
  <c r="N34" i="13"/>
  <c r="L13" i="15"/>
  <c r="L17" i="15"/>
  <c r="Q74" i="13"/>
  <c r="P74" i="13"/>
  <c r="O74" i="13"/>
  <c r="N74" i="13"/>
  <c r="S74" i="13"/>
  <c r="R74" i="13"/>
  <c r="M19" i="13"/>
  <c r="N19" i="13" s="1"/>
  <c r="L26" i="16"/>
  <c r="M26" i="16" s="1"/>
  <c r="L37" i="10"/>
  <c r="L38" i="10"/>
  <c r="M5" i="10"/>
  <c r="N5" i="10" s="1"/>
  <c r="O5" i="10" s="1"/>
  <c r="P5" i="10" s="1"/>
  <c r="Q5" i="10" s="1"/>
  <c r="R5" i="10" s="1"/>
  <c r="K12" i="16"/>
  <c r="K34" i="16" s="1"/>
  <c r="M25" i="13"/>
  <c r="N25" i="13" s="1"/>
  <c r="O25" i="13" s="1"/>
  <c r="P25" i="13" s="1"/>
  <c r="Q25" i="13" s="1"/>
  <c r="R25" i="13" s="1"/>
  <c r="S25" i="13" s="1"/>
  <c r="M18" i="13"/>
  <c r="N18" i="13" s="1"/>
  <c r="O18" i="13" s="1"/>
  <c r="P18" i="13" s="1"/>
  <c r="Q18" i="13" s="1"/>
  <c r="R18" i="13" s="1"/>
  <c r="S18" i="13" s="1"/>
  <c r="S76" i="13"/>
  <c r="R76" i="13"/>
  <c r="Q76" i="13"/>
  <c r="P76" i="13"/>
  <c r="O76" i="13"/>
  <c r="N76" i="13"/>
  <c r="M117" i="13"/>
  <c r="L32" i="15"/>
  <c r="M30" i="15" s="1"/>
  <c r="M32" i="15" s="1"/>
  <c r="Q78" i="13"/>
  <c r="L32" i="16"/>
  <c r="M52" i="13"/>
  <c r="S78" i="13"/>
  <c r="L29" i="16"/>
  <c r="M29" i="16" s="1"/>
  <c r="M10" i="13"/>
  <c r="N10" i="13" s="1"/>
  <c r="O10" i="13" s="1"/>
  <c r="P10" i="13" s="1"/>
  <c r="Q10" i="13" s="1"/>
  <c r="R10" i="13" s="1"/>
  <c r="S10" i="13" s="1"/>
  <c r="M20" i="13"/>
  <c r="N20" i="13" s="1"/>
  <c r="O20" i="13" s="1"/>
  <c r="P20" i="13" s="1"/>
  <c r="Q20" i="13" s="1"/>
  <c r="R20" i="13" s="1"/>
  <c r="S20" i="13" s="1"/>
  <c r="N124" i="13"/>
  <c r="S124" i="13"/>
  <c r="Q124" i="13"/>
  <c r="O124" i="13"/>
  <c r="R124" i="13"/>
  <c r="P124" i="13"/>
  <c r="L38" i="16"/>
  <c r="L37" i="16"/>
  <c r="M5" i="16"/>
  <c r="N5" i="16" s="1"/>
  <c r="O5" i="16" s="1"/>
  <c r="P5" i="16" s="1"/>
  <c r="Q5" i="16" s="1"/>
  <c r="R5" i="16" s="1"/>
  <c r="P78" i="13"/>
  <c r="R78" i="13"/>
  <c r="O78" i="13"/>
  <c r="O32" i="13"/>
  <c r="L36" i="15"/>
  <c r="I25" i="24"/>
  <c r="I26" i="24" s="1"/>
  <c r="I30" i="24" s="1"/>
  <c r="L19" i="16"/>
  <c r="M55" i="13"/>
  <c r="L13" i="16" s="1"/>
  <c r="P13" i="16" s="1"/>
  <c r="P20" i="16" s="1"/>
  <c r="Q55" i="13" s="1"/>
  <c r="G38" i="32" s="1"/>
  <c r="I40" i="24"/>
  <c r="I39" i="24"/>
  <c r="I38" i="24"/>
  <c r="I20" i="32" s="1"/>
  <c r="M22" i="15"/>
  <c r="M9" i="13"/>
  <c r="N9" i="13" s="1"/>
  <c r="O9" i="13" s="1"/>
  <c r="P9" i="13" s="1"/>
  <c r="Q9" i="13" s="1"/>
  <c r="R9" i="13" s="1"/>
  <c r="S9" i="13" s="1"/>
  <c r="Q92" i="13"/>
  <c r="O92" i="13"/>
  <c r="N92" i="13"/>
  <c r="S92" i="13"/>
  <c r="R92" i="13"/>
  <c r="P92" i="13"/>
  <c r="L24" i="16"/>
  <c r="L33" i="16" s="1"/>
  <c r="S48" i="13"/>
  <c r="R48" i="13"/>
  <c r="P48" i="13"/>
  <c r="Q48" i="13"/>
  <c r="M21" i="13"/>
  <c r="N21" i="13" s="1"/>
  <c r="O21" i="13" s="1"/>
  <c r="P21" i="13" s="1"/>
  <c r="Q21" i="13" s="1"/>
  <c r="R21" i="13" s="1"/>
  <c r="S21" i="13" s="1"/>
  <c r="M24" i="13"/>
  <c r="N24" i="13" s="1"/>
  <c r="O24" i="13" s="1"/>
  <c r="P24" i="13" s="1"/>
  <c r="Q24" i="13" s="1"/>
  <c r="R24" i="13" s="1"/>
  <c r="S24" i="13" s="1"/>
  <c r="J23" i="15"/>
  <c r="J10" i="15"/>
  <c r="K20" i="16"/>
  <c r="K21" i="16" s="1"/>
  <c r="L19" i="15"/>
  <c r="H41" i="24"/>
  <c r="H21" i="32" s="1"/>
  <c r="M119" i="13"/>
  <c r="C103" i="32" s="1"/>
  <c r="M12" i="13"/>
  <c r="M106" i="13"/>
  <c r="L35" i="16"/>
  <c r="L18" i="16"/>
  <c r="M9" i="16"/>
  <c r="L23" i="16"/>
  <c r="L27" i="16"/>
  <c r="I34" i="15"/>
  <c r="I11" i="15"/>
  <c r="I24" i="15" s="1"/>
  <c r="O48" i="13"/>
  <c r="K27" i="15"/>
  <c r="K8" i="15"/>
  <c r="K18" i="15" s="1"/>
  <c r="N48" i="13"/>
  <c r="C17" i="22" l="1"/>
  <c r="C19" i="22"/>
  <c r="C15" i="22"/>
  <c r="C33" i="22"/>
  <c r="D25" i="22"/>
  <c r="G25" i="22" s="1"/>
  <c r="D31" i="22"/>
  <c r="G31" i="22" s="1"/>
  <c r="H58" i="19"/>
  <c r="G63" i="19"/>
  <c r="I82" i="19"/>
  <c r="H87" i="19"/>
  <c r="H76" i="19"/>
  <c r="H75" i="19" s="1"/>
  <c r="H93" i="19"/>
  <c r="H94" i="19" s="1"/>
  <c r="I100" i="19"/>
  <c r="I68" i="19"/>
  <c r="I69" i="19" s="1"/>
  <c r="I70" i="19" s="1"/>
  <c r="I71" i="19" s="1"/>
  <c r="O33" i="6"/>
  <c r="I94" i="7"/>
  <c r="I95" i="7" s="1"/>
  <c r="I74" i="7"/>
  <c r="I76" i="7" s="1"/>
  <c r="H79" i="7"/>
  <c r="G43" i="7"/>
  <c r="G38" i="7"/>
  <c r="G40" i="7" s="1"/>
  <c r="H50" i="7"/>
  <c r="G55" i="7"/>
  <c r="G45" i="7" s="1"/>
  <c r="I98" i="7"/>
  <c r="H103" i="7"/>
  <c r="I68" i="7"/>
  <c r="I67" i="7" s="1"/>
  <c r="I69" i="7" s="1"/>
  <c r="I70" i="7" s="1"/>
  <c r="I71" i="7" s="1"/>
  <c r="H61" i="7"/>
  <c r="H62" i="7" s="1"/>
  <c r="I84" i="7"/>
  <c r="Q131" i="6"/>
  <c r="N42" i="13"/>
  <c r="C37" i="7"/>
  <c r="C41" i="7"/>
  <c r="C43" i="7"/>
  <c r="L26" i="10"/>
  <c r="M26" i="10" s="1"/>
  <c r="N26" i="10" s="1"/>
  <c r="L36" i="9"/>
  <c r="M115" i="6" s="1"/>
  <c r="C91" i="32"/>
  <c r="M11" i="6"/>
  <c r="C29" i="32"/>
  <c r="C115" i="32"/>
  <c r="C118" i="32" s="1"/>
  <c r="C28" i="32"/>
  <c r="C33" i="32"/>
  <c r="C23" i="32"/>
  <c r="C27" i="32" s="1"/>
  <c r="O79" i="6"/>
  <c r="Q79" i="6"/>
  <c r="G62" i="32" s="1"/>
  <c r="R79" i="6"/>
  <c r="H62" i="32" s="1"/>
  <c r="M20" i="6"/>
  <c r="L12" i="9"/>
  <c r="L31" i="9" s="1"/>
  <c r="L35" i="9" s="1"/>
  <c r="C24" i="24" s="1"/>
  <c r="C38" i="24" s="1"/>
  <c r="C20" i="32" s="1"/>
  <c r="M9" i="6"/>
  <c r="M21" i="6"/>
  <c r="M22" i="6"/>
  <c r="M25" i="6"/>
  <c r="M19" i="6"/>
  <c r="M12" i="6"/>
  <c r="M10" i="6"/>
  <c r="R13" i="16"/>
  <c r="R20" i="16" s="1"/>
  <c r="S55" i="13" s="1"/>
  <c r="I38" i="32" s="1"/>
  <c r="M9" i="10"/>
  <c r="L23" i="10"/>
  <c r="L19" i="10"/>
  <c r="M56" i="6"/>
  <c r="L13" i="10" s="1"/>
  <c r="P13" i="10" s="1"/>
  <c r="P20" i="10" s="1"/>
  <c r="Q56" i="6" s="1"/>
  <c r="I34" i="9"/>
  <c r="I11" i="9"/>
  <c r="I24" i="9" s="1"/>
  <c r="L32" i="10"/>
  <c r="L12" i="10" s="1"/>
  <c r="L34" i="10" s="1"/>
  <c r="M53" i="6"/>
  <c r="K20" i="10"/>
  <c r="K21" i="10" s="1"/>
  <c r="R124" i="6"/>
  <c r="H108" i="32" s="1"/>
  <c r="Q124" i="6"/>
  <c r="G108" i="32" s="1"/>
  <c r="S124" i="6"/>
  <c r="I108" i="32" s="1"/>
  <c r="P124" i="6"/>
  <c r="F108" i="32" s="1"/>
  <c r="O124" i="6"/>
  <c r="E108" i="32" s="1"/>
  <c r="N124" i="6"/>
  <c r="D108" i="32" s="1"/>
  <c r="K27" i="9"/>
  <c r="K8" i="9"/>
  <c r="K18" i="9" s="1"/>
  <c r="J23" i="9"/>
  <c r="J10" i="9"/>
  <c r="N30" i="9"/>
  <c r="N32" i="9" s="1"/>
  <c r="N76" i="6"/>
  <c r="Q77" i="6"/>
  <c r="G60" i="32" s="1"/>
  <c r="P77" i="6"/>
  <c r="O77" i="6"/>
  <c r="R77" i="6"/>
  <c r="H60" i="32" s="1"/>
  <c r="N77" i="6"/>
  <c r="S77" i="6"/>
  <c r="I60" i="32" s="1"/>
  <c r="R49" i="6"/>
  <c r="Q49" i="6"/>
  <c r="O49" i="6"/>
  <c r="N49" i="6"/>
  <c r="S49" i="6"/>
  <c r="P49" i="6"/>
  <c r="N79" i="6"/>
  <c r="D19" i="22" s="1"/>
  <c r="H42" i="24"/>
  <c r="C108" i="32"/>
  <c r="C112" i="32" s="1"/>
  <c r="L17" i="9"/>
  <c r="L8" i="9" s="1"/>
  <c r="L18" i="9" s="1"/>
  <c r="L13" i="9"/>
  <c r="L12" i="15"/>
  <c r="L31" i="15" s="1"/>
  <c r="L35" i="15" s="1"/>
  <c r="C23" i="24" s="1"/>
  <c r="L27" i="9"/>
  <c r="M16" i="9"/>
  <c r="M107" i="6"/>
  <c r="K9" i="9"/>
  <c r="L115" i="6"/>
  <c r="L8" i="10"/>
  <c r="L17" i="10" s="1"/>
  <c r="M16" i="10"/>
  <c r="M118" i="6"/>
  <c r="O75" i="6"/>
  <c r="S75" i="6"/>
  <c r="N75" i="6"/>
  <c r="R75" i="6"/>
  <c r="Q75" i="6"/>
  <c r="P75" i="6"/>
  <c r="K12" i="10"/>
  <c r="K34" i="10" s="1"/>
  <c r="Q93" i="6"/>
  <c r="R93" i="6"/>
  <c r="P93" i="6"/>
  <c r="N93" i="6"/>
  <c r="O93" i="6"/>
  <c r="S93" i="6"/>
  <c r="M8" i="6"/>
  <c r="N35" i="6"/>
  <c r="M26" i="6"/>
  <c r="S79" i="6"/>
  <c r="I62" i="32" s="1"/>
  <c r="P32" i="13"/>
  <c r="C35" i="22"/>
  <c r="M16" i="15"/>
  <c r="L27" i="15"/>
  <c r="L8" i="15"/>
  <c r="L18" i="15" s="1"/>
  <c r="J34" i="15"/>
  <c r="J11" i="15"/>
  <c r="J24" i="15" s="1"/>
  <c r="M34" i="16"/>
  <c r="M27" i="16"/>
  <c r="M114" i="13"/>
  <c r="N26" i="16"/>
  <c r="N97" i="13"/>
  <c r="L20" i="16"/>
  <c r="L21" i="16" s="1"/>
  <c r="N13" i="16"/>
  <c r="N20" i="16" s="1"/>
  <c r="O55" i="13" s="1"/>
  <c r="E38" i="32" s="1"/>
  <c r="O13" i="16"/>
  <c r="O20" i="16" s="1"/>
  <c r="P55" i="13" s="1"/>
  <c r="F38" i="32" s="1"/>
  <c r="M13" i="16"/>
  <c r="M20" i="16" s="1"/>
  <c r="N55" i="13" s="1"/>
  <c r="D38" i="32" s="1"/>
  <c r="Q13" i="16"/>
  <c r="Q20" i="16" s="1"/>
  <c r="R55" i="13" s="1"/>
  <c r="H38" i="32" s="1"/>
  <c r="P9" i="16"/>
  <c r="P23" i="16" s="1"/>
  <c r="O9" i="16"/>
  <c r="O23" i="16" s="1"/>
  <c r="Q9" i="16"/>
  <c r="Q23" i="16" s="1"/>
  <c r="R9" i="16"/>
  <c r="R23" i="16" s="1"/>
  <c r="M23" i="16"/>
  <c r="N9" i="16"/>
  <c r="N23" i="16" s="1"/>
  <c r="M17" i="15"/>
  <c r="N123" i="13" s="1"/>
  <c r="N77" i="13"/>
  <c r="N39" i="13"/>
  <c r="N68" i="13"/>
  <c r="N36" i="13"/>
  <c r="N37" i="13" s="1"/>
  <c r="N85" i="13"/>
  <c r="N82" i="13"/>
  <c r="N65" i="13"/>
  <c r="N93" i="13"/>
  <c r="N38" i="13"/>
  <c r="N67" i="13"/>
  <c r="O34" i="13"/>
  <c r="L8" i="16"/>
  <c r="L17" i="16" s="1"/>
  <c r="M16" i="16"/>
  <c r="K23" i="15"/>
  <c r="K10" i="15"/>
  <c r="L12" i="16"/>
  <c r="L34" i="16" s="1"/>
  <c r="M31" i="16"/>
  <c r="L11" i="16"/>
  <c r="M37" i="16"/>
  <c r="N29" i="16"/>
  <c r="N100" i="13"/>
  <c r="N30" i="15"/>
  <c r="N32" i="15" s="1"/>
  <c r="N75" i="13"/>
  <c r="M37" i="10"/>
  <c r="L11" i="10"/>
  <c r="I41" i="24"/>
  <c r="I21" i="32" s="1"/>
  <c r="G19" i="22" l="1"/>
  <c r="D62" i="32" s="1"/>
  <c r="N37" i="10"/>
  <c r="O102" i="6" s="1"/>
  <c r="N102" i="6"/>
  <c r="D17" i="22"/>
  <c r="G17" i="22" s="1"/>
  <c r="D60" i="32" s="1"/>
  <c r="F62" i="32"/>
  <c r="E74" i="32"/>
  <c r="F74" i="32"/>
  <c r="E68" i="32"/>
  <c r="F68" i="32"/>
  <c r="E60" i="32"/>
  <c r="D33" i="22"/>
  <c r="G33" i="22" s="1"/>
  <c r="C76" i="32" s="1"/>
  <c r="E62" i="32"/>
  <c r="C74" i="32"/>
  <c r="D74" i="32"/>
  <c r="C68" i="32"/>
  <c r="D68" i="32"/>
  <c r="C60" i="32"/>
  <c r="C62" i="32"/>
  <c r="H60" i="19"/>
  <c r="H61" i="19" s="1"/>
  <c r="I90" i="19"/>
  <c r="H95" i="19"/>
  <c r="I101" i="19"/>
  <c r="I102" i="19" s="1"/>
  <c r="I103" i="19" s="1"/>
  <c r="H77" i="19"/>
  <c r="H78" i="19" s="1"/>
  <c r="I84" i="19"/>
  <c r="P33" i="6"/>
  <c r="L9" i="15"/>
  <c r="I77" i="7"/>
  <c r="I78" i="7" s="1"/>
  <c r="I79" i="7" s="1"/>
  <c r="I85" i="7"/>
  <c r="I86" i="7" s="1"/>
  <c r="I87" i="7" s="1"/>
  <c r="H44" i="7"/>
  <c r="C38" i="7"/>
  <c r="C40" i="7" s="1"/>
  <c r="C48" i="7" s="1"/>
  <c r="I58" i="7"/>
  <c r="H63" i="7"/>
  <c r="I100" i="7"/>
  <c r="I101" i="7" s="1"/>
  <c r="I102" i="7" s="1"/>
  <c r="I103" i="7" s="1"/>
  <c r="H52" i="7"/>
  <c r="H53" i="7" s="1"/>
  <c r="Q131" i="13"/>
  <c r="G115" i="32" s="1"/>
  <c r="N98" i="6"/>
  <c r="D29" i="32"/>
  <c r="H29" i="32"/>
  <c r="C26" i="24"/>
  <c r="C30" i="24" s="1"/>
  <c r="G29" i="32"/>
  <c r="E29" i="32"/>
  <c r="L9" i="9"/>
  <c r="L23" i="9" s="1"/>
  <c r="C16" i="24" s="1"/>
  <c r="F29" i="32"/>
  <c r="I29" i="32"/>
  <c r="C42" i="24"/>
  <c r="N13" i="10"/>
  <c r="N20" i="10" s="1"/>
  <c r="O56" i="6" s="1"/>
  <c r="N78" i="6"/>
  <c r="N83" i="6"/>
  <c r="N40" i="6"/>
  <c r="M17" i="9"/>
  <c r="N43" i="6"/>
  <c r="N94" i="6"/>
  <c r="N39" i="6"/>
  <c r="N86" i="6"/>
  <c r="O35" i="6"/>
  <c r="N37" i="6"/>
  <c r="N38" i="6" s="1"/>
  <c r="N68" i="6"/>
  <c r="N69" i="6"/>
  <c r="N66" i="6"/>
  <c r="J34" i="9"/>
  <c r="J11" i="9"/>
  <c r="J24" i="9" s="1"/>
  <c r="N9" i="10"/>
  <c r="N23" i="10" s="1"/>
  <c r="P9" i="10"/>
  <c r="P23" i="10" s="1"/>
  <c r="O9" i="10"/>
  <c r="O23" i="10" s="1"/>
  <c r="M23" i="10"/>
  <c r="R9" i="10"/>
  <c r="R23" i="10" s="1"/>
  <c r="Q9" i="10"/>
  <c r="Q23" i="10" s="1"/>
  <c r="M18" i="10"/>
  <c r="N16" i="10" s="1"/>
  <c r="O26" i="10"/>
  <c r="O98" i="6"/>
  <c r="K23" i="9"/>
  <c r="K10" i="9"/>
  <c r="C15" i="21"/>
  <c r="D15" i="22"/>
  <c r="O30" i="9"/>
  <c r="O32" i="9" s="1"/>
  <c r="O76" i="6"/>
  <c r="L20" i="10"/>
  <c r="L21" i="10" s="1"/>
  <c r="Q13" i="10"/>
  <c r="Q20" i="10" s="1"/>
  <c r="R56" i="6" s="1"/>
  <c r="R13" i="10"/>
  <c r="R20" i="10" s="1"/>
  <c r="S56" i="6" s="1"/>
  <c r="M13" i="10"/>
  <c r="M20" i="10" s="1"/>
  <c r="N56" i="6" s="1"/>
  <c r="O13" i="10"/>
  <c r="O20" i="10" s="1"/>
  <c r="P56" i="6" s="1"/>
  <c r="O75" i="13"/>
  <c r="O30" i="15"/>
  <c r="O32" i="15" s="1"/>
  <c r="N128" i="13"/>
  <c r="R58" i="13"/>
  <c r="M18" i="16"/>
  <c r="M19" i="16" s="1"/>
  <c r="P58" i="13"/>
  <c r="O29" i="16"/>
  <c r="O100" i="13"/>
  <c r="Q58" i="13"/>
  <c r="N37" i="16"/>
  <c r="N101" i="13"/>
  <c r="I42" i="24"/>
  <c r="M19" i="15"/>
  <c r="N27" i="16"/>
  <c r="N34" i="16"/>
  <c r="N98" i="13"/>
  <c r="Q32" i="13"/>
  <c r="K34" i="15"/>
  <c r="K11" i="15"/>
  <c r="K24" i="15" s="1"/>
  <c r="N66" i="13"/>
  <c r="N81" i="13"/>
  <c r="N43" i="13"/>
  <c r="N44" i="13" s="1"/>
  <c r="O26" i="16"/>
  <c r="O97" i="13"/>
  <c r="O58" i="13"/>
  <c r="N17" i="15"/>
  <c r="O123" i="13" s="1"/>
  <c r="O82" i="13"/>
  <c r="O36" i="13"/>
  <c r="O37" i="13" s="1"/>
  <c r="O67" i="13"/>
  <c r="O38" i="13"/>
  <c r="O39" i="13"/>
  <c r="O93" i="13"/>
  <c r="O42" i="13"/>
  <c r="P34" i="13"/>
  <c r="O68" i="13"/>
  <c r="O85" i="13"/>
  <c r="O65" i="13"/>
  <c r="O77" i="13"/>
  <c r="N58" i="13"/>
  <c r="N120" i="13"/>
  <c r="S58" i="13"/>
  <c r="E76" i="32" l="1"/>
  <c r="D76" i="32"/>
  <c r="I76" i="32"/>
  <c r="O37" i="10"/>
  <c r="P102" i="6" s="1"/>
  <c r="F60" i="32"/>
  <c r="H76" i="32"/>
  <c r="G76" i="32"/>
  <c r="F76" i="32"/>
  <c r="H62" i="19"/>
  <c r="H43" i="19"/>
  <c r="I74" i="19"/>
  <c r="H79" i="19"/>
  <c r="I85" i="19"/>
  <c r="I86" i="19" s="1"/>
  <c r="I87" i="19" s="1"/>
  <c r="I92" i="19"/>
  <c r="Q33" i="6"/>
  <c r="L10" i="15"/>
  <c r="H43" i="7"/>
  <c r="I60" i="7"/>
  <c r="I61" i="7" s="1"/>
  <c r="I62" i="7" s="1"/>
  <c r="I63" i="7" s="1"/>
  <c r="H54" i="7"/>
  <c r="L23" i="15"/>
  <c r="L34" i="15" s="1"/>
  <c r="C15" i="24" s="1"/>
  <c r="L11" i="9"/>
  <c r="L24" i="9" s="1"/>
  <c r="C17" i="24"/>
  <c r="L34" i="9"/>
  <c r="L10" i="9"/>
  <c r="M10" i="9" s="1"/>
  <c r="N123" i="6"/>
  <c r="M19" i="9"/>
  <c r="K34" i="9"/>
  <c r="K11" i="9"/>
  <c r="K24" i="9" s="1"/>
  <c r="N120" i="6"/>
  <c r="N67" i="6"/>
  <c r="N82" i="6"/>
  <c r="N117" i="13"/>
  <c r="N118" i="13" s="1"/>
  <c r="P35" i="6"/>
  <c r="O40" i="6"/>
  <c r="O68" i="6"/>
  <c r="O83" i="6"/>
  <c r="O43" i="6"/>
  <c r="N17" i="9"/>
  <c r="O123" i="6" s="1"/>
  <c r="O128" i="6" s="1"/>
  <c r="O39" i="6"/>
  <c r="O94" i="6"/>
  <c r="O78" i="6"/>
  <c r="O69" i="6"/>
  <c r="O37" i="6"/>
  <c r="O86" i="6"/>
  <c r="O66" i="6"/>
  <c r="P26" i="10"/>
  <c r="P98" i="6"/>
  <c r="D38" i="22" s="1"/>
  <c r="E38" i="22" s="1"/>
  <c r="N44" i="6"/>
  <c r="N45" i="6" s="1"/>
  <c r="N141" i="6" s="1"/>
  <c r="N18" i="10"/>
  <c r="O16" i="10" s="1"/>
  <c r="O18" i="10" s="1"/>
  <c r="P16" i="10" s="1"/>
  <c r="P18" i="10" s="1"/>
  <c r="Q16" i="10" s="1"/>
  <c r="P76" i="6"/>
  <c r="P30" i="9"/>
  <c r="P32" i="9" s="1"/>
  <c r="M19" i="10"/>
  <c r="M24" i="10" s="1"/>
  <c r="M33" i="10" s="1"/>
  <c r="N133" i="6" s="1"/>
  <c r="O128" i="13"/>
  <c r="M23" i="15"/>
  <c r="O17" i="15"/>
  <c r="P123" i="13" s="1"/>
  <c r="P82" i="13"/>
  <c r="C23" i="22" s="1"/>
  <c r="P93" i="13"/>
  <c r="C34" i="22" s="1"/>
  <c r="P67" i="13"/>
  <c r="C8" i="22" s="1"/>
  <c r="P38" i="13"/>
  <c r="P85" i="13"/>
  <c r="C26" i="22" s="1"/>
  <c r="P42" i="13"/>
  <c r="P65" i="13"/>
  <c r="C6" i="22" s="1"/>
  <c r="P39" i="13"/>
  <c r="Q34" i="13"/>
  <c r="P77" i="13"/>
  <c r="C18" i="22" s="1"/>
  <c r="P68" i="13"/>
  <c r="C9" i="22" s="1"/>
  <c r="P36" i="13"/>
  <c r="N16" i="16"/>
  <c r="N107" i="13"/>
  <c r="P26" i="16"/>
  <c r="P97" i="13"/>
  <c r="C38" i="22" s="1"/>
  <c r="N16" i="15"/>
  <c r="N19" i="15" s="1"/>
  <c r="N71" i="13"/>
  <c r="M21" i="16"/>
  <c r="N56" i="13" s="1"/>
  <c r="N54" i="13"/>
  <c r="D37" i="32" s="1"/>
  <c r="D39" i="32" s="1"/>
  <c r="M24" i="16"/>
  <c r="M33" i="16" s="1"/>
  <c r="N133" i="13" s="1"/>
  <c r="P29" i="16"/>
  <c r="P100" i="13"/>
  <c r="C41" i="22" s="1"/>
  <c r="O120" i="13"/>
  <c r="R32" i="13"/>
  <c r="O81" i="13"/>
  <c r="O66" i="13"/>
  <c r="O43" i="13"/>
  <c r="O44" i="13" s="1"/>
  <c r="N141" i="13"/>
  <c r="P30" i="15"/>
  <c r="P32" i="15" s="1"/>
  <c r="P75" i="13"/>
  <c r="N86" i="13"/>
  <c r="O27" i="16"/>
  <c r="O98" i="13"/>
  <c r="O34" i="16"/>
  <c r="O37" i="16"/>
  <c r="O101" i="13"/>
  <c r="P37" i="10" l="1"/>
  <c r="Q102" i="6" s="1"/>
  <c r="D42" i="22"/>
  <c r="E42" i="22" s="1"/>
  <c r="C16" i="22"/>
  <c r="D16" i="22"/>
  <c r="E16" i="22" s="1"/>
  <c r="C16" i="21"/>
  <c r="G38" i="22"/>
  <c r="E81" i="32" s="1"/>
  <c r="C81" i="32"/>
  <c r="I93" i="19"/>
  <c r="I94" i="19" s="1"/>
  <c r="I95" i="19" s="1"/>
  <c r="I58" i="19"/>
  <c r="H63" i="19"/>
  <c r="I76" i="19"/>
  <c r="I77" i="19" s="1"/>
  <c r="R33" i="6"/>
  <c r="H37" i="7"/>
  <c r="I50" i="7"/>
  <c r="H55" i="7"/>
  <c r="H45" i="7" s="1"/>
  <c r="I44" i="7"/>
  <c r="R131" i="6"/>
  <c r="L11" i="15"/>
  <c r="L24" i="15" s="1"/>
  <c r="C19" i="24"/>
  <c r="C29" i="24" s="1"/>
  <c r="C31" i="24" s="1"/>
  <c r="C98" i="32" s="1"/>
  <c r="N10" i="9"/>
  <c r="O10" i="9" s="1"/>
  <c r="P10" i="9" s="1"/>
  <c r="Q10" i="9" s="1"/>
  <c r="M23" i="9"/>
  <c r="M36" i="9" s="1"/>
  <c r="N115" i="6" s="1"/>
  <c r="N142" i="6" s="1"/>
  <c r="O19" i="10"/>
  <c r="O24" i="10" s="1"/>
  <c r="O33" i="10" s="1"/>
  <c r="P133" i="6" s="1"/>
  <c r="E107" i="32"/>
  <c r="E112" i="32" s="1"/>
  <c r="M29" i="10"/>
  <c r="O67" i="6"/>
  <c r="O82" i="6"/>
  <c r="O87" i="6" s="1"/>
  <c r="O38" i="6"/>
  <c r="P40" i="6"/>
  <c r="P68" i="6"/>
  <c r="D8" i="22" s="1"/>
  <c r="G8" i="22" s="1"/>
  <c r="E51" i="32" s="1"/>
  <c r="P43" i="6"/>
  <c r="P83" i="6"/>
  <c r="D23" i="22" s="1"/>
  <c r="G23" i="22" s="1"/>
  <c r="C66" i="32" s="1"/>
  <c r="P66" i="6"/>
  <c r="D6" i="22" s="1"/>
  <c r="G6" i="22" s="1"/>
  <c r="E49" i="32" s="1"/>
  <c r="P39" i="6"/>
  <c r="O17" i="9"/>
  <c r="P123" i="6" s="1"/>
  <c r="P128" i="6" s="1"/>
  <c r="P86" i="6"/>
  <c r="P94" i="6"/>
  <c r="P78" i="6"/>
  <c r="Q35" i="6"/>
  <c r="P69" i="6"/>
  <c r="D9" i="22" s="1"/>
  <c r="G9" i="22" s="1"/>
  <c r="P37" i="6"/>
  <c r="P38" i="6" s="1"/>
  <c r="P19" i="10"/>
  <c r="P21" i="10" s="1"/>
  <c r="Q57" i="6" s="1"/>
  <c r="N19" i="10"/>
  <c r="O120" i="6"/>
  <c r="O44" i="6"/>
  <c r="O45" i="6" s="1"/>
  <c r="O141" i="6" s="1"/>
  <c r="N16" i="9"/>
  <c r="N19" i="9" s="1"/>
  <c r="N72" i="6"/>
  <c r="N55" i="6"/>
  <c r="M21" i="10"/>
  <c r="N57" i="6" s="1"/>
  <c r="N108" i="6"/>
  <c r="D91" i="32" s="1"/>
  <c r="D117" i="32" s="1"/>
  <c r="N87" i="6"/>
  <c r="N128" i="6"/>
  <c r="D107" i="32"/>
  <c r="D112" i="32" s="1"/>
  <c r="Q76" i="6"/>
  <c r="Q30" i="9"/>
  <c r="Q32" i="9" s="1"/>
  <c r="Q26" i="10"/>
  <c r="Q98" i="6"/>
  <c r="N118" i="6"/>
  <c r="N119" i="6" s="1"/>
  <c r="O117" i="13"/>
  <c r="Q29" i="16"/>
  <c r="Q100" i="13"/>
  <c r="P128" i="13"/>
  <c r="Q30" i="15"/>
  <c r="Q32" i="15" s="1"/>
  <c r="Q75" i="13"/>
  <c r="G59" i="32" s="1"/>
  <c r="S32" i="13"/>
  <c r="O16" i="15"/>
  <c r="O19" i="15" s="1"/>
  <c r="O71" i="13"/>
  <c r="N18" i="16"/>
  <c r="N19" i="16" s="1"/>
  <c r="P37" i="16"/>
  <c r="P101" i="13"/>
  <c r="Q18" i="10"/>
  <c r="R16" i="10" s="1"/>
  <c r="M34" i="15"/>
  <c r="D15" i="24" s="1"/>
  <c r="M36" i="15"/>
  <c r="N114" i="13" s="1"/>
  <c r="N142" i="13" s="1"/>
  <c r="M25" i="15"/>
  <c r="O141" i="13"/>
  <c r="P81" i="13"/>
  <c r="C22" i="22" s="1"/>
  <c r="P66" i="13"/>
  <c r="C7" i="22" s="1"/>
  <c r="P43" i="13"/>
  <c r="P44" i="13" s="1"/>
  <c r="P37" i="13"/>
  <c r="O86" i="13"/>
  <c r="Q26" i="16"/>
  <c r="Q97" i="13"/>
  <c r="G81" i="32" s="1"/>
  <c r="P120" i="13"/>
  <c r="P27" i="16"/>
  <c r="P98" i="13"/>
  <c r="C39" i="22" s="1"/>
  <c r="P34" i="16"/>
  <c r="N23" i="15"/>
  <c r="P17" i="15"/>
  <c r="Q123" i="13" s="1"/>
  <c r="Q67" i="13"/>
  <c r="R34" i="13"/>
  <c r="Q85" i="13"/>
  <c r="Q42" i="13"/>
  <c r="Q82" i="13"/>
  <c r="Q93" i="13"/>
  <c r="Q77" i="13"/>
  <c r="Q39" i="13"/>
  <c r="Q38" i="13"/>
  <c r="Q36" i="13"/>
  <c r="Q37" i="13" s="1"/>
  <c r="Q65" i="13"/>
  <c r="Q68" i="13"/>
  <c r="C52" i="32" l="1"/>
  <c r="D51" i="32"/>
  <c r="C51" i="32"/>
  <c r="C49" i="32"/>
  <c r="D49" i="32"/>
  <c r="Q37" i="10"/>
  <c r="R102" i="6" s="1"/>
  <c r="D18" i="22"/>
  <c r="G18" i="22" s="1"/>
  <c r="F81" i="32"/>
  <c r="D34" i="22"/>
  <c r="G34" i="22" s="1"/>
  <c r="D26" i="22"/>
  <c r="G26" i="22" s="1"/>
  <c r="E69" i="32" s="1"/>
  <c r="G16" i="22"/>
  <c r="F66" i="32"/>
  <c r="F52" i="32"/>
  <c r="F51" i="32"/>
  <c r="C42" i="22"/>
  <c r="G42" i="22" s="1"/>
  <c r="C85" i="32" s="1"/>
  <c r="D81" i="32"/>
  <c r="E52" i="32"/>
  <c r="D52" i="32"/>
  <c r="E66" i="32"/>
  <c r="D66" i="32"/>
  <c r="I60" i="19"/>
  <c r="I61" i="19" s="1"/>
  <c r="I78" i="19"/>
  <c r="I79" i="19" s="1"/>
  <c r="R131" i="13"/>
  <c r="H115" i="32" s="1"/>
  <c r="G67" i="32" s="1"/>
  <c r="C34" i="32"/>
  <c r="E34" i="32"/>
  <c r="D34" i="32"/>
  <c r="G34" i="32"/>
  <c r="F34" i="32"/>
  <c r="H34" i="32"/>
  <c r="S33" i="6"/>
  <c r="I14" i="32" s="1"/>
  <c r="I52" i="7"/>
  <c r="I51" i="7" s="1"/>
  <c r="H38" i="7"/>
  <c r="H40" i="7" s="1"/>
  <c r="C14" i="32"/>
  <c r="E14" i="32"/>
  <c r="C32" i="32"/>
  <c r="D8" i="32"/>
  <c r="D12" i="32"/>
  <c r="D11" i="32"/>
  <c r="C12" i="32"/>
  <c r="C16" i="32"/>
  <c r="C13" i="32"/>
  <c r="D16" i="32"/>
  <c r="D17" i="32"/>
  <c r="C15" i="32"/>
  <c r="D13" i="32"/>
  <c r="C10" i="32"/>
  <c r="D10" i="32"/>
  <c r="C11" i="32"/>
  <c r="C17" i="32"/>
  <c r="C8" i="32"/>
  <c r="E8" i="32"/>
  <c r="E13" i="32"/>
  <c r="E12" i="32"/>
  <c r="E16" i="32"/>
  <c r="E17" i="32"/>
  <c r="E15" i="32"/>
  <c r="E10" i="32"/>
  <c r="D15" i="32"/>
  <c r="E11" i="32"/>
  <c r="D14" i="32"/>
  <c r="F12" i="32"/>
  <c r="F16" i="32"/>
  <c r="F8" i="32"/>
  <c r="F10" i="32"/>
  <c r="F13" i="32"/>
  <c r="G15" i="32"/>
  <c r="F15" i="32"/>
  <c r="G8" i="32"/>
  <c r="G14" i="32"/>
  <c r="F11" i="32"/>
  <c r="F14" i="32"/>
  <c r="H15" i="32"/>
  <c r="H14" i="32"/>
  <c r="D16" i="24"/>
  <c r="D17" i="24"/>
  <c r="D19" i="24" s="1"/>
  <c r="D29" i="24" s="1"/>
  <c r="D31" i="24" s="1"/>
  <c r="D98" i="32" s="1"/>
  <c r="M34" i="9"/>
  <c r="M25" i="9"/>
  <c r="N22" i="9" s="1"/>
  <c r="O21" i="10"/>
  <c r="P57" i="6" s="1"/>
  <c r="P55" i="6"/>
  <c r="P108" i="6"/>
  <c r="F107" i="32"/>
  <c r="F112" i="32" s="1"/>
  <c r="Q108" i="6"/>
  <c r="Q55" i="6"/>
  <c r="O118" i="6"/>
  <c r="O119" i="6" s="1"/>
  <c r="P120" i="6"/>
  <c r="N29" i="10"/>
  <c r="N101" i="6"/>
  <c r="M27" i="10"/>
  <c r="N21" i="10"/>
  <c r="O57" i="6" s="1"/>
  <c r="O108" i="6"/>
  <c r="O55" i="6"/>
  <c r="N24" i="10"/>
  <c r="N33" i="10" s="1"/>
  <c r="O133" i="6" s="1"/>
  <c r="P44" i="6"/>
  <c r="P45" i="6" s="1"/>
  <c r="P141" i="6" s="1"/>
  <c r="M34" i="10"/>
  <c r="R26" i="10"/>
  <c r="S98" i="6" s="1"/>
  <c r="R98" i="6"/>
  <c r="P24" i="10"/>
  <c r="P33" i="10" s="1"/>
  <c r="Q133" i="6" s="1"/>
  <c r="R30" i="9"/>
  <c r="R32" i="9" s="1"/>
  <c r="S76" i="6" s="1"/>
  <c r="R76" i="6"/>
  <c r="P67" i="6"/>
  <c r="D7" i="22" s="1"/>
  <c r="G7" i="22" s="1"/>
  <c r="D50" i="32" s="1"/>
  <c r="P82" i="6"/>
  <c r="Q39" i="6"/>
  <c r="G12" i="32" s="1"/>
  <c r="Q43" i="6"/>
  <c r="G16" i="32" s="1"/>
  <c r="Q68" i="6"/>
  <c r="G51" i="32" s="1"/>
  <c r="P17" i="9"/>
  <c r="Q123" i="6" s="1"/>
  <c r="Q128" i="6" s="1"/>
  <c r="Q37" i="6"/>
  <c r="G10" i="32" s="1"/>
  <c r="Q78" i="6"/>
  <c r="Q69" i="6"/>
  <c r="G52" i="32" s="1"/>
  <c r="Q86" i="6"/>
  <c r="G69" i="32" s="1"/>
  <c r="R35" i="6"/>
  <c r="H8" i="32" s="1"/>
  <c r="Q94" i="6"/>
  <c r="G77" i="32" s="1"/>
  <c r="Q66" i="6"/>
  <c r="G49" i="32" s="1"/>
  <c r="Q83" i="6"/>
  <c r="G66" i="32" s="1"/>
  <c r="Q40" i="6"/>
  <c r="G13" i="32" s="1"/>
  <c r="O72" i="6"/>
  <c r="N23" i="9"/>
  <c r="O16" i="9"/>
  <c r="O19" i="9" s="1"/>
  <c r="F49" i="32"/>
  <c r="Q27" i="16"/>
  <c r="Q98" i="13"/>
  <c r="Q34" i="16"/>
  <c r="N22" i="15"/>
  <c r="N25" i="15" s="1"/>
  <c r="M27" i="15"/>
  <c r="N73" i="13" s="1"/>
  <c r="N72" i="13"/>
  <c r="Q128" i="13"/>
  <c r="Q19" i="10"/>
  <c r="R18" i="10"/>
  <c r="R19" i="10" s="1"/>
  <c r="P117" i="13"/>
  <c r="P118" i="13" s="1"/>
  <c r="R30" i="15"/>
  <c r="R32" i="15" s="1"/>
  <c r="S75" i="13" s="1"/>
  <c r="I59" i="32" s="1"/>
  <c r="R75" i="13"/>
  <c r="H59" i="32" s="1"/>
  <c r="R29" i="16"/>
  <c r="S100" i="13" s="1"/>
  <c r="R100" i="13"/>
  <c r="Q120" i="13"/>
  <c r="P141" i="13"/>
  <c r="N21" i="16"/>
  <c r="O56" i="13" s="1"/>
  <c r="O54" i="13"/>
  <c r="E37" i="32" s="1"/>
  <c r="E39" i="32" s="1"/>
  <c r="N24" i="16"/>
  <c r="N33" i="16" s="1"/>
  <c r="O133" i="13" s="1"/>
  <c r="O118" i="13"/>
  <c r="N36" i="15"/>
  <c r="O114" i="13" s="1"/>
  <c r="O142" i="13" s="1"/>
  <c r="N34" i="15"/>
  <c r="E15" i="24" s="1"/>
  <c r="Q37" i="16"/>
  <c r="Q101" i="13"/>
  <c r="O16" i="16"/>
  <c r="O107" i="13"/>
  <c r="R10" i="9"/>
  <c r="P86" i="13"/>
  <c r="C27" i="22" s="1"/>
  <c r="P16" i="15"/>
  <c r="P19" i="15" s="1"/>
  <c r="P71" i="13"/>
  <c r="C12" i="22" s="1"/>
  <c r="R97" i="13"/>
  <c r="H81" i="32" s="1"/>
  <c r="R26" i="16"/>
  <c r="O23" i="15"/>
  <c r="Q66" i="13"/>
  <c r="Q81" i="13"/>
  <c r="Q43" i="13"/>
  <c r="Q44" i="13" s="1"/>
  <c r="Q17" i="15"/>
  <c r="R123" i="13" s="1"/>
  <c r="R42" i="13"/>
  <c r="R68" i="13"/>
  <c r="R93" i="13"/>
  <c r="R85" i="13"/>
  <c r="R65" i="13"/>
  <c r="R77" i="13"/>
  <c r="R38" i="13"/>
  <c r="R36" i="13"/>
  <c r="R67" i="13"/>
  <c r="S34" i="13"/>
  <c r="R82" i="13"/>
  <c r="R39" i="13"/>
  <c r="E50" i="32" l="1"/>
  <c r="C77" i="32"/>
  <c r="E77" i="32"/>
  <c r="C61" i="32"/>
  <c r="E61" i="32"/>
  <c r="F69" i="32"/>
  <c r="C69" i="32"/>
  <c r="C50" i="32"/>
  <c r="D59" i="32"/>
  <c r="C59" i="32"/>
  <c r="D69" i="32"/>
  <c r="D4" i="31"/>
  <c r="F77" i="32"/>
  <c r="D77" i="32"/>
  <c r="F61" i="32"/>
  <c r="D61" i="32"/>
  <c r="F85" i="32"/>
  <c r="E85" i="32"/>
  <c r="R37" i="10"/>
  <c r="S102" i="6" s="1"/>
  <c r="G85" i="32"/>
  <c r="E91" i="32"/>
  <c r="E117" i="32" s="1"/>
  <c r="E59" i="32"/>
  <c r="F59" i="32"/>
  <c r="P87" i="6"/>
  <c r="D27" i="22" s="1"/>
  <c r="D22" i="22"/>
  <c r="G22" i="22" s="1"/>
  <c r="F50" i="32"/>
  <c r="I62" i="19"/>
  <c r="I63" i="19" s="1"/>
  <c r="I43" i="19"/>
  <c r="I15" i="32"/>
  <c r="I34" i="32"/>
  <c r="I53" i="7"/>
  <c r="I43" i="7" s="1"/>
  <c r="F17" i="32"/>
  <c r="F22" i="32" s="1"/>
  <c r="M27" i="9"/>
  <c r="N74" i="6" s="1"/>
  <c r="N73" i="6"/>
  <c r="D22" i="32"/>
  <c r="E22" i="32"/>
  <c r="N25" i="9"/>
  <c r="N27" i="9" s="1"/>
  <c r="O74" i="6" s="1"/>
  <c r="C22" i="32"/>
  <c r="C30" i="32" s="1"/>
  <c r="C35" i="32"/>
  <c r="Q120" i="6"/>
  <c r="C97" i="32"/>
  <c r="C105" i="32" s="1"/>
  <c r="G107" i="32"/>
  <c r="G112" i="32" s="1"/>
  <c r="G61" i="32"/>
  <c r="Q117" i="13"/>
  <c r="Q118" i="13" s="1"/>
  <c r="P118" i="6"/>
  <c r="P119" i="6" s="1"/>
  <c r="Q44" i="6"/>
  <c r="G17" i="32" s="1"/>
  <c r="N27" i="10"/>
  <c r="N99" i="6"/>
  <c r="N34" i="10"/>
  <c r="R39" i="6"/>
  <c r="H12" i="32" s="1"/>
  <c r="R86" i="6"/>
  <c r="H69" i="32" s="1"/>
  <c r="R40" i="6"/>
  <c r="H13" i="32" s="1"/>
  <c r="R43" i="6"/>
  <c r="H16" i="32" s="1"/>
  <c r="Q17" i="9"/>
  <c r="R123" i="6" s="1"/>
  <c r="R128" i="6" s="1"/>
  <c r="R78" i="6"/>
  <c r="R94" i="6"/>
  <c r="H77" i="32" s="1"/>
  <c r="R37" i="6"/>
  <c r="H10" i="32" s="1"/>
  <c r="R66" i="6"/>
  <c r="H49" i="32" s="1"/>
  <c r="R69" i="6"/>
  <c r="H52" i="32" s="1"/>
  <c r="S35" i="6"/>
  <c r="I8" i="32" s="1"/>
  <c r="I4" i="31" s="1"/>
  <c r="R68" i="6"/>
  <c r="R83" i="6"/>
  <c r="H66" i="32" s="1"/>
  <c r="O29" i="10"/>
  <c r="O101" i="6"/>
  <c r="P16" i="9"/>
  <c r="P19" i="9" s="1"/>
  <c r="P72" i="6"/>
  <c r="D12" i="22" s="1"/>
  <c r="G12" i="22" s="1"/>
  <c r="C55" i="32" s="1"/>
  <c r="O23" i="9"/>
  <c r="E17" i="24"/>
  <c r="E19" i="24" s="1"/>
  <c r="E29" i="24" s="1"/>
  <c r="E31" i="24" s="1"/>
  <c r="E98" i="32" s="1"/>
  <c r="E16" i="24"/>
  <c r="N34" i="9"/>
  <c r="N36" i="9"/>
  <c r="O115" i="6" s="1"/>
  <c r="O142" i="6" s="1"/>
  <c r="Q38" i="6"/>
  <c r="G11" i="32" s="1"/>
  <c r="Q67" i="6"/>
  <c r="Q82" i="6"/>
  <c r="Q87" i="6" s="1"/>
  <c r="R21" i="10"/>
  <c r="S57" i="6" s="1"/>
  <c r="S108" i="6"/>
  <c r="S55" i="6"/>
  <c r="R24" i="10"/>
  <c r="R33" i="10" s="1"/>
  <c r="S133" i="6" s="1"/>
  <c r="R66" i="13"/>
  <c r="R81" i="13"/>
  <c r="R43" i="13"/>
  <c r="R128" i="13"/>
  <c r="Q21" i="10"/>
  <c r="R57" i="6" s="1"/>
  <c r="R108" i="6"/>
  <c r="R55" i="6"/>
  <c r="Q24" i="10"/>
  <c r="Q33" i="10" s="1"/>
  <c r="R133" i="6" s="1"/>
  <c r="R37" i="13"/>
  <c r="Q141" i="13"/>
  <c r="R120" i="13"/>
  <c r="Q16" i="15"/>
  <c r="Q19" i="15" s="1"/>
  <c r="Q71" i="13"/>
  <c r="O36" i="15"/>
  <c r="P114" i="13" s="1"/>
  <c r="P142" i="13" s="1"/>
  <c r="O34" i="15"/>
  <c r="F15" i="24" s="1"/>
  <c r="O18" i="16"/>
  <c r="O19" i="16" s="1"/>
  <c r="N27" i="15"/>
  <c r="O73" i="13" s="1"/>
  <c r="O22" i="15"/>
  <c r="O25" i="15" s="1"/>
  <c r="O72" i="13"/>
  <c r="S97" i="13"/>
  <c r="I81" i="32" s="1"/>
  <c r="R17" i="15"/>
  <c r="S123" i="13" s="1"/>
  <c r="S82" i="13"/>
  <c r="S65" i="13"/>
  <c r="S68" i="13"/>
  <c r="S77" i="13"/>
  <c r="S93" i="13"/>
  <c r="S36" i="13"/>
  <c r="S38" i="13"/>
  <c r="S67" i="13"/>
  <c r="S42" i="13"/>
  <c r="S85" i="13"/>
  <c r="S39" i="13"/>
  <c r="P23" i="15"/>
  <c r="R37" i="16"/>
  <c r="S101" i="13" s="1"/>
  <c r="I85" i="32" s="1"/>
  <c r="R101" i="13"/>
  <c r="H85" i="32" s="1"/>
  <c r="R27" i="16"/>
  <c r="S98" i="13" s="1"/>
  <c r="R98" i="13"/>
  <c r="R34" i="16"/>
  <c r="C65" i="32" l="1"/>
  <c r="C101" i="32" s="1"/>
  <c r="E65" i="32"/>
  <c r="E101" i="32" s="1"/>
  <c r="G4" i="31"/>
  <c r="D104" i="32"/>
  <c r="F104" i="32"/>
  <c r="G104" i="32"/>
  <c r="F65" i="32"/>
  <c r="F101" i="32" s="1"/>
  <c r="D65" i="32"/>
  <c r="D101" i="32" s="1"/>
  <c r="E102" i="32" s="1"/>
  <c r="E104" i="32"/>
  <c r="F4" i="31"/>
  <c r="H4" i="31"/>
  <c r="F55" i="32"/>
  <c r="E55" i="32"/>
  <c r="D55" i="32"/>
  <c r="I54" i="7"/>
  <c r="H51" i="32"/>
  <c r="Q45" i="6"/>
  <c r="Q141" i="6" s="1"/>
  <c r="O22" i="9"/>
  <c r="O25" i="9" s="1"/>
  <c r="O73" i="6"/>
  <c r="G22" i="32"/>
  <c r="C121" i="32"/>
  <c r="C123" i="32" s="1"/>
  <c r="C128" i="32"/>
  <c r="S37" i="13"/>
  <c r="C125" i="32"/>
  <c r="C126" i="32" s="1"/>
  <c r="Q118" i="6"/>
  <c r="Q119" i="6" s="1"/>
  <c r="R120" i="6"/>
  <c r="G65" i="32"/>
  <c r="H107" i="32"/>
  <c r="H112" i="32" s="1"/>
  <c r="R67" i="6"/>
  <c r="H50" i="32" s="1"/>
  <c r="R82" i="6"/>
  <c r="H65" i="32" s="1"/>
  <c r="R38" i="6"/>
  <c r="H11" i="32" s="1"/>
  <c r="P29" i="10"/>
  <c r="P101" i="6"/>
  <c r="O27" i="10"/>
  <c r="O99" i="6"/>
  <c r="O34" i="10"/>
  <c r="G50" i="32"/>
  <c r="O34" i="9"/>
  <c r="O36" i="9"/>
  <c r="P115" i="6" s="1"/>
  <c r="P142" i="6" s="1"/>
  <c r="F16" i="24"/>
  <c r="F17" i="24"/>
  <c r="F19" i="24" s="1"/>
  <c r="F29" i="24" s="1"/>
  <c r="F31" i="24" s="1"/>
  <c r="F98" i="32" s="1"/>
  <c r="H61" i="32"/>
  <c r="H104" i="32" s="1"/>
  <c r="S68" i="6"/>
  <c r="S43" i="6"/>
  <c r="I16" i="32" s="1"/>
  <c r="S40" i="6"/>
  <c r="I13" i="32" s="1"/>
  <c r="S39" i="6"/>
  <c r="I12" i="32" s="1"/>
  <c r="S78" i="6"/>
  <c r="I61" i="32" s="1"/>
  <c r="S37" i="6"/>
  <c r="I10" i="32" s="1"/>
  <c r="R17" i="9"/>
  <c r="S123" i="6" s="1"/>
  <c r="S128" i="6" s="1"/>
  <c r="S83" i="6"/>
  <c r="I66" i="32" s="1"/>
  <c r="S94" i="6"/>
  <c r="I77" i="32" s="1"/>
  <c r="S86" i="6"/>
  <c r="I69" i="32" s="1"/>
  <c r="S66" i="6"/>
  <c r="I49" i="32" s="1"/>
  <c r="S69" i="6"/>
  <c r="I52" i="32" s="1"/>
  <c r="R44" i="6"/>
  <c r="H17" i="32" s="1"/>
  <c r="P23" i="9"/>
  <c r="Q16" i="9"/>
  <c r="Q19" i="9" s="1"/>
  <c r="Q72" i="6"/>
  <c r="G55" i="32" s="1"/>
  <c r="R86" i="13"/>
  <c r="P34" i="15"/>
  <c r="G15" i="24" s="1"/>
  <c r="P36" i="15"/>
  <c r="Q114" i="13" s="1"/>
  <c r="Q142" i="13" s="1"/>
  <c r="S128" i="13"/>
  <c r="O21" i="16"/>
  <c r="P56" i="13" s="1"/>
  <c r="P54" i="13"/>
  <c r="F37" i="32" s="1"/>
  <c r="F39" i="32" s="1"/>
  <c r="O24" i="16"/>
  <c r="O33" i="16" s="1"/>
  <c r="P133" i="13" s="1"/>
  <c r="P16" i="16"/>
  <c r="P107" i="13"/>
  <c r="F91" i="32" s="1"/>
  <c r="S66" i="13"/>
  <c r="S81" i="13"/>
  <c r="S43" i="13"/>
  <c r="R117" i="13"/>
  <c r="S120" i="13"/>
  <c r="E125" i="32"/>
  <c r="E126" i="32" s="1"/>
  <c r="D125" i="32"/>
  <c r="D126" i="32" s="1"/>
  <c r="O27" i="15"/>
  <c r="P73" i="13" s="1"/>
  <c r="C14" i="22" s="1"/>
  <c r="P22" i="15"/>
  <c r="P25" i="15" s="1"/>
  <c r="P72" i="13"/>
  <c r="C13" i="22" s="1"/>
  <c r="R16" i="15"/>
  <c r="R19" i="15" s="1"/>
  <c r="R71" i="13"/>
  <c r="Q23" i="15"/>
  <c r="R44" i="13"/>
  <c r="D102" i="32" l="1"/>
  <c r="F102" i="32"/>
  <c r="F117" i="32"/>
  <c r="D41" i="22"/>
  <c r="E41" i="22" s="1"/>
  <c r="G41" i="22" s="1"/>
  <c r="I38" i="7"/>
  <c r="I40" i="7" s="1"/>
  <c r="I55" i="7"/>
  <c r="I45" i="7" s="1"/>
  <c r="S131" i="13"/>
  <c r="S131" i="6"/>
  <c r="I51" i="32"/>
  <c r="R45" i="6"/>
  <c r="R141" i="6" s="1"/>
  <c r="P22" i="9"/>
  <c r="P25" i="9" s="1"/>
  <c r="Q22" i="9" s="1"/>
  <c r="O27" i="9"/>
  <c r="P74" i="6" s="1"/>
  <c r="P73" i="6"/>
  <c r="D13" i="22" s="1"/>
  <c r="G13" i="22" s="1"/>
  <c r="G14" i="22" s="1"/>
  <c r="G101" i="32"/>
  <c r="H22" i="32"/>
  <c r="G125" i="32"/>
  <c r="I107" i="32"/>
  <c r="I112" i="32" s="1"/>
  <c r="R118" i="6"/>
  <c r="R119" i="6" s="1"/>
  <c r="H101" i="32"/>
  <c r="S120" i="6"/>
  <c r="S44" i="6"/>
  <c r="I17" i="32" s="1"/>
  <c r="P27" i="10"/>
  <c r="P99" i="6"/>
  <c r="D39" i="22" s="1"/>
  <c r="E39" i="22" s="1"/>
  <c r="G39" i="22" s="1"/>
  <c r="P34" i="10"/>
  <c r="I104" i="32"/>
  <c r="Q29" i="10"/>
  <c r="Q101" i="6"/>
  <c r="R16" i="9"/>
  <c r="R19" i="9" s="1"/>
  <c r="R72" i="6"/>
  <c r="H55" i="32" s="1"/>
  <c r="Q23" i="9"/>
  <c r="S67" i="6"/>
  <c r="I50" i="32" s="1"/>
  <c r="S82" i="6"/>
  <c r="S87" i="6" s="1"/>
  <c r="P34" i="9"/>
  <c r="P36" i="9"/>
  <c r="Q115" i="6" s="1"/>
  <c r="Q142" i="6" s="1"/>
  <c r="G17" i="24"/>
  <c r="G19" i="24" s="1"/>
  <c r="G29" i="24" s="1"/>
  <c r="G31" i="24" s="1"/>
  <c r="G98" i="32" s="1"/>
  <c r="G16" i="24"/>
  <c r="S38" i="6"/>
  <c r="I11" i="32" s="1"/>
  <c r="S44" i="13"/>
  <c r="Q34" i="15"/>
  <c r="H15" i="24" s="1"/>
  <c r="Q36" i="15"/>
  <c r="R114" i="13" s="1"/>
  <c r="R142" i="13" s="1"/>
  <c r="S86" i="13"/>
  <c r="S71" i="13"/>
  <c r="R23" i="15"/>
  <c r="Q22" i="15"/>
  <c r="Q25" i="15" s="1"/>
  <c r="P27" i="15"/>
  <c r="Q73" i="13" s="1"/>
  <c r="Q72" i="13"/>
  <c r="P18" i="16"/>
  <c r="P19" i="16" s="1"/>
  <c r="R118" i="13"/>
  <c r="R141" i="13"/>
  <c r="S117" i="13"/>
  <c r="S118" i="13" s="1"/>
  <c r="D57" i="32" l="1"/>
  <c r="D56" i="32" s="1"/>
  <c r="E57" i="32"/>
  <c r="E56" i="32" s="1"/>
  <c r="C57" i="32"/>
  <c r="C82" i="32"/>
  <c r="D82" i="32" s="1"/>
  <c r="E82" i="32" s="1"/>
  <c r="F82" i="32" s="1"/>
  <c r="G82" i="32" s="1"/>
  <c r="H82" i="32" s="1"/>
  <c r="I82" i="32" s="1"/>
  <c r="H102" i="32"/>
  <c r="G102" i="32"/>
  <c r="G84" i="32"/>
  <c r="C84" i="32"/>
  <c r="D84" i="32"/>
  <c r="E84" i="32"/>
  <c r="F57" i="32"/>
  <c r="F56" i="32" s="1"/>
  <c r="D14" i="22"/>
  <c r="F84" i="32"/>
  <c r="I115" i="32"/>
  <c r="H67" i="32" s="1"/>
  <c r="S45" i="6"/>
  <c r="S141" i="6" s="1"/>
  <c r="I22" i="32"/>
  <c r="Q73" i="6"/>
  <c r="P27" i="9"/>
  <c r="Q74" i="6" s="1"/>
  <c r="G57" i="32" s="1"/>
  <c r="H125" i="32"/>
  <c r="Q25" i="9"/>
  <c r="Q27" i="9" s="1"/>
  <c r="R74" i="6" s="1"/>
  <c r="G126" i="32"/>
  <c r="S118" i="6"/>
  <c r="S119" i="6" s="1"/>
  <c r="H16" i="24"/>
  <c r="Q36" i="9"/>
  <c r="R115" i="6" s="1"/>
  <c r="R142" i="6" s="1"/>
  <c r="Q34" i="9"/>
  <c r="H17" i="24"/>
  <c r="H19" i="24" s="1"/>
  <c r="H29" i="24" s="1"/>
  <c r="H31" i="24" s="1"/>
  <c r="H98" i="32" s="1"/>
  <c r="S72" i="6"/>
  <c r="I55" i="32" s="1"/>
  <c r="R23" i="9"/>
  <c r="Q99" i="6"/>
  <c r="Q34" i="10"/>
  <c r="Q27" i="10"/>
  <c r="I65" i="32"/>
  <c r="I70" i="32" s="1"/>
  <c r="R29" i="10"/>
  <c r="S101" i="6" s="1"/>
  <c r="I84" i="32" s="1"/>
  <c r="R101" i="6"/>
  <c r="H84" i="32" s="1"/>
  <c r="P21" i="16"/>
  <c r="Q56" i="13" s="1"/>
  <c r="Q54" i="13"/>
  <c r="G37" i="32" s="1"/>
  <c r="G39" i="32" s="1"/>
  <c r="P24" i="16"/>
  <c r="P33" i="16" s="1"/>
  <c r="Q133" i="13" s="1"/>
  <c r="Q16" i="16"/>
  <c r="Q107" i="13"/>
  <c r="G91" i="32" s="1"/>
  <c r="G117" i="32" s="1"/>
  <c r="S141" i="13"/>
  <c r="R34" i="15"/>
  <c r="I15" i="24" s="1"/>
  <c r="R36" i="15"/>
  <c r="S114" i="13" s="1"/>
  <c r="S142" i="13" s="1"/>
  <c r="Q27" i="15"/>
  <c r="R73" i="13" s="1"/>
  <c r="R22" i="15"/>
  <c r="R25" i="15" s="1"/>
  <c r="R72" i="13"/>
  <c r="H57" i="32" l="1"/>
  <c r="H56" i="32" s="1"/>
  <c r="G56" i="32"/>
  <c r="I125" i="32"/>
  <c r="R22" i="9"/>
  <c r="R25" i="9" s="1"/>
  <c r="S73" i="6" s="1"/>
  <c r="R73" i="6"/>
  <c r="I101" i="32"/>
  <c r="I102" i="32" s="1"/>
  <c r="R36" i="9"/>
  <c r="S115" i="6" s="1"/>
  <c r="S142" i="6" s="1"/>
  <c r="R34" i="9"/>
  <c r="I17" i="24"/>
  <c r="I19" i="24" s="1"/>
  <c r="I29" i="24" s="1"/>
  <c r="I31" i="24" s="1"/>
  <c r="I98" i="32" s="1"/>
  <c r="I16" i="24"/>
  <c r="R27" i="10"/>
  <c r="S99" i="6" s="1"/>
  <c r="R34" i="10"/>
  <c r="R99" i="6"/>
  <c r="H126" i="32"/>
  <c r="Q18" i="16"/>
  <c r="Q19" i="16" s="1"/>
  <c r="R27" i="15"/>
  <c r="S73" i="13" s="1"/>
  <c r="S72" i="13"/>
  <c r="R27" i="9" l="1"/>
  <c r="S74" i="6" s="1"/>
  <c r="I57" i="32" s="1"/>
  <c r="I126" i="32"/>
  <c r="I5" i="31" s="1"/>
  <c r="I6" i="31" s="1"/>
  <c r="Q21" i="16"/>
  <c r="R56" i="13" s="1"/>
  <c r="R54" i="13"/>
  <c r="H37" i="32" s="1"/>
  <c r="H39" i="32" s="1"/>
  <c r="Q24" i="16"/>
  <c r="Q33" i="16" s="1"/>
  <c r="R133" i="13" s="1"/>
  <c r="R16" i="16"/>
  <c r="R107" i="13"/>
  <c r="H91" i="32" s="1"/>
  <c r="H117" i="32" s="1"/>
  <c r="G5" i="31" l="1"/>
  <c r="G6" i="31" s="1"/>
  <c r="H5" i="31"/>
  <c r="H6" i="31" s="1"/>
  <c r="I56" i="32"/>
  <c r="R18" i="16"/>
  <c r="S107" i="13" s="1"/>
  <c r="I91" i="32" s="1"/>
  <c r="R19" i="16" l="1"/>
  <c r="R21" i="16" l="1"/>
  <c r="S56" i="13" s="1"/>
  <c r="S54" i="13"/>
  <c r="I37" i="32" s="1"/>
  <c r="I39" i="32" s="1"/>
  <c r="R24" i="16"/>
  <c r="R33" i="16" s="1"/>
  <c r="S133" i="13" s="1"/>
  <c r="I117" i="32" s="1"/>
  <c r="F125" i="32" l="1"/>
  <c r="F126" i="32" s="1"/>
  <c r="D5" i="31" s="1"/>
  <c r="D6" i="31" s="1"/>
  <c r="D47" i="7"/>
  <c r="N47" i="6" s="1"/>
  <c r="N50" i="6" s="1"/>
  <c r="E47" i="7"/>
  <c r="O47" i="6" s="1"/>
  <c r="O50" i="6" s="1"/>
  <c r="F47" i="7"/>
  <c r="P47" i="6" s="1"/>
  <c r="P50" i="6" s="1"/>
  <c r="G47" i="7"/>
  <c r="Q47" i="6" s="1"/>
  <c r="Q50" i="6" s="1"/>
  <c r="H47" i="7"/>
  <c r="R47" i="6" s="1"/>
  <c r="R50" i="6" s="1"/>
  <c r="R51" i="6" s="1"/>
  <c r="I47" i="7"/>
  <c r="S47" i="6" s="1"/>
  <c r="S50" i="6" s="1"/>
  <c r="S51" i="6" s="1"/>
  <c r="S52" i="6" s="1"/>
  <c r="R84" i="6"/>
  <c r="N89" i="6"/>
  <c r="N92" i="6" s="1"/>
  <c r="O89" i="6"/>
  <c r="O92" i="6" s="1"/>
  <c r="P89" i="6"/>
  <c r="P92" i="6" s="1"/>
  <c r="Q89" i="6"/>
  <c r="Q92" i="6" s="1"/>
  <c r="R89" i="6"/>
  <c r="R92" i="6" s="1"/>
  <c r="S89" i="6"/>
  <c r="S92" i="6" s="1"/>
  <c r="N130" i="6"/>
  <c r="N134" i="6" s="1"/>
  <c r="O130" i="6"/>
  <c r="O134" i="6" s="1"/>
  <c r="P130" i="6"/>
  <c r="P134" i="6" s="1"/>
  <c r="Q130" i="6"/>
  <c r="Q134" i="6" s="1"/>
  <c r="R130" i="6"/>
  <c r="R134" i="6" s="1"/>
  <c r="S130" i="6"/>
  <c r="S134" i="6" s="1"/>
  <c r="D22" i="23" a="1"/>
  <c r="D22" i="23" s="1"/>
  <c r="E5" i="31" l="1"/>
  <c r="F5" i="31"/>
  <c r="F6" i="31" s="1"/>
  <c r="R87" i="6"/>
  <c r="H70" i="32"/>
  <c r="F22" i="23"/>
  <c r="C9" i="20" s="1"/>
  <c r="C8" i="20" s="1"/>
  <c r="P51" i="6"/>
  <c r="P52" i="6" s="1"/>
  <c r="N51" i="6"/>
  <c r="N52" i="6" s="1"/>
  <c r="R32" i="10"/>
  <c r="S58" i="6"/>
  <c r="O51" i="6"/>
  <c r="O52" i="6" s="1"/>
  <c r="D32" i="22"/>
  <c r="Q51" i="6"/>
  <c r="Q52" i="6" s="1"/>
  <c r="R52" i="6"/>
  <c r="D29" i="22"/>
  <c r="G22" i="23" l="1"/>
  <c r="C42" i="23" s="1"/>
  <c r="N58" i="6"/>
  <c r="M32" i="10"/>
  <c r="M35" i="10" s="1"/>
  <c r="Q32" i="10"/>
  <c r="R58" i="6"/>
  <c r="P32" i="10"/>
  <c r="Q58" i="6"/>
  <c r="O32" i="10"/>
  <c r="P58" i="6"/>
  <c r="C38" i="23"/>
  <c r="O58" i="6"/>
  <c r="N32" i="10"/>
  <c r="I22" i="23" l="1"/>
  <c r="M38" i="10"/>
  <c r="N103" i="6" s="1"/>
  <c r="N31" i="10"/>
  <c r="N35" i="10" s="1"/>
  <c r="N100" i="6"/>
  <c r="N38" i="10" l="1"/>
  <c r="O103" i="6" s="1"/>
  <c r="O31" i="10"/>
  <c r="O35" i="10" s="1"/>
  <c r="O100" i="6"/>
  <c r="O38" i="10" l="1"/>
  <c r="P103" i="6" s="1"/>
  <c r="P31" i="10"/>
  <c r="P35" i="10" s="1"/>
  <c r="P100" i="6"/>
  <c r="D40" i="22" s="1"/>
  <c r="E40" i="22" s="1"/>
  <c r="D43" i="22" l="1"/>
  <c r="E43" i="22" s="1"/>
  <c r="C13" i="21"/>
  <c r="C25" i="21" s="1"/>
  <c r="P38" i="10"/>
  <c r="Q103" i="6" s="1"/>
  <c r="Q31" i="10"/>
  <c r="Q35" i="10" s="1"/>
  <c r="Q100" i="6"/>
  <c r="E15" i="22" l="1"/>
  <c r="G15" i="22" s="1"/>
  <c r="D58" i="32" s="1"/>
  <c r="G23" i="2"/>
  <c r="Q38" i="10"/>
  <c r="R103" i="6" s="1"/>
  <c r="R31" i="10"/>
  <c r="R35" i="10" s="1"/>
  <c r="R100" i="6"/>
  <c r="E58" i="32" l="1"/>
  <c r="C58" i="32"/>
  <c r="I58" i="32"/>
  <c r="G58" i="32"/>
  <c r="H58" i="32"/>
  <c r="F58" i="32"/>
  <c r="R38" i="10"/>
  <c r="S103" i="6" s="1"/>
  <c r="S100" i="6"/>
  <c r="N95" i="6"/>
  <c r="N114" i="6"/>
  <c r="N121" i="6" s="1"/>
  <c r="N144" i="6" s="1"/>
  <c r="O114" i="6"/>
  <c r="O121" i="6" s="1"/>
  <c r="O144" i="6" s="1"/>
  <c r="P114" i="6"/>
  <c r="P121" i="6" s="1"/>
  <c r="Q114" i="6"/>
  <c r="Q121" i="6" s="1"/>
  <c r="R114" i="6"/>
  <c r="R121" i="6" s="1"/>
  <c r="S114" i="6"/>
  <c r="S121" i="6" s="1"/>
  <c r="S137" i="6" s="1"/>
  <c r="N96" i="6" l="1"/>
  <c r="N105" i="6" s="1"/>
  <c r="O95" i="6"/>
  <c r="P95" i="6" s="1"/>
  <c r="P96" i="6" s="1"/>
  <c r="P105" i="6" s="1"/>
  <c r="S144" i="6"/>
  <c r="Q137" i="6"/>
  <c r="Q144" i="6"/>
  <c r="P137" i="6"/>
  <c r="P144" i="6"/>
  <c r="O137" i="6"/>
  <c r="N137" i="6"/>
  <c r="N139" i="6" s="1"/>
  <c r="R137" i="6"/>
  <c r="R144" i="6"/>
  <c r="D35" i="22" l="1"/>
  <c r="G35" i="22" s="1"/>
  <c r="Q95" i="6"/>
  <c r="R95" i="6" s="1"/>
  <c r="O96" i="6"/>
  <c r="O105" i="6" s="1"/>
  <c r="D41" i="7"/>
  <c r="D48" i="7" s="1"/>
  <c r="N65" i="6"/>
  <c r="O138" i="6"/>
  <c r="O139" i="6" s="1"/>
  <c r="D45" i="22"/>
  <c r="C78" i="32" l="1"/>
  <c r="D78" i="32" s="1"/>
  <c r="E78" i="32" s="1"/>
  <c r="F78" i="32" s="1"/>
  <c r="G78" i="32" s="1"/>
  <c r="H78" i="32" s="1"/>
  <c r="I78" i="32" s="1"/>
  <c r="D36" i="22"/>
  <c r="Q96" i="6"/>
  <c r="Q105" i="6" s="1"/>
  <c r="D29" i="2"/>
  <c r="D31" i="2" s="1"/>
  <c r="J28" i="2" s="1"/>
  <c r="N143" i="6"/>
  <c r="E41" i="7"/>
  <c r="E48" i="7" s="1"/>
  <c r="O143" i="6" s="1"/>
  <c r="O65" i="6"/>
  <c r="O70" i="6" s="1"/>
  <c r="O80" i="6" s="1"/>
  <c r="O107" i="6" s="1"/>
  <c r="P138" i="6"/>
  <c r="P139" i="6" s="1"/>
  <c r="N70" i="6"/>
  <c r="R96" i="6"/>
  <c r="R105" i="6" s="1"/>
  <c r="S95" i="6"/>
  <c r="S96" i="6" s="1"/>
  <c r="S105" i="6" s="1"/>
  <c r="N80" i="6" l="1"/>
  <c r="F41" i="7"/>
  <c r="F48" i="7" s="1"/>
  <c r="P143" i="6" s="1"/>
  <c r="P65" i="6"/>
  <c r="Q138" i="6"/>
  <c r="Q139" i="6" s="1"/>
  <c r="P70" i="6" l="1"/>
  <c r="D5" i="22"/>
  <c r="N107" i="6"/>
  <c r="G41" i="7"/>
  <c r="G48" i="7" s="1"/>
  <c r="Q143" i="6" s="1"/>
  <c r="Q65" i="6"/>
  <c r="Q70" i="6" s="1"/>
  <c r="Q80" i="6" s="1"/>
  <c r="Q107" i="6" s="1"/>
  <c r="R138" i="6"/>
  <c r="R139" i="6" s="1"/>
  <c r="P80" i="6" l="1"/>
  <c r="D10" i="22"/>
  <c r="H41" i="7"/>
  <c r="H48" i="7" s="1"/>
  <c r="R143" i="6" s="1"/>
  <c r="R65" i="6"/>
  <c r="R70" i="6" s="1"/>
  <c r="R80" i="6" s="1"/>
  <c r="R107" i="6" s="1"/>
  <c r="S138" i="6"/>
  <c r="S139" i="6" s="1"/>
  <c r="P107" i="6" l="1"/>
  <c r="D20" i="22"/>
  <c r="I41" i="7"/>
  <c r="I48" i="7" s="1"/>
  <c r="S143" i="6" s="1"/>
  <c r="S65" i="6"/>
  <c r="S70" i="6" s="1"/>
  <c r="S80" i="6" s="1"/>
  <c r="S107" i="6" s="1"/>
  <c r="C56" i="32"/>
  <c r="G23" i="32" l="1"/>
  <c r="H23" i="32"/>
  <c r="I23" i="32"/>
  <c r="G114" i="32"/>
  <c r="G118" i="32" s="1"/>
  <c r="H114" i="32"/>
  <c r="H118" i="32" s="1"/>
  <c r="I114" i="32"/>
  <c r="I118" i="32" s="1"/>
  <c r="G70" i="32" l="1"/>
  <c r="D85" i="32"/>
  <c r="E4" i="31"/>
  <c r="E6" i="31" s="1"/>
  <c r="C83" i="32" l="1"/>
  <c r="C86" i="32" l="1"/>
  <c r="C67" i="32"/>
  <c r="C70" i="32" l="1"/>
  <c r="C72" i="32"/>
  <c r="C75" i="32" s="1"/>
  <c r="D70" i="23"/>
  <c r="D122" i="32" l="1"/>
  <c r="C48" i="32"/>
  <c r="C53" i="32" s="1"/>
  <c r="C63" i="32" s="1"/>
  <c r="C79" i="32"/>
  <c r="C88" i="32" s="1"/>
  <c r="C90" i="32" l="1"/>
  <c r="C127" i="32"/>
  <c r="D40" i="32" l="1"/>
  <c r="D73" i="32"/>
  <c r="D100" i="32"/>
  <c r="I7" i="31"/>
  <c r="I8" i="31"/>
  <c r="I9" i="31"/>
  <c r="I13" i="31"/>
  <c r="I14" i="31"/>
  <c r="D69" i="23"/>
  <c r="D24" i="32" s="1"/>
  <c r="D72" i="23"/>
  <c r="D26" i="32" s="1"/>
  <c r="I10" i="31" l="1"/>
  <c r="D73" i="23"/>
  <c r="E67" i="32" l="1"/>
  <c r="E70" i="32" s="1"/>
  <c r="E23" i="32" l="1"/>
  <c r="F23" i="32"/>
  <c r="F67" i="32"/>
  <c r="F70" i="32" s="1"/>
  <c r="E114" i="32"/>
  <c r="E118" i="32" s="1"/>
  <c r="F114" i="32"/>
  <c r="F118" i="32" s="1"/>
  <c r="G7" i="2"/>
  <c r="J8" i="2"/>
  <c r="G13" i="2"/>
  <c r="J13" i="2"/>
  <c r="G36" i="19"/>
  <c r="D37" i="19"/>
  <c r="E37" i="19"/>
  <c r="F37" i="19"/>
  <c r="G37" i="19"/>
  <c r="H37" i="19"/>
  <c r="I37" i="19"/>
  <c r="D39" i="19"/>
  <c r="E39" i="19"/>
  <c r="F39" i="19"/>
  <c r="G39" i="19"/>
  <c r="H39" i="19"/>
  <c r="I39" i="19"/>
  <c r="D40" i="19"/>
  <c r="E40" i="19"/>
  <c r="F40" i="19"/>
  <c r="G40" i="19"/>
  <c r="H40" i="19"/>
  <c r="I40" i="19"/>
  <c r="D42" i="19"/>
  <c r="E42" i="19"/>
  <c r="F42" i="19"/>
  <c r="G42" i="19"/>
  <c r="H42" i="19"/>
  <c r="I42" i="19"/>
  <c r="D44" i="19"/>
  <c r="E44" i="19"/>
  <c r="F44" i="19"/>
  <c r="G44" i="19"/>
  <c r="H44" i="19"/>
  <c r="I44" i="19"/>
  <c r="D46" i="19"/>
  <c r="E46" i="19"/>
  <c r="F46" i="19"/>
  <c r="G46" i="19"/>
  <c r="H46" i="19"/>
  <c r="I46" i="19"/>
  <c r="D47" i="19"/>
  <c r="E47" i="19"/>
  <c r="F47" i="19"/>
  <c r="G47" i="19"/>
  <c r="H47" i="19"/>
  <c r="I47" i="19"/>
  <c r="E50" i="19"/>
  <c r="F50" i="19"/>
  <c r="G50" i="19"/>
  <c r="H50" i="19"/>
  <c r="I50" i="19"/>
  <c r="D51" i="19"/>
  <c r="E51" i="19"/>
  <c r="F51" i="19"/>
  <c r="G51" i="19"/>
  <c r="H51" i="19"/>
  <c r="I51" i="19"/>
  <c r="E52" i="19"/>
  <c r="F52" i="19"/>
  <c r="G52" i="19"/>
  <c r="H52" i="19"/>
  <c r="I52" i="19"/>
  <c r="D53" i="19"/>
  <c r="E53" i="19"/>
  <c r="F53" i="19"/>
  <c r="G53" i="19"/>
  <c r="H53" i="19"/>
  <c r="I53" i="19"/>
  <c r="D54" i="19"/>
  <c r="E54" i="19"/>
  <c r="F54" i="19"/>
  <c r="G54" i="19"/>
  <c r="H54" i="19"/>
  <c r="I54" i="19"/>
  <c r="D55" i="19"/>
  <c r="E55" i="19"/>
  <c r="F55" i="19"/>
  <c r="G55" i="19"/>
  <c r="H55" i="19"/>
  <c r="I55" i="19"/>
  <c r="N31" i="16"/>
  <c r="O31" i="16"/>
  <c r="P31" i="16"/>
  <c r="Q31" i="16"/>
  <c r="R31" i="16"/>
  <c r="M32" i="16"/>
  <c r="N32" i="16"/>
  <c r="O32" i="16"/>
  <c r="P32" i="16"/>
  <c r="Q32" i="16"/>
  <c r="R32" i="16"/>
  <c r="M35" i="16"/>
  <c r="N35" i="16"/>
  <c r="O35" i="16"/>
  <c r="P35" i="16"/>
  <c r="Q35" i="16"/>
  <c r="R35" i="16"/>
  <c r="M38" i="16"/>
  <c r="N38" i="16"/>
  <c r="O38" i="16"/>
  <c r="P38" i="16"/>
  <c r="Q38" i="16"/>
  <c r="R38" i="16"/>
  <c r="N46" i="13"/>
  <c r="O46" i="13"/>
  <c r="P46" i="13"/>
  <c r="Q46" i="13"/>
  <c r="R46" i="13"/>
  <c r="S46" i="13"/>
  <c r="N49" i="13"/>
  <c r="O49" i="13"/>
  <c r="P49" i="13"/>
  <c r="Q49" i="13"/>
  <c r="R49" i="13"/>
  <c r="S49" i="13"/>
  <c r="N50" i="13"/>
  <c r="O50" i="13"/>
  <c r="P50" i="13"/>
  <c r="Q50" i="13"/>
  <c r="R50" i="13"/>
  <c r="S50" i="13"/>
  <c r="N51" i="13"/>
  <c r="O51" i="13"/>
  <c r="P51" i="13"/>
  <c r="Q51" i="13"/>
  <c r="R51" i="13"/>
  <c r="S51" i="13"/>
  <c r="N57" i="13"/>
  <c r="O57" i="13"/>
  <c r="P57" i="13"/>
  <c r="Q57" i="13"/>
  <c r="R57" i="13"/>
  <c r="S57" i="13"/>
  <c r="N64" i="13"/>
  <c r="O64" i="13"/>
  <c r="P64" i="13"/>
  <c r="Q64" i="13"/>
  <c r="R64" i="13"/>
  <c r="S64" i="13"/>
  <c r="N69" i="13"/>
  <c r="O69" i="13"/>
  <c r="P69" i="13"/>
  <c r="Q69" i="13"/>
  <c r="R69" i="13"/>
  <c r="S69" i="13"/>
  <c r="N79" i="13"/>
  <c r="O79" i="13"/>
  <c r="P79" i="13"/>
  <c r="Q79" i="13"/>
  <c r="R79" i="13"/>
  <c r="S79" i="13"/>
  <c r="Q83" i="13"/>
  <c r="Q86" i="13"/>
  <c r="N88" i="13"/>
  <c r="O88" i="13"/>
  <c r="P88" i="13"/>
  <c r="Q88" i="13"/>
  <c r="R88" i="13"/>
  <c r="S88" i="13"/>
  <c r="N91" i="13"/>
  <c r="O91" i="13"/>
  <c r="P91" i="13"/>
  <c r="Q91" i="13"/>
  <c r="R91" i="13"/>
  <c r="S91" i="13"/>
  <c r="N95" i="13"/>
  <c r="O95" i="13"/>
  <c r="P95" i="13"/>
  <c r="Q95" i="13"/>
  <c r="R95" i="13"/>
  <c r="S95" i="13"/>
  <c r="N99" i="13"/>
  <c r="O99" i="13"/>
  <c r="P99" i="13"/>
  <c r="Q99" i="13"/>
  <c r="R99" i="13"/>
  <c r="S99" i="13"/>
  <c r="N102" i="13"/>
  <c r="O102" i="13"/>
  <c r="P102" i="13"/>
  <c r="Q102" i="13"/>
  <c r="R102" i="13"/>
  <c r="S102" i="13"/>
  <c r="N104" i="13"/>
  <c r="O104" i="13"/>
  <c r="P104" i="13"/>
  <c r="Q104" i="13"/>
  <c r="R104" i="13"/>
  <c r="S104" i="13"/>
  <c r="N106" i="13"/>
  <c r="O106" i="13"/>
  <c r="P106" i="13"/>
  <c r="Q106" i="13"/>
  <c r="R106" i="13"/>
  <c r="S106" i="13"/>
  <c r="N113" i="13"/>
  <c r="O113" i="13"/>
  <c r="P113" i="13"/>
  <c r="Q113" i="13"/>
  <c r="R113" i="13"/>
  <c r="S113" i="13"/>
  <c r="N121" i="13"/>
  <c r="O121" i="13"/>
  <c r="P121" i="13"/>
  <c r="Q121" i="13"/>
  <c r="R121" i="13"/>
  <c r="S121" i="13"/>
  <c r="N130" i="13"/>
  <c r="O130" i="13"/>
  <c r="P130" i="13"/>
  <c r="Q130" i="13"/>
  <c r="R130" i="13"/>
  <c r="S130" i="13"/>
  <c r="N134" i="13"/>
  <c r="O134" i="13"/>
  <c r="P134" i="13"/>
  <c r="Q134" i="13"/>
  <c r="R134" i="13"/>
  <c r="S134" i="13"/>
  <c r="N137" i="13"/>
  <c r="O137" i="13"/>
  <c r="P137" i="13"/>
  <c r="Q137" i="13"/>
  <c r="R137" i="13"/>
  <c r="S137" i="13"/>
  <c r="O138" i="13"/>
  <c r="P138" i="13"/>
  <c r="Q138" i="13"/>
  <c r="R138" i="13"/>
  <c r="S138" i="13"/>
  <c r="N139" i="13"/>
  <c r="O139" i="13"/>
  <c r="P139" i="13"/>
  <c r="Q139" i="13"/>
  <c r="R139" i="13"/>
  <c r="S139" i="13"/>
  <c r="N143" i="13"/>
  <c r="O143" i="13"/>
  <c r="P143" i="13"/>
  <c r="Q143" i="13"/>
  <c r="R143" i="13"/>
  <c r="S143" i="13"/>
  <c r="N144" i="13"/>
  <c r="O144" i="13"/>
  <c r="P144" i="13"/>
  <c r="Q144" i="13"/>
  <c r="R144" i="13"/>
  <c r="S144" i="13"/>
  <c r="D23" i="32"/>
  <c r="E24" i="32"/>
  <c r="F24" i="32"/>
  <c r="G24" i="32"/>
  <c r="H24" i="32"/>
  <c r="I24" i="32"/>
  <c r="E26" i="32"/>
  <c r="F26" i="32"/>
  <c r="G26" i="32"/>
  <c r="H26" i="32"/>
  <c r="I26" i="32"/>
  <c r="D27" i="32"/>
  <c r="E27" i="32"/>
  <c r="F27" i="32"/>
  <c r="G27" i="32"/>
  <c r="H27" i="32"/>
  <c r="I27" i="32"/>
  <c r="D30" i="32"/>
  <c r="E30" i="32"/>
  <c r="F30" i="32"/>
  <c r="G30" i="32"/>
  <c r="H30" i="32"/>
  <c r="I30" i="32"/>
  <c r="D31" i="32"/>
  <c r="E31" i="32"/>
  <c r="F31" i="32"/>
  <c r="G31" i="32"/>
  <c r="H31" i="32"/>
  <c r="I31" i="32"/>
  <c r="D32" i="32"/>
  <c r="E32" i="32"/>
  <c r="F32" i="32"/>
  <c r="G32" i="32"/>
  <c r="H32" i="32"/>
  <c r="I32" i="32"/>
  <c r="D33" i="32"/>
  <c r="E33" i="32"/>
  <c r="F33" i="32"/>
  <c r="G33" i="32"/>
  <c r="H33" i="32"/>
  <c r="I33" i="32"/>
  <c r="D35" i="32"/>
  <c r="E35" i="32"/>
  <c r="F35" i="32"/>
  <c r="G35" i="32"/>
  <c r="H35" i="32"/>
  <c r="I35" i="32"/>
  <c r="E40" i="32"/>
  <c r="F40" i="32"/>
  <c r="G40" i="32"/>
  <c r="H40" i="32"/>
  <c r="I40" i="32"/>
  <c r="D41" i="32"/>
  <c r="E41" i="32"/>
  <c r="F41" i="32"/>
  <c r="G41" i="32"/>
  <c r="H41" i="32"/>
  <c r="I41" i="32"/>
  <c r="D42" i="32"/>
  <c r="E42" i="32"/>
  <c r="F42" i="32"/>
  <c r="G42" i="32"/>
  <c r="H42" i="32"/>
  <c r="I42" i="32"/>
  <c r="D48" i="32"/>
  <c r="E48" i="32"/>
  <c r="F48" i="32"/>
  <c r="G48" i="32"/>
  <c r="H48" i="32"/>
  <c r="I48" i="32"/>
  <c r="D53" i="32"/>
  <c r="E53" i="32"/>
  <c r="F53" i="32"/>
  <c r="G53" i="32"/>
  <c r="H53" i="32"/>
  <c r="I53" i="32"/>
  <c r="D63" i="32"/>
  <c r="E63" i="32"/>
  <c r="F63" i="32"/>
  <c r="G63" i="32"/>
  <c r="H63" i="32"/>
  <c r="I63" i="32"/>
  <c r="D67" i="32"/>
  <c r="D70" i="32"/>
  <c r="D72" i="32"/>
  <c r="E72" i="32"/>
  <c r="F72" i="32"/>
  <c r="G72" i="32"/>
  <c r="H72" i="32"/>
  <c r="I72" i="32"/>
  <c r="E73" i="32"/>
  <c r="F73" i="32"/>
  <c r="G73" i="32"/>
  <c r="H73" i="32"/>
  <c r="I73" i="32"/>
  <c r="D75" i="32"/>
  <c r="E75" i="32"/>
  <c r="F75" i="32"/>
  <c r="G75" i="32"/>
  <c r="H75" i="32"/>
  <c r="I75" i="32"/>
  <c r="D79" i="32"/>
  <c r="E79" i="32"/>
  <c r="F79" i="32"/>
  <c r="G79" i="32"/>
  <c r="H79" i="32"/>
  <c r="I79" i="32"/>
  <c r="D83" i="32"/>
  <c r="E83" i="32"/>
  <c r="F83" i="32"/>
  <c r="G83" i="32"/>
  <c r="H83" i="32"/>
  <c r="I83" i="32"/>
  <c r="D86" i="32"/>
  <c r="E86" i="32"/>
  <c r="F86" i="32"/>
  <c r="G86" i="32"/>
  <c r="H86" i="32"/>
  <c r="I86" i="32"/>
  <c r="D88" i="32"/>
  <c r="E88" i="32"/>
  <c r="F88" i="32"/>
  <c r="G88" i="32"/>
  <c r="H88" i="32"/>
  <c r="I88" i="32"/>
  <c r="D90" i="32"/>
  <c r="E90" i="32"/>
  <c r="F90" i="32"/>
  <c r="G90" i="32"/>
  <c r="H90" i="32"/>
  <c r="I90" i="32"/>
  <c r="D97" i="32"/>
  <c r="E97" i="32"/>
  <c r="F97" i="32"/>
  <c r="G97" i="32"/>
  <c r="H97" i="32"/>
  <c r="I97" i="32"/>
  <c r="E100" i="32"/>
  <c r="F100" i="32"/>
  <c r="G100" i="32"/>
  <c r="H100" i="32"/>
  <c r="I100" i="32"/>
  <c r="D105" i="32"/>
  <c r="E105" i="32"/>
  <c r="F105" i="32"/>
  <c r="G105" i="32"/>
  <c r="H105" i="32"/>
  <c r="I105" i="32"/>
  <c r="D114" i="32"/>
  <c r="D118" i="32"/>
  <c r="D121" i="32"/>
  <c r="E121" i="32"/>
  <c r="F121" i="32"/>
  <c r="G121" i="32"/>
  <c r="H121" i="32"/>
  <c r="I121" i="32"/>
  <c r="E122" i="32"/>
  <c r="F122" i="32"/>
  <c r="G122" i="32"/>
  <c r="H122" i="32"/>
  <c r="I122" i="32"/>
  <c r="D123" i="32"/>
  <c r="E123" i="32"/>
  <c r="F123" i="32"/>
  <c r="G123" i="32"/>
  <c r="H123" i="32"/>
  <c r="I123" i="32"/>
  <c r="D127" i="32"/>
  <c r="E127" i="32"/>
  <c r="F127" i="32"/>
  <c r="G127" i="32"/>
  <c r="H127" i="32"/>
  <c r="I127" i="32"/>
  <c r="D128" i="32"/>
  <c r="E128" i="32"/>
  <c r="F128" i="32"/>
  <c r="G128" i="32"/>
  <c r="H128" i="32"/>
  <c r="I128" i="32"/>
  <c r="C5" i="22"/>
  <c r="F5" i="22"/>
  <c r="G5" i="22"/>
  <c r="C10" i="22"/>
  <c r="G10" i="22"/>
  <c r="C20" i="22"/>
  <c r="G20" i="22"/>
  <c r="F24" i="22" a="1"/>
  <c r="F24" i="22"/>
  <c r="G24" i="22"/>
  <c r="G27" i="22"/>
  <c r="C29" i="22"/>
  <c r="F29" i="22" a="1"/>
  <c r="F29" i="22"/>
  <c r="G29" i="22"/>
  <c r="C32" i="22"/>
  <c r="F32" i="22"/>
  <c r="G32" i="22"/>
  <c r="C36" i="22"/>
  <c r="G36" i="22"/>
  <c r="C40" i="22"/>
  <c r="G40" i="22"/>
  <c r="C43" i="22"/>
  <c r="G43" i="22"/>
  <c r="C45" i="22"/>
  <c r="G45" i="22"/>
  <c r="G47" i="22"/>
  <c r="C16" i="20"/>
  <c r="C17" i="20"/>
  <c r="C27" i="20"/>
  <c r="C34" i="20"/>
  <c r="C39" i="20"/>
  <c r="C40" i="20"/>
  <c r="D7" i="31"/>
  <c r="E7" i="31"/>
  <c r="F7" i="31"/>
  <c r="G7" i="31"/>
  <c r="H7" i="31"/>
  <c r="D8" i="31"/>
  <c r="E8" i="31"/>
  <c r="F8" i="31"/>
  <c r="G8" i="31"/>
  <c r="H8" i="31"/>
  <c r="D9" i="31"/>
  <c r="E9" i="31"/>
  <c r="F9" i="31"/>
  <c r="G9" i="31"/>
  <c r="H9" i="31"/>
  <c r="D10" i="31"/>
  <c r="E10" i="31"/>
  <c r="F10" i="31"/>
  <c r="G10" i="31"/>
  <c r="H10" i="31"/>
  <c r="D13" i="31"/>
  <c r="E13" i="31"/>
  <c r="F13" i="31"/>
  <c r="G13" i="31"/>
  <c r="H13" i="31"/>
  <c r="D14" i="31"/>
  <c r="E14" i="31"/>
  <c r="F14" i="31"/>
  <c r="G14" i="31"/>
  <c r="H14" i="31"/>
  <c r="D6" i="23" a="1"/>
  <c r="D6" i="23"/>
  <c r="F6" i="23"/>
  <c r="G6" i="23"/>
  <c r="H6" i="23"/>
  <c r="I6" i="23"/>
  <c r="C37" i="23"/>
  <c r="C39" i="23"/>
  <c r="C41" i="23"/>
  <c r="C43" i="23"/>
  <c r="C45" i="23"/>
  <c r="I51" i="23"/>
  <c r="J51" i="23"/>
  <c r="I52" i="23"/>
  <c r="J52" i="23"/>
  <c r="I53" i="23"/>
  <c r="J53" i="23"/>
  <c r="I54" i="23"/>
  <c r="J54" i="23"/>
  <c r="I55" i="23"/>
  <c r="J55" i="23"/>
  <c r="I56" i="23"/>
  <c r="J56" i="23"/>
  <c r="I57" i="23"/>
  <c r="J57" i="23"/>
  <c r="I58" i="23"/>
  <c r="J58" i="23"/>
  <c r="I59" i="23"/>
  <c r="J59" i="23"/>
  <c r="I60" i="23"/>
  <c r="J60" i="23"/>
  <c r="I61" i="23"/>
  <c r="J61" i="23"/>
  <c r="J62" i="23"/>
  <c r="C64" i="23"/>
  <c r="E69" i="23"/>
  <c r="F69" i="23"/>
  <c r="G69" i="23"/>
  <c r="H69" i="23"/>
  <c r="I69" i="23"/>
  <c r="E70" i="23"/>
  <c r="F70" i="23"/>
  <c r="G70" i="23"/>
  <c r="H70" i="23"/>
  <c r="I70" i="23"/>
  <c r="E72" i="23"/>
  <c r="F72" i="23"/>
  <c r="G72" i="23"/>
  <c r="H72" i="23"/>
  <c r="I72" i="23"/>
  <c r="E73" i="23"/>
  <c r="F73" i="23"/>
  <c r="G73" i="23"/>
  <c r="H73" i="23"/>
  <c r="I73" i="2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27EB5B-4244-D845-ABFF-D93311828550}" name="44701110 - AllReports" type="6" refreshedVersion="8" background="1" saveData="1">
    <textPr codePage="65001" sourceFile="/Users/evanhassan/Downloads/44701110 - AllReports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4B431A3C-8E50-594E-ADC6-8AB6CD4A9FE7}" name="OLN - AllReports" type="6" refreshedVersion="8" background="1" saveData="1">
    <textPr codePage="65001" sourceFile="/Users/evanhassan/Downloads/OLN - AllReports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<sst xmlns="http://schemas.openxmlformats.org/spreadsheetml/2006/main" count="1950" uniqueCount="583">
  <si>
    <t>Target Company Name</t>
  </si>
  <si>
    <t>Acquirer Company Name</t>
  </si>
  <si>
    <t>Huntsman Corporation</t>
  </si>
  <si>
    <t>Olin Corporation</t>
  </si>
  <si>
    <t>Purchase Price</t>
  </si>
  <si>
    <t xml:space="preserve">Equity Value - Cash Consideration </t>
  </si>
  <si>
    <t>Equity Value - Cash in Shares</t>
  </si>
  <si>
    <t>Target Debt Value</t>
  </si>
  <si>
    <t>Target Enterprise Value</t>
  </si>
  <si>
    <t>EV/EBITDA</t>
  </si>
  <si>
    <t>P/E Ratio</t>
  </si>
  <si>
    <t>Shares Issued</t>
  </si>
  <si>
    <t>Number of Shares</t>
  </si>
  <si>
    <t>Stock Price of Shares</t>
  </si>
  <si>
    <t>Value of Shares Issued</t>
  </si>
  <si>
    <t>Debt Issued</t>
  </si>
  <si>
    <t>Issue 1</t>
  </si>
  <si>
    <t>Transaction Overview</t>
  </si>
  <si>
    <t>Transaction Announcement:</t>
  </si>
  <si>
    <t>Consideration Type:</t>
  </si>
  <si>
    <t>Offer Price / Exchange Ratio</t>
  </si>
  <si>
    <t>Target Diluted Shares</t>
  </si>
  <si>
    <t>Uses of Funds</t>
  </si>
  <si>
    <t>Transaction Fees</t>
  </si>
  <si>
    <t>Financing Fees</t>
  </si>
  <si>
    <t>Total Uses</t>
  </si>
  <si>
    <t>Sources of Funds</t>
  </si>
  <si>
    <t>Existing Cash Used</t>
  </si>
  <si>
    <t>Total Sources</t>
  </si>
  <si>
    <t>Debt Refinanced or Repaid</t>
  </si>
  <si>
    <t>Equity Consideration</t>
  </si>
  <si>
    <t>Exchange Ratio</t>
  </si>
  <si>
    <t>Acquirer Share Price</t>
  </si>
  <si>
    <t>Target Share Price</t>
  </si>
  <si>
    <t>Cash Consideration %</t>
  </si>
  <si>
    <t>Stock Consideration %</t>
  </si>
  <si>
    <t>Enterprise Value</t>
  </si>
  <si>
    <t>Enterprise Value(target)</t>
  </si>
  <si>
    <t xml:space="preserve">EV / EBITDA </t>
  </si>
  <si>
    <t>Target Book Equity</t>
  </si>
  <si>
    <t>Existing Intangibles</t>
  </si>
  <si>
    <t>PP&amp;E Step Up</t>
  </si>
  <si>
    <t>New Identifiable Liabilities</t>
  </si>
  <si>
    <t>New Goodwill</t>
  </si>
  <si>
    <t>Ongoing Assumptions:</t>
  </si>
  <si>
    <t>Goodwill Calculation</t>
  </si>
  <si>
    <t xml:space="preserve">Plus:  </t>
  </si>
  <si>
    <t>Less:</t>
  </si>
  <si>
    <t>Tax Rate</t>
  </si>
  <si>
    <t>Integration Costs</t>
  </si>
  <si>
    <t>Refinancing Rate</t>
  </si>
  <si>
    <t>Rate</t>
  </si>
  <si>
    <t>%</t>
  </si>
  <si>
    <t>Bank Revolver</t>
  </si>
  <si>
    <t>Senior Bank Term "A"</t>
  </si>
  <si>
    <t>Senior Bank Term "B"</t>
  </si>
  <si>
    <t>Other Long-Term Debt #1</t>
  </si>
  <si>
    <t>Other Long-Term Debt #2</t>
  </si>
  <si>
    <t>Other Long-Term Debt #3</t>
  </si>
  <si>
    <t>Other Long-Term Debt #4</t>
  </si>
  <si>
    <t>Common Stock</t>
  </si>
  <si>
    <t>Consideration Assumptions</t>
  </si>
  <si>
    <t>All Stock</t>
  </si>
  <si>
    <t>Debt Instrument</t>
  </si>
  <si>
    <t>Multiples:</t>
  </si>
  <si>
    <t>Cash Per Target Share</t>
  </si>
  <si>
    <t>Stock Per Target Share</t>
  </si>
  <si>
    <t xml:space="preserve">New Debt </t>
  </si>
  <si>
    <t>Transaction Date (or expected):</t>
  </si>
  <si>
    <t>Other Sources</t>
  </si>
  <si>
    <t xml:space="preserve">Existing Goodwill </t>
  </si>
  <si>
    <t>Offier Price Per Share</t>
  </si>
  <si>
    <t xml:space="preserve">Equity Consideration </t>
  </si>
  <si>
    <t>Target Net Debt</t>
  </si>
  <si>
    <t>Run-Rate Synergies</t>
  </si>
  <si>
    <t>PP&amp;E Step Up Life</t>
  </si>
  <si>
    <t>Other Merger Consideration</t>
  </si>
  <si>
    <t>Intangible Amoritiztion Life</t>
  </si>
  <si>
    <t>Additonal Synergies</t>
  </si>
  <si>
    <t>New Senior Notes</t>
  </si>
  <si>
    <t>Total</t>
  </si>
  <si>
    <t>Huntsman Corporation (44701110)</t>
  </si>
  <si>
    <t>Income Statement - Annual (As Originally Reported)</t>
  </si>
  <si>
    <t>Balance Sheet - Annual (As Originally Reported)</t>
  </si>
  <si>
    <t>Cash Flow - Annual (As Originally Reported)</t>
  </si>
  <si>
    <t>Ratio Analysis - Annual (As Originally Reported)</t>
  </si>
  <si>
    <t>FYE December</t>
  </si>
  <si>
    <t>Currency</t>
  </si>
  <si>
    <t>USD</t>
  </si>
  <si>
    <t>Scale</t>
  </si>
  <si>
    <t>Million</t>
  </si>
  <si>
    <t>Total Revenue</t>
  </si>
  <si>
    <t xml:space="preserve">    Cost of Revenue, Total</t>
  </si>
  <si>
    <t>Gross Profit</t>
  </si>
  <si>
    <t xml:space="preserve">    Selling/General/Admin. Expenses, Total</t>
  </si>
  <si>
    <t xml:space="preserve">    Research &amp; Development</t>
  </si>
  <si>
    <t xml:space="preserve">    Depreciation/Amortization</t>
  </si>
  <si>
    <t xml:space="preserve">    Interest Exp.(Inc.), Net-Operating, Total</t>
  </si>
  <si>
    <t xml:space="preserve">    Unusual Expense (Income)</t>
  </si>
  <si>
    <t xml:space="preserve">    Other Operating Expenses, Total</t>
  </si>
  <si>
    <t>Total Operating Expense</t>
  </si>
  <si>
    <t>Operating Income</t>
  </si>
  <si>
    <t xml:space="preserve">    Interest Inc.(Exp.),Net-Non-Op., Total</t>
  </si>
  <si>
    <t xml:space="preserve">    Gain (Loss) on Sale of Assets</t>
  </si>
  <si>
    <t xml:space="preserve">    Other, Net</t>
  </si>
  <si>
    <t>Net Income Before Taxes</t>
  </si>
  <si>
    <t xml:space="preserve">    Provision for Income Taxes</t>
  </si>
  <si>
    <t>Net Income</t>
  </si>
  <si>
    <t>Preferred Dividends</t>
  </si>
  <si>
    <t>Basic EPS Excluding Extraordinary Items</t>
  </si>
  <si>
    <t>Basic EPS Including Extraordinary Items</t>
  </si>
  <si>
    <t>Normalized Basic EPS</t>
  </si>
  <si>
    <t>Basic Weighted Average Shares</t>
  </si>
  <si>
    <t>Diluted EPS Excluding ExtraOrd Items</t>
  </si>
  <si>
    <t>Diluted EPS Including ExtraOrd Items</t>
  </si>
  <si>
    <t>Normalized Diluted EPS</t>
  </si>
  <si>
    <t>Diluted Weighted Average Shares</t>
  </si>
  <si>
    <t>Dividends Per Share</t>
  </si>
  <si>
    <t>Number of Employees</t>
  </si>
  <si>
    <t xml:space="preserve">    Cash &amp; Equivalents</t>
  </si>
  <si>
    <t>Cash, Cash Equiv. &amp; Short Term Inv.</t>
  </si>
  <si>
    <t>Total Receivables, Net</t>
  </si>
  <si>
    <t>Total Inventory</t>
  </si>
  <si>
    <t>Prepaid Expenses</t>
  </si>
  <si>
    <t>Other Current Assets, Total</t>
  </si>
  <si>
    <t>Total Current Assets</t>
  </si>
  <si>
    <t xml:space="preserve">    Property/Plant/Equipment, Total - Gross</t>
  </si>
  <si>
    <t xml:space="preserve">    Accumulated Depreciation, Total</t>
  </si>
  <si>
    <t>Property/Plant/Equipment, Total - Net</t>
  </si>
  <si>
    <t>Goodwill, Net</t>
  </si>
  <si>
    <t>Intangibles, Net</t>
  </si>
  <si>
    <t>Long Term Investments</t>
  </si>
  <si>
    <t>Note Receivable - Long Term</t>
  </si>
  <si>
    <t>Other Long Term Assets, Total</t>
  </si>
  <si>
    <t>Other Assets, Total</t>
  </si>
  <si>
    <t>Total Assets</t>
  </si>
  <si>
    <t>Accounts Payable</t>
  </si>
  <si>
    <t>Payable/Accrued</t>
  </si>
  <si>
    <t>Accrued Expenses</t>
  </si>
  <si>
    <t>Current Port. of  LT Debt/Capital Leases</t>
  </si>
  <si>
    <t>Notes Payable/Short Term Debt</t>
  </si>
  <si>
    <t>Other Current Liabilities, Total</t>
  </si>
  <si>
    <t>Total Current Liabilities</t>
  </si>
  <si>
    <t xml:space="preserve">    Long Term Debt</t>
  </si>
  <si>
    <t xml:space="preserve">    Capital Lease Obligations</t>
  </si>
  <si>
    <t>Total Long Term Debt</t>
  </si>
  <si>
    <t>Deferred Income Tax</t>
  </si>
  <si>
    <t>Other Liabilities, Total</t>
  </si>
  <si>
    <t>Minority Interest</t>
  </si>
  <si>
    <t>Total Liabilities</t>
  </si>
  <si>
    <t>Redeemable Preferred Stock, Total</t>
  </si>
  <si>
    <t>Preferred Stock - Non Redeemable, Net</t>
  </si>
  <si>
    <t>Limited Partner</t>
  </si>
  <si>
    <t>Additional Paid-In Capital</t>
  </si>
  <si>
    <t>Retained Earnings (Accumulated Deficit)</t>
  </si>
  <si>
    <t>Treasury Stock - Common</t>
  </si>
  <si>
    <t>ESOP Debt Guarantee</t>
  </si>
  <si>
    <t>Unrealized Gain (Loss)</t>
  </si>
  <si>
    <t>Other Equity, Total</t>
  </si>
  <si>
    <t>Total Equity</t>
  </si>
  <si>
    <t>Total Liabilities &amp; Shareholders' Equity</t>
  </si>
  <si>
    <t>Total Common Shares Outstanding</t>
  </si>
  <si>
    <t>Changes in Working Capital</t>
  </si>
  <si>
    <t>Cash from Operating Activities</t>
  </si>
  <si>
    <t>Capital Expenditures</t>
  </si>
  <si>
    <t>Investment, Net</t>
  </si>
  <si>
    <t>Software Development Costs</t>
  </si>
  <si>
    <t>Sale of Fixed Assets</t>
  </si>
  <si>
    <t>Acquisition of Business</t>
  </si>
  <si>
    <t>Sale/Maturity of Investment</t>
  </si>
  <si>
    <t>Other Investing Cash Flow Items, Total</t>
  </si>
  <si>
    <t>Cash from Investing Activities</t>
  </si>
  <si>
    <t>Short Term Debt, Net</t>
  </si>
  <si>
    <t>Issuance (Retirement) of Debt, Net</t>
  </si>
  <si>
    <t>Issuance (Retirement) of Stock, Net</t>
  </si>
  <si>
    <t>Total Cash Dividends Paid</t>
  </si>
  <si>
    <t>Cash from Financing Activities</t>
  </si>
  <si>
    <t>Foreign Exchange Effects</t>
  </si>
  <si>
    <t>Net Change in Cash</t>
  </si>
  <si>
    <t>Net Cash - Beginning Balance</t>
  </si>
  <si>
    <t>Net Cash - Ending Balance</t>
  </si>
  <si>
    <t>Profitability</t>
  </si>
  <si>
    <t>Gross Margin</t>
  </si>
  <si>
    <t>Operating Margin</t>
  </si>
  <si>
    <t>Pretax Margin</t>
  </si>
  <si>
    <t>Effective Tax Rate</t>
  </si>
  <si>
    <t>Net Profit Margin</t>
  </si>
  <si>
    <t>Normalized EBIT</t>
  </si>
  <si>
    <t>Normalized EBITDA</t>
  </si>
  <si>
    <t>EBITDA Margin %</t>
  </si>
  <si>
    <t>Management Effectiveness</t>
  </si>
  <si>
    <t>Normalized Return on Equity % TTM</t>
  </si>
  <si>
    <t>Normalized Return on Capital % TTM</t>
  </si>
  <si>
    <t>Normalized Return on Assets % TTM</t>
  </si>
  <si>
    <t>Financial Strength</t>
  </si>
  <si>
    <t>Total Current Assets less Inventory</t>
  </si>
  <si>
    <t>Quick Ratio</t>
  </si>
  <si>
    <t>Current Ratio</t>
  </si>
  <si>
    <t>Net Debt</t>
  </si>
  <si>
    <t>Long Term Debt / Equity %</t>
  </si>
  <si>
    <t>Long Term Debt / Capital %</t>
  </si>
  <si>
    <t>Net Debt / Equity %</t>
  </si>
  <si>
    <t>Total Debt / Total Equity %</t>
  </si>
  <si>
    <t>Total Debt / Total Capital %</t>
  </si>
  <si>
    <t>Total Debt / Assets %</t>
  </si>
  <si>
    <t>Interest Coverage</t>
  </si>
  <si>
    <t>Financial Leverage Ratio</t>
  </si>
  <si>
    <t>Efficiency</t>
  </si>
  <si>
    <t>Days Inventory (DOH)</t>
  </si>
  <si>
    <t>Days Receivable (DSO)</t>
  </si>
  <si>
    <t>Days Payable (DP)</t>
  </si>
  <si>
    <t>Cash Cycle (DOH+DSO-DP)</t>
  </si>
  <si>
    <t>Asset Turnover TTM</t>
  </si>
  <si>
    <t>Receivables Turnover TTM</t>
  </si>
  <si>
    <t>Inventory Turnover TTM</t>
  </si>
  <si>
    <t>Payables Turnover TTM</t>
  </si>
  <si>
    <t>Sales / Inventory TTM</t>
  </si>
  <si>
    <t>Sales / Working Capital TTM</t>
  </si>
  <si>
    <t>Sales / Cash TTM</t>
  </si>
  <si>
    <t>Sales / Fixed Assets TTM</t>
  </si>
  <si>
    <t>Miscellaneous</t>
  </si>
  <si>
    <t>Free Cash Flow TTM</t>
  </si>
  <si>
    <t>Free Cash Flow Per Share TTM</t>
  </si>
  <si>
    <t>Book Value Per Share</t>
  </si>
  <si>
    <t>Tangible Book Value</t>
  </si>
  <si>
    <t>Tangible Book Value per Share</t>
  </si>
  <si>
    <t>Bank Total Revenue</t>
  </si>
  <si>
    <t>Olin Corp (OLN)</t>
  </si>
  <si>
    <t>Debt Financing Switch (0/1)</t>
  </si>
  <si>
    <t>Revenue</t>
  </si>
  <si>
    <t>SG&amp;A</t>
  </si>
  <si>
    <t>R&amp;D</t>
  </si>
  <si>
    <t>Balance Sheet</t>
  </si>
  <si>
    <t>Cash</t>
  </si>
  <si>
    <t>Inventory</t>
  </si>
  <si>
    <t>Other Current Assets</t>
  </si>
  <si>
    <t>Goodwill</t>
  </si>
  <si>
    <t>Other Assets</t>
  </si>
  <si>
    <t>Other Current Liabilities</t>
  </si>
  <si>
    <t>Deferred Taxes</t>
  </si>
  <si>
    <t>D&amp;A</t>
  </si>
  <si>
    <t>Cost of Revenue, Total</t>
  </si>
  <si>
    <t>Cost of Revenue</t>
  </si>
  <si>
    <t>Selling/General/Admin. Expenses, Total</t>
  </si>
  <si>
    <t>Research &amp; Development</t>
  </si>
  <si>
    <t>Depreciation/Amortization</t>
  </si>
  <si>
    <t>Unusual Expense (Income)</t>
  </si>
  <si>
    <t>Other Operating Expenses, Total</t>
  </si>
  <si>
    <t>Other Operating Expenses</t>
  </si>
  <si>
    <t>Interest Inc.(Exp.),Net-Non-Op., Total</t>
  </si>
  <si>
    <t>Interest Expense, Net</t>
  </si>
  <si>
    <t>Gain (Loss) on Sale of Assets</t>
  </si>
  <si>
    <t>Gain (Loss) on Asset Sales</t>
  </si>
  <si>
    <t>Other, Net</t>
  </si>
  <si>
    <t>Other Non-Operating Income (Expense)</t>
  </si>
  <si>
    <t>Pre-Tax Income</t>
  </si>
  <si>
    <t>Provision for Income Taxes</t>
  </si>
  <si>
    <t>Income Taxes</t>
  </si>
  <si>
    <t>Diluted Shares</t>
  </si>
  <si>
    <t>Diluted EPS</t>
  </si>
  <si>
    <t>Cash &amp; Equivalents</t>
  </si>
  <si>
    <t>Cash and Cash Equivalents</t>
  </si>
  <si>
    <t>Accounts Receivable</t>
  </si>
  <si>
    <t>Property/Plant/Equipment, Total - Gross</t>
  </si>
  <si>
    <t>Gross PP&amp;E</t>
  </si>
  <si>
    <t>Accumulated Depreciation, Total</t>
  </si>
  <si>
    <t>Accumulated Depreciation</t>
  </si>
  <si>
    <t>Net PP&amp;E</t>
  </si>
  <si>
    <t>Intangible Assets</t>
  </si>
  <si>
    <t>Long-Term Investments</t>
  </si>
  <si>
    <t>Other Long-Term Assets</t>
  </si>
  <si>
    <t>Current Portion of Debt</t>
  </si>
  <si>
    <t>Long Term Debt</t>
  </si>
  <si>
    <t>Long-Term Debt</t>
  </si>
  <si>
    <t>Capital Lease Obligations</t>
  </si>
  <si>
    <t>Lease Obligations</t>
  </si>
  <si>
    <t>Total Long-Term Debt</t>
  </si>
  <si>
    <t>Other Long-Term Liabilities</t>
  </si>
  <si>
    <t>Noncontrolling Interest</t>
  </si>
  <si>
    <t>Retained Earnings</t>
  </si>
  <si>
    <t>Treasury Stock</t>
  </si>
  <si>
    <t>Other Equity</t>
  </si>
  <si>
    <t>Total Liabilities and Equity</t>
  </si>
  <si>
    <t>Common Shares Outstanding</t>
  </si>
  <si>
    <t>Cash Flow from Operations</t>
  </si>
  <si>
    <t>Investments, Net</t>
  </si>
  <si>
    <t>Proceeds from Asset Sales</t>
  </si>
  <si>
    <t>Acquisitions</t>
  </si>
  <si>
    <t>Other Investing Activities</t>
  </si>
  <si>
    <t>Cash Flow from Investing</t>
  </si>
  <si>
    <t>Change in Short-Term Debt</t>
  </si>
  <si>
    <t>Debt Issuance (Repayment)</t>
  </si>
  <si>
    <t>Stock Issuance (Repurchases)</t>
  </si>
  <si>
    <t>Dividends Paid</t>
  </si>
  <si>
    <t>Cash Flow from Financing</t>
  </si>
  <si>
    <t>Beginning Cash</t>
  </si>
  <si>
    <t>Ending Cash</t>
  </si>
  <si>
    <t>Free Cash Flow</t>
  </si>
  <si>
    <t>Revenue Growth</t>
  </si>
  <si>
    <t>SG&amp;A % Revenue</t>
  </si>
  <si>
    <t>R&amp;D % Revenue</t>
  </si>
  <si>
    <t>Capex % Revenue</t>
  </si>
  <si>
    <t>DSO</t>
  </si>
  <si>
    <t>DOH</t>
  </si>
  <si>
    <t>DPO</t>
  </si>
  <si>
    <t>Prepaids % Revenue</t>
  </si>
  <si>
    <t>Other Current Assets % Revenue</t>
  </si>
  <si>
    <t>Accrued Expenses % Revenue</t>
  </si>
  <si>
    <t>Other Current Liabilities % Revenue</t>
  </si>
  <si>
    <t>Other Long-Term Assets % Revenue</t>
  </si>
  <si>
    <t>Other Long-Term Liabilities % Revenue</t>
  </si>
  <si>
    <t>Other Operating Expenses % Revenue</t>
  </si>
  <si>
    <t>Other Balance Sheet Drivers</t>
  </si>
  <si>
    <t>Operating Net Working Capital</t>
  </si>
  <si>
    <t>possibly circular</t>
  </si>
  <si>
    <t>Huntsman Debt Schedule</t>
  </si>
  <si>
    <t>Debt Assumptions</t>
  </si>
  <si>
    <t>Minimum Cash Balance</t>
  </si>
  <si>
    <t>Maturity</t>
  </si>
  <si>
    <t>Revolver</t>
  </si>
  <si>
    <t>Senior Notes due 2029</t>
  </si>
  <si>
    <t>Senior Notes due 2031</t>
  </si>
  <si>
    <t>Beginning Balance</t>
  </si>
  <si>
    <t>Ending Balance</t>
  </si>
  <si>
    <t>Cash Interest Expense</t>
  </si>
  <si>
    <t>Mandatory Repayment</t>
  </si>
  <si>
    <t>Optional Repayment</t>
  </si>
  <si>
    <t>Debt Summary</t>
  </si>
  <si>
    <t>Total Debt</t>
  </si>
  <si>
    <t>Total Cash Interest Expense</t>
  </si>
  <si>
    <t>New Borrowing</t>
  </si>
  <si>
    <t>SOFR</t>
  </si>
  <si>
    <t>Commercial Paper Rate</t>
  </si>
  <si>
    <t>Revolver Spread</t>
  </si>
  <si>
    <t>U.S. A/R Spread</t>
  </si>
  <si>
    <t>EU A/R Spread</t>
  </si>
  <si>
    <t>Revolver Capacity</t>
  </si>
  <si>
    <t>Senior Notes due 2034</t>
  </si>
  <si>
    <t>U.S. A/R Program</t>
  </si>
  <si>
    <t>EU A/R Program</t>
  </si>
  <si>
    <t>VIE / Other Debt</t>
  </si>
  <si>
    <t>EU A/R Base Rate</t>
  </si>
  <si>
    <t>2025A Balance</t>
  </si>
  <si>
    <t>Debt Type</t>
  </si>
  <si>
    <t>Notes</t>
  </si>
  <si>
    <t>A/R</t>
  </si>
  <si>
    <t>Other</t>
  </si>
  <si>
    <t>Less: Debt Issuance Costs</t>
  </si>
  <si>
    <t>Repayment Type</t>
  </si>
  <si>
    <t>Bullet</t>
  </si>
  <si>
    <t>Custom</t>
  </si>
  <si>
    <t>Yes</t>
  </si>
  <si>
    <t>No</t>
  </si>
  <si>
    <t>Refinance at Maturity?</t>
  </si>
  <si>
    <t>Change in Revolver / Short-Term Debt</t>
  </si>
  <si>
    <t>Debt Issuance Costs</t>
  </si>
  <si>
    <t>Debt Issuance Cost Amortization</t>
  </si>
  <si>
    <t>Total Interest Expense</t>
  </si>
  <si>
    <t>Debt Issuance Cost Amoritization</t>
  </si>
  <si>
    <t>Net Income Attributable to NCI</t>
  </si>
  <si>
    <t>PP&amp;E Schedule</t>
  </si>
  <si>
    <t>Beginning Gross PP&amp;E</t>
  </si>
  <si>
    <t>Ending Gross PP&amp;E</t>
  </si>
  <si>
    <t>Depreciation Expense</t>
  </si>
  <si>
    <t>Beginning Accumulated Depreciation</t>
  </si>
  <si>
    <t>Accumulated Depreciation on Disposals / Other</t>
  </si>
  <si>
    <t>Ending Accumulated Depreciation</t>
  </si>
  <si>
    <t>Beginning Net Intangibles</t>
  </si>
  <si>
    <t>Amortization Expense</t>
  </si>
  <si>
    <t>Ending Net Intangibles</t>
  </si>
  <si>
    <t>Total D&amp;A</t>
  </si>
  <si>
    <t>PP&amp;E Depreciation</t>
  </si>
  <si>
    <t>Existing Intangible Amortization</t>
  </si>
  <si>
    <t>N/A</t>
  </si>
  <si>
    <t>Depreciation Rate</t>
  </si>
  <si>
    <t>Assumptions</t>
  </si>
  <si>
    <t>Implied Depreciation</t>
  </si>
  <si>
    <t>PP/E FX</t>
  </si>
  <si>
    <t xml:space="preserve">Implied Amoritization </t>
  </si>
  <si>
    <t>SEE WRITEUP</t>
  </si>
  <si>
    <t>Share Schedule</t>
  </si>
  <si>
    <t>Beginning Common Shares</t>
  </si>
  <si>
    <t>Ending Common Shares</t>
  </si>
  <si>
    <t>Weighted-Average Diluted Shares</t>
  </si>
  <si>
    <t>Beginning Retained Earnings</t>
  </si>
  <si>
    <t>Ending Retained Earnings</t>
  </si>
  <si>
    <t>Other Short-Term Debt</t>
  </si>
  <si>
    <t>Net Shares Issued / Repurchaed</t>
  </si>
  <si>
    <t>Stock Compensation</t>
  </si>
  <si>
    <t>Other Equity Changes</t>
  </si>
  <si>
    <t>Net Shares Issued / (Repurchased)</t>
  </si>
  <si>
    <t>Dividend Per Share</t>
  </si>
  <si>
    <t>Stock-Based Compensation</t>
  </si>
  <si>
    <t>Stock Based Compensation</t>
  </si>
  <si>
    <t>embedded in historical data</t>
  </si>
  <si>
    <t>Other Retained Earnigns Adjustments</t>
  </si>
  <si>
    <t>Change in Other Operating Assets &amp; Liabilities</t>
  </si>
  <si>
    <t>Assets = Liabilities + Equity Check</t>
  </si>
  <si>
    <t>Consolidated Financials</t>
  </si>
  <si>
    <t>Actual</t>
  </si>
  <si>
    <t>Forecast</t>
  </si>
  <si>
    <t>Revenue Drivers</t>
  </si>
  <si>
    <t>Working Capital Drivers</t>
  </si>
  <si>
    <t>Income Statement</t>
  </si>
  <si>
    <t>Huntsman</t>
  </si>
  <si>
    <t>Cash Flow Statement</t>
  </si>
  <si>
    <t>Shareholders' Equity Schedule</t>
  </si>
  <si>
    <t>Depreciation And Amoritization Schedule</t>
  </si>
  <si>
    <t>Assets/Other (plug)</t>
  </si>
  <si>
    <t>Existing Intangibles Amoritization Schedule</t>
  </si>
  <si>
    <t>Revolver Cash Plug? (0/1)</t>
  </si>
  <si>
    <t>Debt Buildout</t>
  </si>
  <si>
    <t>Olin</t>
  </si>
  <si>
    <t>Olin Raw</t>
  </si>
  <si>
    <t>Olin Debt Schedule</t>
  </si>
  <si>
    <t>Senior Notes due 2033</t>
  </si>
  <si>
    <t>2025 Term Loan Facility</t>
  </si>
  <si>
    <t>Term Loan</t>
  </si>
  <si>
    <t>2024 A/R Financing Agreement</t>
  </si>
  <si>
    <t>Recovery Zone Bonds</t>
  </si>
  <si>
    <t>Bonds</t>
  </si>
  <si>
    <t>Senior Notes due 2030</t>
  </si>
  <si>
    <t>Year</t>
  </si>
  <si>
    <t>Debt Table</t>
  </si>
  <si>
    <t>Gain(Loss) On Asset sales</t>
  </si>
  <si>
    <t>Dilutive Effect</t>
  </si>
  <si>
    <t>Past Dilutive Effect</t>
  </si>
  <si>
    <t>Weighted-Average Common Shares</t>
  </si>
  <si>
    <t>Par Value Per Share</t>
  </si>
  <si>
    <t>Negative Share Treatment(0/1)</t>
  </si>
  <si>
    <t>Positive Share Toggle (0/1)</t>
  </si>
  <si>
    <t>(common stock)</t>
  </si>
  <si>
    <t>(treasury stock)</t>
  </si>
  <si>
    <t>Amount</t>
  </si>
  <si>
    <t>Shares</t>
  </si>
  <si>
    <t>Uses</t>
  </si>
  <si>
    <t>Target Equity - Cash</t>
  </si>
  <si>
    <t>Target Equity - Shares</t>
  </si>
  <si>
    <t xml:space="preserve">                        -  </t>
  </si>
  <si>
    <t xml:space="preserve">                           -  </t>
  </si>
  <si>
    <t>Target Debt Retired</t>
  </si>
  <si>
    <t>Acquirer Debt</t>
  </si>
  <si>
    <t>Working Capital</t>
  </si>
  <si>
    <t>Debt Issue Costs</t>
  </si>
  <si>
    <t>Sources</t>
  </si>
  <si>
    <t>New Shares Issued</t>
  </si>
  <si>
    <t>New Debt Issued - 1</t>
  </si>
  <si>
    <t>New Debt Issued - 2</t>
  </si>
  <si>
    <t>New Preferred Issued</t>
  </si>
  <si>
    <t>Cash Used</t>
  </si>
  <si>
    <t>Difference</t>
  </si>
  <si>
    <t>Shares Required</t>
  </si>
  <si>
    <t>Test</t>
  </si>
  <si>
    <t>Refinance At Close?</t>
  </si>
  <si>
    <t>New Debt Issued</t>
  </si>
  <si>
    <t>Custom Debt Table</t>
  </si>
  <si>
    <t>Sources - Uses</t>
  </si>
  <si>
    <t>New Debt Issued (Debt Financing Switch &amp; S&amp;U)</t>
  </si>
  <si>
    <t>Target Debt Repaid / Refinanced at Close</t>
  </si>
  <si>
    <t>Acquirer Debt Repaid / Refinanced at Close</t>
  </si>
  <si>
    <t>Change in Working Capital</t>
  </si>
  <si>
    <t>embedded in merger market cogs (read writeup)</t>
  </si>
  <si>
    <t>PPA &amp; Goodwill</t>
  </si>
  <si>
    <t>New Identifiable Intangibles</t>
  </si>
  <si>
    <t>Other Adjustments:</t>
  </si>
  <si>
    <t>Total Purchase Consideration</t>
  </si>
  <si>
    <t>Other Cash Consideration</t>
  </si>
  <si>
    <t>Other Cash Uses</t>
  </si>
  <si>
    <t>Close Debt Treatment Switch (0/1)</t>
  </si>
  <si>
    <t>Total Consideration</t>
  </si>
  <si>
    <t>Incremental Deferred Tax Liability</t>
  </si>
  <si>
    <t>Incremental Depreciation</t>
  </si>
  <si>
    <t>Total Incremental D&amp;A</t>
  </si>
  <si>
    <t>Fiscal Year</t>
  </si>
  <si>
    <t>Incremental Amortization</t>
  </si>
  <si>
    <t>Pro Forma Opening</t>
  </si>
  <si>
    <t>Transaction Adjustment</t>
  </si>
  <si>
    <t>Purchase Accounting Adjustments</t>
  </si>
  <si>
    <t>Other Purchase Consideration</t>
  </si>
  <si>
    <t>Closing Balance</t>
  </si>
  <si>
    <t>Close Treatment Toggle</t>
  </si>
  <si>
    <t>Debt Repaid/Refinanced</t>
  </si>
  <si>
    <t>Debt Remaining</t>
  </si>
  <si>
    <t>Existing Interest Rate</t>
  </si>
  <si>
    <t>Pro Forma Interest Expense</t>
  </si>
  <si>
    <t>Olin Debt Repaid</t>
  </si>
  <si>
    <t>Huntsman Debt Repaid</t>
  </si>
  <si>
    <t>Total Debt Repaid</t>
  </si>
  <si>
    <t>Olin Debt Remaining</t>
  </si>
  <si>
    <t>Huntsman Debt Remaining</t>
  </si>
  <si>
    <t>Total Existing Debt Remaining</t>
  </si>
  <si>
    <t>Amount Issued</t>
  </si>
  <si>
    <t>Interest Rate</t>
  </si>
  <si>
    <t>Debt Financing Switch</t>
  </si>
  <si>
    <t>Base Amount</t>
  </si>
  <si>
    <t>Total New Debt Issued</t>
  </si>
  <si>
    <t>Total Pro Forma Debt</t>
  </si>
  <si>
    <t>Company Name</t>
  </si>
  <si>
    <t>New Balance Sheet</t>
  </si>
  <si>
    <t>Debt Issuance</t>
  </si>
  <si>
    <t>PP&amp;E Step UP</t>
  </si>
  <si>
    <t>Intangible Amoritizaiton Life</t>
  </si>
  <si>
    <t>Depreciation</t>
  </si>
  <si>
    <t>Olin Standalone Depreciation</t>
  </si>
  <si>
    <t>Huntsman Standalone Depreciation</t>
  </si>
  <si>
    <t>Post-Close Huntsman Depreciation</t>
  </si>
  <si>
    <t>Incremental PP&amp;E Step-Up Depreciation</t>
  </si>
  <si>
    <t>Pro Forma Depreciation</t>
  </si>
  <si>
    <t>Amortization</t>
  </si>
  <si>
    <t>Olin Existing Amortization</t>
  </si>
  <si>
    <t>Huntsman Existing Amortization</t>
  </si>
  <si>
    <t>New Identifiable Intangible Amortization</t>
  </si>
  <si>
    <t>Pro Forma Amortization</t>
  </si>
  <si>
    <t>Total Pro Forma D&amp;A</t>
  </si>
  <si>
    <t>Olin &amp; Huntsman Combined</t>
  </si>
  <si>
    <t>Post-Close Period</t>
  </si>
  <si>
    <t>Integration-Cost Timing %</t>
  </si>
  <si>
    <t>Additional Synergies</t>
  </si>
  <si>
    <t>Near-Term Synergy Ramp %</t>
  </si>
  <si>
    <t>Additional Synergy Ramp %</t>
  </si>
  <si>
    <t>Realized Integration Costs</t>
  </si>
  <si>
    <t>Net Pre-Tax Impact</t>
  </si>
  <si>
    <t>Tax Effect</t>
  </si>
  <si>
    <t>Net Income Impact</t>
  </si>
  <si>
    <t>Synergies &amp; Integration</t>
  </si>
  <si>
    <t>FYE</t>
  </si>
  <si>
    <t>Calculation</t>
  </si>
  <si>
    <t>Realized Synergies</t>
  </si>
  <si>
    <t>Fee Amoritization Life</t>
  </si>
  <si>
    <t>Annual Fee Amoritization</t>
  </si>
  <si>
    <t>Net Income Attributable to Parent</t>
  </si>
  <si>
    <t>Incremental PPA D&amp;A</t>
  </si>
  <si>
    <t>1=before close</t>
  </si>
  <si>
    <t>Full-Year Transaction Factor</t>
  </si>
  <si>
    <t>Full-Year Target Legacy Amortization Eliminated</t>
  </si>
  <si>
    <t>Full-Year PP&amp;E Step-Up Depreciation</t>
  </si>
  <si>
    <t>Full-Year New Intangible Amortization</t>
  </si>
  <si>
    <t>Full-Year Incremental PPA D&amp;A</t>
  </si>
  <si>
    <t>Net PPA D&amp;A Operating Income Impact</t>
  </si>
  <si>
    <t>Total New Debt Interest Expense</t>
  </si>
  <si>
    <t>Full-Year Pro Forma Interest Output</t>
  </si>
  <si>
    <t>Full-Year Existing Debt Interest</t>
  </si>
  <si>
    <t>Full-Year New Debt Interest</t>
  </si>
  <si>
    <t>Full-Year Financing Fee Amortization</t>
  </si>
  <si>
    <t>Full-Year Pro Forma Interest Expense, Net</t>
  </si>
  <si>
    <t>Target Legacy Amoritization Eliminated</t>
  </si>
  <si>
    <t>Standalone Net Income</t>
  </si>
  <si>
    <t>IB Pre-Transaction Year End</t>
  </si>
  <si>
    <t>TABLE OF CONTENTS</t>
  </si>
  <si>
    <t>Olin Standalone Diluted EPS</t>
  </si>
  <si>
    <t>Accretion/Dilution %</t>
  </si>
  <si>
    <t>(all bullet)</t>
  </si>
  <si>
    <t>Closing Debt &amp; Refinancing</t>
  </si>
  <si>
    <t>Total Operating Costs &amp; Expenses</t>
  </si>
  <si>
    <t>Olin &amp; Huntsman</t>
  </si>
  <si>
    <t>Transaction Summary</t>
  </si>
  <si>
    <t>Olin &amp; Huntsman Merger</t>
  </si>
  <si>
    <t>Pro Forma Revenue</t>
  </si>
  <si>
    <t>Pro Forma EBITDA</t>
  </si>
  <si>
    <t>Pro Forma Net Income</t>
  </si>
  <si>
    <t>Pro Forma Diluted EPS</t>
  </si>
  <si>
    <t>Ful Year Existing Debt Remaining</t>
  </si>
  <si>
    <t>IInterest avoided on Debt repaid at Close</t>
  </si>
  <si>
    <t>Stand Alone Interest Expense</t>
  </si>
  <si>
    <t>Pro Forma Existing Debt Interest</t>
  </si>
  <si>
    <t>Pro Forma New Debt Interest</t>
  </si>
  <si>
    <t>Transaction Factor</t>
  </si>
  <si>
    <t>Cost Synergies</t>
  </si>
  <si>
    <t>Total Synergies</t>
  </si>
  <si>
    <t>Pro Forma Brirdge Outputs</t>
  </si>
  <si>
    <t xml:space="preserve">Metric                           </t>
  </si>
  <si>
    <t>Advising Banks</t>
  </si>
  <si>
    <t>Citi</t>
  </si>
  <si>
    <t>Lazard</t>
  </si>
  <si>
    <t>Morgan Stanley</t>
  </si>
  <si>
    <t>Combined</t>
  </si>
  <si>
    <t>EPS Accretion / (Dilution)%</t>
  </si>
  <si>
    <t xml:space="preserve"> </t>
  </si>
  <si>
    <t>(memo)</t>
  </si>
  <si>
    <t>Full-Year Pro Forma</t>
  </si>
  <si>
    <t>(see writeup)</t>
  </si>
  <si>
    <t>EBITDA Margin</t>
  </si>
  <si>
    <t>Net Debt (Net Cash)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</si>
</sst>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3" formatCode="_(* #,##0.00_);_(* \(#,##0.00\);_(* &quot;-&quot;??_);_(@_)"/>
    <numFmt numFmtId="164" formatCode="\$#,##0.0;[Red]\(\$#,##0.0\);\-"/>
    <numFmt numFmtId="165" formatCode="0.0\x;[Red]\(0.0\x\);\-"/>
    <numFmt numFmtId="166" formatCode="#,##0;[Red]\(#,##0\);\-"/>
    <numFmt numFmtId="167" formatCode="&quot;$&quot;#,##0"/>
    <numFmt numFmtId="168" formatCode="[$-409]mmmm\ d\,\ yyyy;@"/>
    <numFmt numFmtId="169" formatCode="0.0"/>
    <numFmt numFmtId="170" formatCode="&quot;$&quot;#,##0.00"/>
    <numFmt numFmtId="171" formatCode="0.0&quot;x&quot;"/>
    <numFmt numFmtId="172" formatCode="0.0%"/>
    <numFmt numFmtId="173" formatCode="#,##0;\(#,##0\);\-"/>
    <numFmt numFmtId="174" formatCode="&quot;$&quot;#,##0;[Red]\(&quot;$&quot;#,##0\);\-"/>
    <numFmt numFmtId="175" formatCode="0.0%;\(0.0%\);\-"/>
  </numFmts>
  <fonts count="39" x14ac:knownFonts="1">
    <font>
      <sz val="10"/>
      <name val="Arial"/>
      <family val="2"/>
    </font>
    <font>
      <sz val="10"/>
      <color rgb="FF008000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b/>
      <sz val="10"/>
      <color rgb="FF1F2D3D"/>
      <name val="Arial"/>
      <family val="2"/>
    </font>
    <font>
      <sz val="10"/>
      <color rgb="FF202124"/>
      <name val="Arial"/>
      <family val="2"/>
    </font>
    <font>
      <i/>
      <sz val="10"/>
      <color rgb="FF50647A"/>
      <name val="Arial"/>
      <family val="2"/>
    </font>
    <font>
      <b/>
      <sz val="11"/>
      <color rgb="FF1F2D3D"/>
      <name val="Arial"/>
      <family val="2"/>
    </font>
    <font>
      <b/>
      <sz val="16"/>
      <color rgb="FF1F2D3D"/>
      <name val="Arial"/>
      <family val="2"/>
    </font>
    <font>
      <sz val="10"/>
      <name val="Arial"/>
      <family val="2"/>
    </font>
    <font>
      <b/>
      <sz val="10"/>
      <color rgb="FF202124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4"/>
      <color rgb="FFFFFFFF"/>
      <name val="Arial"/>
      <family val="2"/>
    </font>
    <font>
      <i/>
      <sz val="10"/>
      <name val="Arial"/>
      <family val="2"/>
    </font>
    <font>
      <sz val="10"/>
      <color rgb="FF006400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sz val="16"/>
      <name val="Arial"/>
      <family val="2"/>
    </font>
    <font>
      <b/>
      <sz val="12"/>
      <color rgb="FFFFFFFF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i/>
      <sz val="10"/>
      <color rgb="FF006400"/>
      <name val="Arial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  <font>
      <b/>
      <sz val="10"/>
      <color theme="5"/>
      <name val="Arial"/>
      <family val="2"/>
    </font>
    <font>
      <b/>
      <sz val="12"/>
      <color theme="0"/>
      <name val="Arial"/>
      <family val="2"/>
    </font>
    <font>
      <b/>
      <sz val="10"/>
      <color rgb="FF777DB8"/>
      <name val="Arial"/>
      <family val="2"/>
    </font>
    <font>
      <sz val="14"/>
      <name val="Arial"/>
      <family val="2"/>
    </font>
    <font>
      <u/>
      <sz val="14"/>
      <color theme="10"/>
      <name val="Arial"/>
      <family val="2"/>
    </font>
    <font>
      <b/>
      <sz val="12"/>
      <color rgb="FF202124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b/>
      <sz val="10"/>
      <color rgb="FF202024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3EFD8"/>
      </patternFill>
    </fill>
    <fill>
      <patternFill patternType="solid">
        <fgColor rgb="FFEAF2F8"/>
      </patternFill>
    </fill>
    <fill>
      <patternFill patternType="solid">
        <fgColor rgb="FFDDE5EB"/>
      </patternFill>
    </fill>
    <fill>
      <patternFill patternType="solid">
        <fgColor rgb="FF1F2D3D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DDE5EB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EAF2F8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double">
        <color rgb="FF202124"/>
      </bottom>
      <diagonal/>
    </border>
    <border>
      <left/>
      <right/>
      <top style="thin">
        <color rgb="FF202124"/>
      </top>
      <bottom style="double">
        <color indexed="64"/>
      </bottom>
      <diagonal/>
    </border>
    <border>
      <left style="thin">
        <color rgb="FFEAF2F8"/>
      </left>
      <right/>
      <top style="thin">
        <color rgb="FFEAF2F8"/>
      </top>
      <bottom style="thin">
        <color rgb="FFEAF2F8"/>
      </bottom>
      <diagonal/>
    </border>
    <border>
      <left/>
      <right/>
      <top style="thin">
        <color rgb="FF1F2D3D"/>
      </top>
      <bottom style="thin">
        <color rgb="FF1F2D3D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A7A7A3"/>
      </bottom>
      <diagonal/>
    </border>
    <border>
      <left/>
      <right/>
      <top style="thin">
        <color rgb="FF20212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A7A7A3"/>
      </bottom>
      <diagonal/>
    </border>
    <border>
      <left/>
      <right style="thin">
        <color indexed="64"/>
      </right>
      <top style="thin">
        <color indexed="64"/>
      </top>
      <bottom style="thin">
        <color rgb="FFA7A7A3"/>
      </bottom>
      <diagonal/>
    </border>
    <border>
      <left/>
      <right/>
      <top style="thin">
        <color indexed="64"/>
      </top>
      <bottom style="thin">
        <color rgb="FFA7A7A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A7A7A3"/>
      </top>
      <bottom/>
      <diagonal/>
    </border>
    <border>
      <left style="thin">
        <color indexed="64"/>
      </left>
      <right/>
      <top/>
      <bottom style="thin">
        <color rgb="FFA7A7A3"/>
      </bottom>
      <diagonal/>
    </border>
    <border>
      <left/>
      <right style="thin">
        <color indexed="64"/>
      </right>
      <top/>
      <bottom style="thin">
        <color rgb="FFA7A7A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A7A7A3"/>
      </top>
      <bottom style="thin">
        <color indexed="64"/>
      </bottom>
      <diagonal/>
    </border>
    <border>
      <left/>
      <right/>
      <top style="thin">
        <color rgb="FFA7A7A3"/>
      </top>
      <bottom style="thin">
        <color indexed="64"/>
      </bottom>
      <diagonal/>
    </border>
    <border>
      <left style="thin">
        <color indexed="64"/>
      </left>
      <right/>
      <top style="thin">
        <color rgb="FFA7A7A3"/>
      </top>
      <bottom style="thin">
        <color indexed="64"/>
      </bottom>
      <diagonal/>
    </border>
    <border>
      <left style="thin">
        <color rgb="FFEAF2F8"/>
      </left>
      <right/>
      <top style="thin">
        <color rgb="FFEAF2F8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EAF2F8"/>
      </top>
      <bottom style="thin">
        <color indexed="64"/>
      </bottom>
      <diagonal/>
    </border>
    <border>
      <left style="thin">
        <color indexed="64"/>
      </left>
      <right/>
      <top style="thin">
        <color rgb="FFEAF2F8"/>
      </top>
      <bottom style="thin">
        <color rgb="FFEAF2F8"/>
      </bottom>
      <diagonal/>
    </border>
    <border>
      <left style="thin">
        <color rgb="FFEAF2F8"/>
      </left>
      <right/>
      <top style="thin">
        <color rgb="FFEAF2F8"/>
      </top>
      <bottom style="thin">
        <color indexed="64"/>
      </bottom>
      <diagonal/>
    </border>
    <border>
      <left style="thin">
        <color rgb="FFEAF2F8"/>
      </left>
      <right style="thin">
        <color indexed="64"/>
      </right>
      <top style="thin">
        <color rgb="FFEAF2F8"/>
      </top>
      <bottom style="thin">
        <color rgb="FFEAF2F8"/>
      </bottom>
      <diagonal/>
    </border>
    <border>
      <left style="thin">
        <color rgb="FFEAF2F8"/>
      </left>
      <right style="thin">
        <color indexed="64"/>
      </right>
      <top style="thin">
        <color rgb="FFEAF2F8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n">
        <color rgb="FFEAF2F8"/>
      </top>
      <bottom style="thin">
        <color rgb="FFEAF2F8"/>
      </bottom>
      <diagonal/>
    </border>
    <border>
      <left/>
      <right style="thin">
        <color rgb="FF000000"/>
      </right>
      <top style="thin">
        <color rgb="FFEAF2F8"/>
      </top>
      <bottom style="thin">
        <color rgb="FFEAF2F8"/>
      </bottom>
      <diagonal/>
    </border>
  </borders>
  <cellStyleXfs count="20">
    <xf numFmtId="0" fontId="0" fillId="0" borderId="0"/>
    <xf numFmtId="164" fontId="1" fillId="0" borderId="0">
      <alignment vertical="center"/>
    </xf>
    <xf numFmtId="164" fontId="2" fillId="0" borderId="0">
      <alignment vertical="center"/>
    </xf>
    <xf numFmtId="0" fontId="3" fillId="0" borderId="1">
      <alignment horizontal="left" vertical="center"/>
    </xf>
    <xf numFmtId="0" fontId="3" fillId="0" borderId="2" applyAlignment="0">
      <alignment horizontal="left" vertical="center"/>
    </xf>
    <xf numFmtId="164" fontId="4" fillId="0" borderId="0">
      <alignment vertical="center"/>
    </xf>
    <xf numFmtId="164" fontId="5" fillId="2" borderId="0" applyNumberFormat="0">
      <alignment vertical="center"/>
    </xf>
    <xf numFmtId="164" fontId="5" fillId="2" borderId="19" applyNumberFormat="0">
      <alignment vertical="center"/>
    </xf>
    <xf numFmtId="0" fontId="6" fillId="3" borderId="3" applyNumberFormat="0" applyFont="0" applyAlignment="0"/>
    <xf numFmtId="0" fontId="7" fillId="0" borderId="0">
      <alignment horizontal="left"/>
    </xf>
    <xf numFmtId="0" fontId="8" fillId="0" borderId="0">
      <alignment horizontal="left"/>
    </xf>
    <xf numFmtId="165" fontId="9" fillId="3" borderId="4">
      <alignment vertical="center"/>
    </xf>
    <xf numFmtId="0" fontId="10" fillId="0" borderId="5">
      <alignment vertical="center"/>
    </xf>
    <xf numFmtId="0" fontId="11" fillId="0" borderId="0"/>
    <xf numFmtId="0" fontId="12" fillId="4" borderId="6" applyNumberFormat="0">
      <alignment vertical="center"/>
    </xf>
    <xf numFmtId="0" fontId="13" fillId="5" borderId="0">
      <alignment vertical="center"/>
    </xf>
    <xf numFmtId="0" fontId="3" fillId="0" borderId="7">
      <alignment horizontal="left" vertical="center"/>
    </xf>
    <xf numFmtId="166" fontId="14" fillId="0" borderId="8">
      <alignment vertical="center"/>
    </xf>
    <xf numFmtId="10" fontId="5" fillId="0" borderId="0" applyFill="0" applyBorder="0"/>
    <xf numFmtId="0" fontId="29" fillId="0" borderId="0" applyNumberFormat="0" applyFill="0" applyBorder="0" applyAlignment="0" applyProtection="0"/>
  </cellStyleXfs>
  <cellXfs count="374">
    <xf numFmtId="0" fontId="0" fillId="0" borderId="0" xfId="0"/>
    <xf numFmtId="14" fontId="0" fillId="0" borderId="0" xfId="0" applyNumberFormat="1"/>
    <xf numFmtId="0" fontId="0" fillId="0" borderId="0" xfId="0" applyAlignment="1">
      <alignment horizontal="left" indent="1"/>
    </xf>
    <xf numFmtId="0" fontId="0" fillId="0" borderId="9" xfId="0" applyBorder="1"/>
    <xf numFmtId="0" fontId="0" fillId="0" borderId="9" xfId="0" applyBorder="1" applyAlignment="1">
      <alignment horizontal="left" indent="1"/>
    </xf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0" borderId="10" xfId="0" applyBorder="1" applyAlignment="1">
      <alignment horizontal="right"/>
    </xf>
    <xf numFmtId="0" fontId="0" fillId="0" borderId="16" xfId="0" applyBorder="1"/>
    <xf numFmtId="0" fontId="12" fillId="0" borderId="9" xfId="14" applyFill="1" applyBorder="1" applyAlignment="1">
      <alignment horizontal="center" vertical="center"/>
    </xf>
    <xf numFmtId="0" fontId="12" fillId="0" borderId="10" xfId="14" applyFill="1" applyBorder="1" applyAlignment="1">
      <alignment horizontal="center" vertical="center"/>
    </xf>
    <xf numFmtId="0" fontId="17" fillId="0" borderId="0" xfId="0" applyFont="1"/>
    <xf numFmtId="0" fontId="5" fillId="0" borderId="10" xfId="0" applyFont="1" applyBorder="1"/>
    <xf numFmtId="0" fontId="5" fillId="0" borderId="9" xfId="0" applyFont="1" applyBorder="1"/>
    <xf numFmtId="0" fontId="5" fillId="0" borderId="0" xfId="0" applyFont="1"/>
    <xf numFmtId="0" fontId="0" fillId="0" borderId="0" xfId="0" applyAlignment="1">
      <alignment horizontal="right"/>
    </xf>
    <xf numFmtId="167" fontId="5" fillId="0" borderId="0" xfId="0" applyNumberFormat="1" applyFont="1"/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0" borderId="10" xfId="0" applyFont="1" applyBorder="1" applyAlignment="1">
      <alignment horizontal="right"/>
    </xf>
    <xf numFmtId="168" fontId="5" fillId="0" borderId="10" xfId="0" applyNumberFormat="1" applyFont="1" applyBorder="1"/>
    <xf numFmtId="0" fontId="5" fillId="0" borderId="12" xfId="0" applyFont="1" applyBorder="1"/>
    <xf numFmtId="170" fontId="5" fillId="0" borderId="10" xfId="0" applyNumberFormat="1" applyFont="1" applyBorder="1"/>
    <xf numFmtId="170" fontId="0" fillId="0" borderId="10" xfId="0" applyNumberFormat="1" applyBorder="1"/>
    <xf numFmtId="10" fontId="0" fillId="0" borderId="10" xfId="0" applyNumberFormat="1" applyBorder="1"/>
    <xf numFmtId="0" fontId="17" fillId="0" borderId="9" xfId="0" applyFont="1" applyBorder="1" applyAlignment="1">
      <alignment horizontal="left" indent="1"/>
    </xf>
    <xf numFmtId="167" fontId="0" fillId="0" borderId="10" xfId="0" applyNumberFormat="1" applyBorder="1"/>
    <xf numFmtId="167" fontId="0" fillId="0" borderId="12" xfId="0" applyNumberFormat="1" applyBorder="1"/>
    <xf numFmtId="167" fontId="5" fillId="0" borderId="10" xfId="0" applyNumberFormat="1" applyFont="1" applyBorder="1"/>
    <xf numFmtId="169" fontId="17" fillId="0" borderId="10" xfId="0" applyNumberFormat="1" applyFont="1" applyBorder="1"/>
    <xf numFmtId="3" fontId="5" fillId="0" borderId="10" xfId="0" applyNumberFormat="1" applyFont="1" applyBorder="1"/>
    <xf numFmtId="9" fontId="5" fillId="0" borderId="10" xfId="0" applyNumberFormat="1" applyFont="1" applyBorder="1"/>
    <xf numFmtId="10" fontId="5" fillId="0" borderId="10" xfId="0" applyNumberFormat="1" applyFont="1" applyBorder="1"/>
    <xf numFmtId="10" fontId="5" fillId="0" borderId="0" xfId="0" applyNumberFormat="1" applyFont="1"/>
    <xf numFmtId="167" fontId="0" fillId="0" borderId="16" xfId="0" applyNumberFormat="1" applyBorder="1"/>
    <xf numFmtId="171" fontId="0" fillId="0" borderId="10" xfId="0" applyNumberFormat="1" applyBorder="1"/>
    <xf numFmtId="171" fontId="0" fillId="0" borderId="12" xfId="0" applyNumberFormat="1" applyBorder="1"/>
    <xf numFmtId="10" fontId="17" fillId="0" borderId="10" xfId="0" applyNumberFormat="1" applyFont="1" applyBorder="1"/>
    <xf numFmtId="1" fontId="0" fillId="0" borderId="0" xfId="0" applyNumberFormat="1"/>
    <xf numFmtId="2" fontId="0" fillId="0" borderId="0" xfId="0" applyNumberFormat="1"/>
    <xf numFmtId="0" fontId="17" fillId="0" borderId="0" xfId="0" applyFont="1" applyAlignment="1">
      <alignment horizontal="left" indent="1"/>
    </xf>
    <xf numFmtId="172" fontId="0" fillId="0" borderId="0" xfId="0" applyNumberFormat="1"/>
    <xf numFmtId="10" fontId="0" fillId="0" borderId="0" xfId="0" applyNumberFormat="1"/>
    <xf numFmtId="0" fontId="16" fillId="5" borderId="0" xfId="15" applyFont="1">
      <alignment vertical="center"/>
    </xf>
    <xf numFmtId="0" fontId="0" fillId="0" borderId="0" xfId="0" applyAlignment="1">
      <alignment horizontal="left"/>
    </xf>
    <xf numFmtId="173" fontId="0" fillId="0" borderId="0" xfId="0" applyNumberFormat="1"/>
    <xf numFmtId="0" fontId="0" fillId="0" borderId="0" xfId="0" applyAlignment="1">
      <alignment wrapText="1"/>
    </xf>
    <xf numFmtId="0" fontId="19" fillId="0" borderId="0" xfId="0" applyFont="1"/>
    <xf numFmtId="2" fontId="5" fillId="0" borderId="0" xfId="0" applyNumberFormat="1" applyFont="1"/>
    <xf numFmtId="1" fontId="5" fillId="0" borderId="0" xfId="0" applyNumberFormat="1" applyFont="1"/>
    <xf numFmtId="2" fontId="17" fillId="0" borderId="0" xfId="0" applyNumberFormat="1" applyFont="1"/>
    <xf numFmtId="1" fontId="17" fillId="0" borderId="0" xfId="0" applyNumberFormat="1" applyFont="1"/>
    <xf numFmtId="1" fontId="15" fillId="0" borderId="0" xfId="0" applyNumberFormat="1" applyFont="1"/>
    <xf numFmtId="172" fontId="5" fillId="0" borderId="0" xfId="0" applyNumberFormat="1" applyFont="1"/>
    <xf numFmtId="1" fontId="5" fillId="0" borderId="0" xfId="0" applyNumberFormat="1" applyFont="1" applyAlignment="1">
      <alignment horizontal="right"/>
    </xf>
    <xf numFmtId="169" fontId="0" fillId="0" borderId="0" xfId="0" applyNumberFormat="1"/>
    <xf numFmtId="1" fontId="19" fillId="0" borderId="0" xfId="0" applyNumberFormat="1" applyFont="1"/>
    <xf numFmtId="0" fontId="21" fillId="0" borderId="0" xfId="0" applyFont="1"/>
    <xf numFmtId="0" fontId="12" fillId="4" borderId="6" xfId="14">
      <alignment vertical="center"/>
    </xf>
    <xf numFmtId="14" fontId="12" fillId="4" borderId="6" xfId="14" applyNumberFormat="1">
      <alignment vertical="center"/>
    </xf>
    <xf numFmtId="0" fontId="0" fillId="6" borderId="0" xfId="0" applyFill="1"/>
    <xf numFmtId="0" fontId="22" fillId="5" borderId="0" xfId="15" applyFont="1">
      <alignment vertical="center"/>
    </xf>
    <xf numFmtId="172" fontId="5" fillId="2" borderId="17" xfId="6" applyNumberFormat="1" applyBorder="1">
      <alignment vertical="center"/>
    </xf>
    <xf numFmtId="172" fontId="5" fillId="2" borderId="20" xfId="6" applyNumberFormat="1" applyBorder="1">
      <alignment vertical="center"/>
    </xf>
    <xf numFmtId="172" fontId="5" fillId="2" borderId="18" xfId="6" applyNumberFormat="1" applyBorder="1">
      <alignment vertical="center"/>
    </xf>
    <xf numFmtId="172" fontId="5" fillId="2" borderId="9" xfId="6" applyNumberFormat="1" applyBorder="1">
      <alignment vertical="center"/>
    </xf>
    <xf numFmtId="172" fontId="5" fillId="2" borderId="0" xfId="6" applyNumberFormat="1">
      <alignment vertical="center"/>
    </xf>
    <xf numFmtId="172" fontId="5" fillId="2" borderId="10" xfId="6" applyNumberFormat="1" applyBorder="1">
      <alignment vertical="center"/>
    </xf>
    <xf numFmtId="172" fontId="5" fillId="2" borderId="11" xfId="6" applyNumberFormat="1" applyBorder="1">
      <alignment vertical="center"/>
    </xf>
    <xf numFmtId="172" fontId="5" fillId="2" borderId="16" xfId="6" applyNumberFormat="1" applyBorder="1">
      <alignment vertical="center"/>
    </xf>
    <xf numFmtId="172" fontId="5" fillId="2" borderId="12" xfId="6" applyNumberFormat="1" applyBorder="1">
      <alignment vertical="center"/>
    </xf>
    <xf numFmtId="2" fontId="5" fillId="2" borderId="11" xfId="6" applyNumberFormat="1" applyBorder="1">
      <alignment vertical="center"/>
    </xf>
    <xf numFmtId="2" fontId="5" fillId="2" borderId="16" xfId="6" applyNumberFormat="1" applyBorder="1">
      <alignment vertical="center"/>
    </xf>
    <xf numFmtId="2" fontId="5" fillId="2" borderId="12" xfId="6" applyNumberFormat="1" applyBorder="1">
      <alignment vertical="center"/>
    </xf>
    <xf numFmtId="2" fontId="5" fillId="2" borderId="0" xfId="6" applyNumberFormat="1">
      <alignment vertical="center"/>
    </xf>
    <xf numFmtId="2" fontId="5" fillId="0" borderId="0" xfId="6" applyNumberFormat="1" applyFill="1">
      <alignment vertical="center"/>
    </xf>
    <xf numFmtId="1" fontId="5" fillId="2" borderId="17" xfId="6" applyNumberFormat="1" applyBorder="1">
      <alignment vertical="center"/>
    </xf>
    <xf numFmtId="1" fontId="5" fillId="2" borderId="20" xfId="6" applyNumberFormat="1" applyBorder="1">
      <alignment vertical="center"/>
    </xf>
    <xf numFmtId="1" fontId="5" fillId="2" borderId="18" xfId="6" applyNumberFormat="1" applyBorder="1">
      <alignment vertical="center"/>
    </xf>
    <xf numFmtId="1" fontId="5" fillId="2" borderId="9" xfId="6" applyNumberFormat="1" applyBorder="1">
      <alignment vertical="center"/>
    </xf>
    <xf numFmtId="1" fontId="5" fillId="2" borderId="0" xfId="6" applyNumberFormat="1">
      <alignment vertical="center"/>
    </xf>
    <xf numFmtId="1" fontId="5" fillId="2" borderId="10" xfId="6" applyNumberFormat="1" applyBorder="1">
      <alignment vertical="center"/>
    </xf>
    <xf numFmtId="172" fontId="5" fillId="2" borderId="21" xfId="6" applyNumberFormat="1" applyBorder="1">
      <alignment vertical="center"/>
    </xf>
    <xf numFmtId="172" fontId="5" fillId="2" borderId="22" xfId="6" applyNumberFormat="1" applyBorder="1">
      <alignment vertical="center"/>
    </xf>
    <xf numFmtId="172" fontId="5" fillId="2" borderId="23" xfId="6" applyNumberFormat="1" applyBorder="1">
      <alignment vertical="center"/>
    </xf>
    <xf numFmtId="172" fontId="18" fillId="2" borderId="21" xfId="6" applyNumberFormat="1" applyFont="1" applyBorder="1">
      <alignment vertical="center"/>
    </xf>
    <xf numFmtId="0" fontId="12" fillId="4" borderId="0" xfId="14" applyBorder="1">
      <alignment vertical="center"/>
    </xf>
    <xf numFmtId="0" fontId="19" fillId="0" borderId="20" xfId="0" applyFont="1" applyBorder="1"/>
    <xf numFmtId="1" fontId="19" fillId="0" borderId="20" xfId="0" applyNumberFormat="1" applyFont="1" applyBorder="1"/>
    <xf numFmtId="0" fontId="13" fillId="6" borderId="0" xfId="15" applyFill="1" applyAlignment="1">
      <alignment horizontal="left" vertical="center"/>
    </xf>
    <xf numFmtId="14" fontId="12" fillId="4" borderId="25" xfId="14" applyNumberFormat="1" applyBorder="1">
      <alignment vertical="center"/>
    </xf>
    <xf numFmtId="14" fontId="12" fillId="4" borderId="26" xfId="14" applyNumberFormat="1" applyBorder="1">
      <alignment vertical="center"/>
    </xf>
    <xf numFmtId="0" fontId="0" fillId="0" borderId="10" xfId="0" applyBorder="1" applyAlignment="1">
      <alignment horizontal="left"/>
    </xf>
    <xf numFmtId="1" fontId="19" fillId="0" borderId="17" xfId="0" applyNumberFormat="1" applyFont="1" applyBorder="1"/>
    <xf numFmtId="1" fontId="19" fillId="0" borderId="18" xfId="0" applyNumberFormat="1" applyFont="1" applyBorder="1"/>
    <xf numFmtId="1" fontId="19" fillId="0" borderId="9" xfId="0" applyNumberFormat="1" applyFont="1" applyBorder="1"/>
    <xf numFmtId="1" fontId="19" fillId="0" borderId="10" xfId="0" applyNumberFormat="1" applyFont="1" applyBorder="1"/>
    <xf numFmtId="1" fontId="0" fillId="0" borderId="9" xfId="0" applyNumberFormat="1" applyBorder="1"/>
    <xf numFmtId="1" fontId="0" fillId="0" borderId="10" xfId="0" applyNumberFormat="1" applyBorder="1"/>
    <xf numFmtId="1" fontId="15" fillId="0" borderId="9" xfId="0" applyNumberFormat="1" applyFont="1" applyBorder="1"/>
    <xf numFmtId="1" fontId="15" fillId="0" borderId="10" xfId="0" applyNumberFormat="1" applyFont="1" applyBorder="1"/>
    <xf numFmtId="1" fontId="5" fillId="0" borderId="9" xfId="0" applyNumberFormat="1" applyFont="1" applyBorder="1" applyAlignment="1">
      <alignment horizontal="right"/>
    </xf>
    <xf numFmtId="1" fontId="5" fillId="0" borderId="10" xfId="0" applyNumberFormat="1" applyFont="1" applyBorder="1" applyAlignment="1">
      <alignment horizontal="right"/>
    </xf>
    <xf numFmtId="1" fontId="5" fillId="0" borderId="9" xfId="0" applyNumberFormat="1" applyFont="1" applyBorder="1"/>
    <xf numFmtId="1" fontId="5" fillId="0" borderId="10" xfId="0" applyNumberFormat="1" applyFon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0" borderId="20" xfId="0" applyBorder="1"/>
    <xf numFmtId="1" fontId="0" fillId="0" borderId="20" xfId="0" applyNumberFormat="1" applyBorder="1"/>
    <xf numFmtId="14" fontId="12" fillId="4" borderId="0" xfId="14" applyNumberFormat="1" applyBorder="1">
      <alignment vertical="center"/>
    </xf>
    <xf numFmtId="2" fontId="5" fillId="0" borderId="9" xfId="6" applyNumberFormat="1" applyFill="1" applyBorder="1">
      <alignment vertical="center"/>
    </xf>
    <xf numFmtId="172" fontId="5" fillId="0" borderId="9" xfId="0" applyNumberFormat="1" applyFont="1" applyBorder="1"/>
    <xf numFmtId="2" fontId="5" fillId="0" borderId="9" xfId="0" applyNumberFormat="1" applyFont="1" applyBorder="1"/>
    <xf numFmtId="2" fontId="5" fillId="0" borderId="10" xfId="6" applyNumberFormat="1" applyFill="1" applyBorder="1">
      <alignment vertical="center"/>
    </xf>
    <xf numFmtId="172" fontId="5" fillId="0" borderId="10" xfId="0" applyNumberFormat="1" applyFont="1" applyBorder="1"/>
    <xf numFmtId="2" fontId="5" fillId="0" borderId="10" xfId="0" applyNumberFormat="1" applyFont="1" applyBorder="1"/>
    <xf numFmtId="0" fontId="12" fillId="4" borderId="10" xfId="14" applyBorder="1">
      <alignment vertical="center"/>
    </xf>
    <xf numFmtId="0" fontId="12" fillId="4" borderId="9" xfId="14" applyBorder="1">
      <alignment vertical="center"/>
    </xf>
    <xf numFmtId="1" fontId="20" fillId="0" borderId="9" xfId="0" applyNumberFormat="1" applyFont="1" applyBorder="1" applyAlignment="1">
      <alignment horizontal="right"/>
    </xf>
    <xf numFmtId="1" fontId="15" fillId="0" borderId="11" xfId="0" applyNumberFormat="1" applyFont="1" applyBorder="1"/>
    <xf numFmtId="1" fontId="15" fillId="0" borderId="16" xfId="0" applyNumberFormat="1" applyFont="1" applyBorder="1"/>
    <xf numFmtId="1" fontId="15" fillId="0" borderId="12" xfId="0" applyNumberFormat="1" applyFont="1" applyBorder="1"/>
    <xf numFmtId="1" fontId="0" fillId="0" borderId="17" xfId="0" applyNumberFormat="1" applyBorder="1"/>
    <xf numFmtId="1" fontId="0" fillId="0" borderId="18" xfId="0" applyNumberFormat="1" applyBorder="1"/>
    <xf numFmtId="0" fontId="0" fillId="0" borderId="29" xfId="0" applyBorder="1"/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17" fillId="0" borderId="0" xfId="0" applyFont="1" applyAlignment="1">
      <alignment horizontal="left" indent="2"/>
    </xf>
    <xf numFmtId="0" fontId="19" fillId="0" borderId="32" xfId="0" applyFont="1" applyBorder="1"/>
    <xf numFmtId="1" fontId="19" fillId="0" borderId="33" xfId="0" applyNumberFormat="1" applyFont="1" applyBorder="1"/>
    <xf numFmtId="1" fontId="19" fillId="0" borderId="32" xfId="0" applyNumberFormat="1" applyFont="1" applyBorder="1"/>
    <xf numFmtId="1" fontId="19" fillId="0" borderId="34" xfId="0" applyNumberFormat="1" applyFont="1" applyBorder="1"/>
    <xf numFmtId="1" fontId="17" fillId="0" borderId="9" xfId="0" applyNumberFormat="1" applyFont="1" applyBorder="1"/>
    <xf numFmtId="1" fontId="17" fillId="0" borderId="10" xfId="0" applyNumberFormat="1" applyFont="1" applyBorder="1"/>
    <xf numFmtId="0" fontId="20" fillId="0" borderId="9" xfId="0" applyFont="1" applyBorder="1"/>
    <xf numFmtId="1" fontId="19" fillId="0" borderId="11" xfId="0" applyNumberFormat="1" applyFont="1" applyBorder="1"/>
    <xf numFmtId="1" fontId="19" fillId="0" borderId="16" xfId="0" applyNumberFormat="1" applyFont="1" applyBorder="1"/>
    <xf numFmtId="1" fontId="19" fillId="0" borderId="12" xfId="0" applyNumberFormat="1" applyFont="1" applyBorder="1"/>
    <xf numFmtId="14" fontId="0" fillId="6" borderId="0" xfId="0" applyNumberFormat="1" applyFill="1"/>
    <xf numFmtId="14" fontId="19" fillId="6" borderId="0" xfId="0" applyNumberFormat="1" applyFont="1" applyFill="1"/>
    <xf numFmtId="169" fontId="5" fillId="2" borderId="17" xfId="6" applyNumberFormat="1" applyBorder="1">
      <alignment vertical="center"/>
    </xf>
    <xf numFmtId="2" fontId="5" fillId="2" borderId="9" xfId="6" applyNumberFormat="1" applyBorder="1">
      <alignment vertical="center"/>
    </xf>
    <xf numFmtId="2" fontId="5" fillId="2" borderId="10" xfId="6" applyNumberFormat="1" applyBorder="1">
      <alignment vertical="center"/>
    </xf>
    <xf numFmtId="14" fontId="19" fillId="6" borderId="9" xfId="0" applyNumberFormat="1" applyFont="1" applyFill="1" applyBorder="1"/>
    <xf numFmtId="14" fontId="19" fillId="6" borderId="10" xfId="0" applyNumberFormat="1" applyFont="1" applyFill="1" applyBorder="1"/>
    <xf numFmtId="14" fontId="12" fillId="4" borderId="9" xfId="14" applyNumberFormat="1" applyBorder="1">
      <alignment vertical="center"/>
    </xf>
    <xf numFmtId="14" fontId="12" fillId="4" borderId="10" xfId="14" applyNumberFormat="1" applyBorder="1">
      <alignment vertical="center"/>
    </xf>
    <xf numFmtId="1" fontId="12" fillId="4" borderId="25" xfId="14" applyNumberFormat="1" applyBorder="1">
      <alignment vertical="center"/>
    </xf>
    <xf numFmtId="1" fontId="12" fillId="4" borderId="6" xfId="14" applyNumberFormat="1">
      <alignment vertical="center"/>
    </xf>
    <xf numFmtId="1" fontId="12" fillId="4" borderId="26" xfId="14" applyNumberFormat="1" applyBorder="1">
      <alignment vertical="center"/>
    </xf>
    <xf numFmtId="169" fontId="0" fillId="0" borderId="9" xfId="0" applyNumberFormat="1" applyBorder="1"/>
    <xf numFmtId="169" fontId="0" fillId="0" borderId="10" xfId="0" applyNumberFormat="1" applyBorder="1"/>
    <xf numFmtId="2" fontId="12" fillId="4" borderId="6" xfId="14" applyNumberFormat="1">
      <alignment vertical="center"/>
    </xf>
    <xf numFmtId="14" fontId="0" fillId="6" borderId="9" xfId="0" applyNumberFormat="1" applyFill="1" applyBorder="1"/>
    <xf numFmtId="0" fontId="12" fillId="4" borderId="25" xfId="14" applyBorder="1">
      <alignment vertical="center"/>
    </xf>
    <xf numFmtId="2" fontId="12" fillId="4" borderId="25" xfId="14" applyNumberFormat="1" applyBorder="1">
      <alignment vertical="center"/>
    </xf>
    <xf numFmtId="14" fontId="0" fillId="6" borderId="10" xfId="0" applyNumberFormat="1" applyFill="1" applyBorder="1"/>
    <xf numFmtId="0" fontId="12" fillId="4" borderId="26" xfId="14" applyBorder="1">
      <alignment vertical="center"/>
    </xf>
    <xf numFmtId="2" fontId="12" fillId="4" borderId="26" xfId="14" applyNumberFormat="1" applyBorder="1">
      <alignment vertical="center"/>
    </xf>
    <xf numFmtId="0" fontId="5" fillId="2" borderId="36" xfId="6" applyNumberFormat="1" applyBorder="1">
      <alignment vertical="center"/>
    </xf>
    <xf numFmtId="10" fontId="5" fillId="2" borderId="35" xfId="6" applyNumberFormat="1" applyBorder="1">
      <alignment vertical="center"/>
    </xf>
    <xf numFmtId="0" fontId="5" fillId="2" borderId="27" xfId="6" applyNumberFormat="1" applyBorder="1">
      <alignment vertical="center"/>
    </xf>
    <xf numFmtId="0" fontId="13" fillId="0" borderId="0" xfId="15" applyFill="1" applyAlignment="1">
      <alignment horizontal="left" vertical="center"/>
    </xf>
    <xf numFmtId="0" fontId="23" fillId="6" borderId="0" xfId="15" applyFont="1" applyFill="1">
      <alignment vertical="center"/>
    </xf>
    <xf numFmtId="0" fontId="15" fillId="0" borderId="0" xfId="15" applyFont="1" applyFill="1">
      <alignment vertical="center"/>
    </xf>
    <xf numFmtId="173" fontId="19" fillId="0" borderId="32" xfId="0" applyNumberFormat="1" applyFont="1" applyBorder="1"/>
    <xf numFmtId="0" fontId="5" fillId="2" borderId="35" xfId="6" applyNumberFormat="1" applyBorder="1">
      <alignment vertical="center"/>
    </xf>
    <xf numFmtId="0" fontId="19" fillId="9" borderId="24" xfId="0" applyFont="1" applyFill="1" applyBorder="1" applyAlignment="1">
      <alignment horizontal="left"/>
    </xf>
    <xf numFmtId="173" fontId="19" fillId="9" borderId="24" xfId="0" applyNumberFormat="1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3" fillId="5" borderId="0" xfId="15">
      <alignment vertical="center"/>
    </xf>
    <xf numFmtId="2" fontId="17" fillId="0" borderId="9" xfId="0" applyNumberFormat="1" applyFont="1" applyBorder="1"/>
    <xf numFmtId="2" fontId="17" fillId="0" borderId="10" xfId="0" applyNumberFormat="1" applyFont="1" applyBorder="1"/>
    <xf numFmtId="0" fontId="23" fillId="0" borderId="0" xfId="0" applyFont="1"/>
    <xf numFmtId="0" fontId="15" fillId="0" borderId="9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10" fontId="0" fillId="0" borderId="16" xfId="0" applyNumberFormat="1" applyBorder="1"/>
    <xf numFmtId="0" fontId="13" fillId="5" borderId="0" xfId="15" applyAlignment="1">
      <alignment horizontal="left" vertical="center"/>
    </xf>
    <xf numFmtId="0" fontId="5" fillId="0" borderId="0" xfId="6" applyNumberFormat="1" applyFill="1">
      <alignment vertical="center"/>
    </xf>
    <xf numFmtId="1" fontId="20" fillId="0" borderId="9" xfId="0" applyNumberFormat="1" applyFont="1" applyBorder="1"/>
    <xf numFmtId="1" fontId="0" fillId="0" borderId="0" xfId="0" applyNumberFormat="1" applyAlignment="1">
      <alignment horizontal="right"/>
    </xf>
    <xf numFmtId="0" fontId="23" fillId="6" borderId="0" xfId="15" applyFont="1" applyFill="1" applyAlignment="1">
      <alignment horizontal="center" vertical="center"/>
    </xf>
    <xf numFmtId="1" fontId="6" fillId="3" borderId="3" xfId="8" applyNumberFormat="1" applyAlignment="1">
      <alignment horizontal="center"/>
    </xf>
    <xf numFmtId="1" fontId="6" fillId="3" borderId="31" xfId="8" applyNumberFormat="1" applyBorder="1" applyAlignment="1">
      <alignment horizontal="center"/>
    </xf>
    <xf numFmtId="169" fontId="5" fillId="2" borderId="20" xfId="6" applyNumberFormat="1" applyBorder="1">
      <alignment vertical="center"/>
    </xf>
    <xf numFmtId="169" fontId="5" fillId="2" borderId="18" xfId="6" applyNumberFormat="1" applyBorder="1">
      <alignment vertical="center"/>
    </xf>
    <xf numFmtId="1" fontId="24" fillId="0" borderId="9" xfId="0" applyNumberFormat="1" applyFont="1" applyBorder="1"/>
    <xf numFmtId="1" fontId="24" fillId="0" borderId="0" xfId="0" applyNumberFormat="1" applyFont="1"/>
    <xf numFmtId="1" fontId="24" fillId="0" borderId="10" xfId="0" applyNumberFormat="1" applyFont="1" applyBorder="1"/>
    <xf numFmtId="0" fontId="19" fillId="0" borderId="17" xfId="0" applyFont="1" applyBorder="1"/>
    <xf numFmtId="0" fontId="19" fillId="0" borderId="11" xfId="0" applyFont="1" applyBorder="1"/>
    <xf numFmtId="6" fontId="5" fillId="2" borderId="27" xfId="6" applyNumberFormat="1" applyBorder="1">
      <alignment vertical="center"/>
    </xf>
    <xf numFmtId="0" fontId="19" fillId="0" borderId="9" xfId="0" applyFont="1" applyBorder="1"/>
    <xf numFmtId="0" fontId="15" fillId="0" borderId="0" xfId="0" applyFont="1" applyAlignment="1">
      <alignment wrapText="1"/>
    </xf>
    <xf numFmtId="0" fontId="23" fillId="0" borderId="9" xfId="0" applyFont="1" applyBorder="1"/>
    <xf numFmtId="0" fontId="15" fillId="0" borderId="10" xfId="0" applyFont="1" applyBorder="1"/>
    <xf numFmtId="0" fontId="15" fillId="0" borderId="0" xfId="0" applyFont="1"/>
    <xf numFmtId="0" fontId="15" fillId="0" borderId="9" xfId="0" applyFont="1" applyBorder="1"/>
    <xf numFmtId="167" fontId="15" fillId="0" borderId="10" xfId="0" applyNumberFormat="1" applyFont="1" applyBorder="1"/>
    <xf numFmtId="0" fontId="15" fillId="0" borderId="9" xfId="0" applyFont="1" applyBorder="1" applyAlignment="1">
      <alignment horizontal="left" indent="1"/>
    </xf>
    <xf numFmtId="3" fontId="15" fillId="0" borderId="10" xfId="0" applyNumberFormat="1" applyFont="1" applyBorder="1"/>
    <xf numFmtId="0" fontId="15" fillId="0" borderId="11" xfId="0" applyFont="1" applyBorder="1"/>
    <xf numFmtId="167" fontId="15" fillId="0" borderId="12" xfId="0" applyNumberFormat="1" applyFont="1" applyBorder="1"/>
    <xf numFmtId="0" fontId="24" fillId="0" borderId="9" xfId="0" applyFont="1" applyBorder="1" applyAlignment="1">
      <alignment horizontal="left" indent="1"/>
    </xf>
    <xf numFmtId="169" fontId="24" fillId="0" borderId="10" xfId="0" applyNumberFormat="1" applyFont="1" applyBorder="1"/>
    <xf numFmtId="10" fontId="24" fillId="0" borderId="0" xfId="0" applyNumberFormat="1" applyFont="1"/>
    <xf numFmtId="167" fontId="15" fillId="0" borderId="0" xfId="0" applyNumberFormat="1" applyFont="1"/>
    <xf numFmtId="0" fontId="15" fillId="10" borderId="0" xfId="0" applyFont="1" applyFill="1"/>
    <xf numFmtId="0" fontId="25" fillId="10" borderId="0" xfId="0" applyFont="1" applyFill="1"/>
    <xf numFmtId="0" fontId="15" fillId="10" borderId="0" xfId="0" applyFont="1" applyFill="1" applyAlignment="1">
      <alignment horizontal="right"/>
    </xf>
    <xf numFmtId="0" fontId="25" fillId="0" borderId="0" xfId="0" applyFont="1"/>
    <xf numFmtId="43" fontId="15" fillId="10" borderId="0" xfId="0" applyNumberFormat="1" applyFont="1" applyFill="1"/>
    <xf numFmtId="0" fontId="15" fillId="0" borderId="32" xfId="0" applyFont="1" applyBorder="1"/>
    <xf numFmtId="0" fontId="15" fillId="10" borderId="32" xfId="0" applyFont="1" applyFill="1" applyBorder="1"/>
    <xf numFmtId="43" fontId="15" fillId="10" borderId="32" xfId="0" applyNumberFormat="1" applyFont="1" applyFill="1" applyBorder="1"/>
    <xf numFmtId="0" fontId="13" fillId="5" borderId="18" xfId="15" applyBorder="1">
      <alignment vertical="center"/>
    </xf>
    <xf numFmtId="0" fontId="23" fillId="0" borderId="9" xfId="0" applyFont="1" applyBorder="1" applyAlignment="1">
      <alignment horizontal="left"/>
    </xf>
    <xf numFmtId="167" fontId="23" fillId="0" borderId="10" xfId="0" applyNumberFormat="1" applyFont="1" applyBorder="1"/>
    <xf numFmtId="0" fontId="23" fillId="0" borderId="11" xfId="0" applyFont="1" applyBorder="1"/>
    <xf numFmtId="167" fontId="23" fillId="0" borderId="12" xfId="0" applyNumberFormat="1" applyFont="1" applyBorder="1"/>
    <xf numFmtId="0" fontId="5" fillId="11" borderId="0" xfId="6" applyNumberFormat="1" applyFill="1">
      <alignment vertical="center"/>
    </xf>
    <xf numFmtId="0" fontId="16" fillId="5" borderId="0" xfId="15" applyFont="1" applyAlignment="1">
      <alignment horizontal="left" vertical="center"/>
    </xf>
    <xf numFmtId="0" fontId="13" fillId="5" borderId="17" xfId="15" applyBorder="1">
      <alignment vertical="center"/>
    </xf>
    <xf numFmtId="167" fontId="23" fillId="0" borderId="18" xfId="0" applyNumberFormat="1" applyFont="1" applyBorder="1"/>
    <xf numFmtId="0" fontId="0" fillId="0" borderId="21" xfId="0" applyBorder="1"/>
    <xf numFmtId="167" fontId="0" fillId="0" borderId="23" xfId="0" applyNumberFormat="1" applyBorder="1"/>
    <xf numFmtId="1" fontId="0" fillId="0" borderId="16" xfId="0" applyNumberFormat="1" applyBorder="1"/>
    <xf numFmtId="1" fontId="0" fillId="0" borderId="12" xfId="0" applyNumberFormat="1" applyBorder="1"/>
    <xf numFmtId="0" fontId="16" fillId="11" borderId="0" xfId="15" applyFont="1" applyFill="1">
      <alignment vertical="center"/>
    </xf>
    <xf numFmtId="3" fontId="0" fillId="0" borderId="0" xfId="0" applyNumberFormat="1"/>
    <xf numFmtId="0" fontId="0" fillId="11" borderId="0" xfId="0" applyFill="1"/>
    <xf numFmtId="1" fontId="0" fillId="11" borderId="0" xfId="0" applyNumberFormat="1" applyFill="1"/>
    <xf numFmtId="174" fontId="4" fillId="0" borderId="10" xfId="0" applyNumberFormat="1" applyFont="1" applyBorder="1"/>
    <xf numFmtId="174" fontId="3" fillId="0" borderId="10" xfId="0" applyNumberFormat="1" applyFont="1" applyBorder="1"/>
    <xf numFmtId="0" fontId="4" fillId="0" borderId="9" xfId="0" applyFont="1" applyBorder="1" applyAlignment="1">
      <alignment horizontal="left" indent="1"/>
    </xf>
    <xf numFmtId="0" fontId="3" fillId="0" borderId="9" xfId="0" applyFont="1" applyBorder="1" applyAlignment="1">
      <alignment horizontal="left" indent="1"/>
    </xf>
    <xf numFmtId="175" fontId="0" fillId="0" borderId="0" xfId="0" applyNumberFormat="1"/>
    <xf numFmtId="1" fontId="17" fillId="0" borderId="0" xfId="0" applyNumberFormat="1" applyFont="1" applyAlignment="1">
      <alignment horizontal="left" indent="1"/>
    </xf>
    <xf numFmtId="1" fontId="0" fillId="0" borderId="0" xfId="0" applyNumberFormat="1" applyAlignment="1">
      <alignment horizontal="left" indent="1"/>
    </xf>
    <xf numFmtId="1" fontId="0" fillId="11" borderId="20" xfId="0" applyNumberFormat="1" applyFill="1" applyBorder="1"/>
    <xf numFmtId="14" fontId="12" fillId="4" borderId="6" xfId="14" applyNumberFormat="1" applyAlignment="1">
      <alignment horizontal="center" wrapText="1"/>
    </xf>
    <xf numFmtId="1" fontId="12" fillId="4" borderId="6" xfId="14" applyNumberFormat="1" applyAlignment="1">
      <alignment horizontal="center" wrapText="1"/>
    </xf>
    <xf numFmtId="9" fontId="5" fillId="2" borderId="9" xfId="6" applyNumberFormat="1" applyBorder="1">
      <alignment vertical="center"/>
    </xf>
    <xf numFmtId="9" fontId="5" fillId="2" borderId="10" xfId="6" applyNumberFormat="1" applyBorder="1">
      <alignment vertical="center"/>
    </xf>
    <xf numFmtId="3" fontId="19" fillId="0" borderId="20" xfId="0" applyNumberFormat="1" applyFont="1" applyBorder="1"/>
    <xf numFmtId="3" fontId="19" fillId="0" borderId="32" xfId="0" applyNumberFormat="1" applyFont="1" applyBorder="1"/>
    <xf numFmtId="3" fontId="19" fillId="0" borderId="17" xfId="0" applyNumberFormat="1" applyFont="1" applyBorder="1"/>
    <xf numFmtId="3" fontId="0" fillId="0" borderId="9" xfId="0" applyNumberFormat="1" applyBorder="1"/>
    <xf numFmtId="3" fontId="19" fillId="0" borderId="33" xfId="0" applyNumberFormat="1" applyFont="1" applyBorder="1"/>
    <xf numFmtId="3" fontId="19" fillId="0" borderId="18" xfId="0" applyNumberFormat="1" applyFont="1" applyBorder="1"/>
    <xf numFmtId="3" fontId="0" fillId="0" borderId="10" xfId="0" applyNumberFormat="1" applyBorder="1"/>
    <xf numFmtId="3" fontId="19" fillId="0" borderId="34" xfId="0" applyNumberFormat="1" applyFont="1" applyBorder="1"/>
    <xf numFmtId="1" fontId="15" fillId="0" borderId="9" xfId="6" applyNumberFormat="1" applyFont="1" applyFill="1" applyBorder="1">
      <alignment vertical="center"/>
    </xf>
    <xf numFmtId="1" fontId="15" fillId="0" borderId="0" xfId="6" applyNumberFormat="1" applyFont="1" applyFill="1">
      <alignment vertical="center"/>
    </xf>
    <xf numFmtId="1" fontId="15" fillId="0" borderId="10" xfId="6" applyNumberFormat="1" applyFont="1" applyFill="1" applyBorder="1">
      <alignment vertical="center"/>
    </xf>
    <xf numFmtId="1" fontId="18" fillId="0" borderId="0" xfId="0" applyNumberFormat="1" applyFont="1"/>
    <xf numFmtId="1" fontId="27" fillId="0" borderId="0" xfId="0" applyNumberFormat="1" applyFont="1"/>
    <xf numFmtId="1" fontId="19" fillId="11" borderId="20" xfId="0" applyNumberFormat="1" applyFont="1" applyFill="1" applyBorder="1"/>
    <xf numFmtId="1" fontId="19" fillId="11" borderId="32" xfId="0" applyNumberFormat="1" applyFont="1" applyFill="1" applyBorder="1"/>
    <xf numFmtId="1" fontId="19" fillId="11" borderId="0" xfId="0" applyNumberFormat="1" applyFont="1" applyFill="1"/>
    <xf numFmtId="0" fontId="18" fillId="0" borderId="0" xfId="0" applyFont="1"/>
    <xf numFmtId="9" fontId="0" fillId="0" borderId="0" xfId="0" applyNumberFormat="1"/>
    <xf numFmtId="9" fontId="18" fillId="0" borderId="0" xfId="0" applyNumberFormat="1" applyFont="1"/>
    <xf numFmtId="167" fontId="5" fillId="0" borderId="12" xfId="0" applyNumberFormat="1" applyFont="1" applyBorder="1"/>
    <xf numFmtId="9" fontId="0" fillId="0" borderId="9" xfId="0" applyNumberFormat="1" applyBorder="1"/>
    <xf numFmtId="9" fontId="0" fillId="0" borderId="10" xfId="0" applyNumberFormat="1" applyBorder="1"/>
    <xf numFmtId="9" fontId="12" fillId="4" borderId="6" xfId="14" applyNumberFormat="1">
      <alignment vertical="center"/>
    </xf>
    <xf numFmtId="9" fontId="5" fillId="2" borderId="20" xfId="6" applyNumberFormat="1" applyBorder="1">
      <alignment vertical="center"/>
    </xf>
    <xf numFmtId="9" fontId="5" fillId="2" borderId="16" xfId="6" applyNumberFormat="1" applyBorder="1">
      <alignment vertical="center"/>
    </xf>
    <xf numFmtId="9" fontId="5" fillId="2" borderId="17" xfId="6" applyNumberFormat="1" applyBorder="1">
      <alignment vertical="center"/>
    </xf>
    <xf numFmtId="9" fontId="5" fillId="2" borderId="18" xfId="6" applyNumberFormat="1" applyBorder="1">
      <alignment vertical="center"/>
    </xf>
    <xf numFmtId="9" fontId="5" fillId="2" borderId="11" xfId="6" applyNumberFormat="1" applyBorder="1">
      <alignment vertical="center"/>
    </xf>
    <xf numFmtId="9" fontId="5" fillId="2" borderId="12" xfId="6" applyNumberFormat="1" applyBorder="1">
      <alignment vertical="center"/>
    </xf>
    <xf numFmtId="9" fontId="12" fillId="4" borderId="25" xfId="14" applyNumberFormat="1" applyBorder="1">
      <alignment vertical="center"/>
    </xf>
    <xf numFmtId="9" fontId="12" fillId="4" borderId="26" xfId="14" applyNumberFormat="1" applyBorder="1">
      <alignment vertical="center"/>
    </xf>
    <xf numFmtId="0" fontId="0" fillId="3" borderId="3" xfId="8" applyFont="1" applyAlignment="1">
      <alignment horizontal="left" indent="1"/>
    </xf>
    <xf numFmtId="1" fontId="0" fillId="3" borderId="3" xfId="8" applyNumberFormat="1" applyFont="1"/>
    <xf numFmtId="167" fontId="0" fillId="0" borderId="0" xfId="0" applyNumberFormat="1"/>
    <xf numFmtId="1" fontId="15" fillId="3" borderId="38" xfId="8" applyNumberFormat="1" applyFont="1" applyBorder="1"/>
    <xf numFmtId="1" fontId="15" fillId="3" borderId="3" xfId="8" applyNumberFormat="1" applyFont="1"/>
    <xf numFmtId="1" fontId="15" fillId="3" borderId="40" xfId="8" applyNumberFormat="1" applyFont="1" applyBorder="1"/>
    <xf numFmtId="1" fontId="15" fillId="3" borderId="37" xfId="8" applyNumberFormat="1" applyFont="1" applyBorder="1"/>
    <xf numFmtId="1" fontId="15" fillId="3" borderId="39" xfId="8" applyNumberFormat="1" applyFont="1" applyBorder="1"/>
    <xf numFmtId="1" fontId="15" fillId="3" borderId="41" xfId="8" applyNumberFormat="1" applyFont="1" applyBorder="1"/>
    <xf numFmtId="1" fontId="23" fillId="0" borderId="17" xfId="0" applyNumberFormat="1" applyFont="1" applyBorder="1"/>
    <xf numFmtId="1" fontId="23" fillId="0" borderId="20" xfId="0" applyNumberFormat="1" applyFont="1" applyBorder="1"/>
    <xf numFmtId="1" fontId="23" fillId="0" borderId="18" xfId="0" applyNumberFormat="1" applyFont="1" applyBorder="1"/>
    <xf numFmtId="1" fontId="23" fillId="0" borderId="9" xfId="0" applyNumberFormat="1" applyFont="1" applyBorder="1"/>
    <xf numFmtId="1" fontId="23" fillId="0" borderId="0" xfId="0" applyNumberFormat="1" applyFont="1"/>
    <xf numFmtId="1" fontId="23" fillId="0" borderId="10" xfId="0" applyNumberFormat="1" applyFont="1" applyBorder="1"/>
    <xf numFmtId="1" fontId="15" fillId="0" borderId="9" xfId="0" applyNumberFormat="1" applyFont="1" applyBorder="1" applyAlignment="1">
      <alignment horizontal="right"/>
    </xf>
    <xf numFmtId="1" fontId="15" fillId="0" borderId="0" xfId="0" applyNumberFormat="1" applyFont="1" applyAlignment="1">
      <alignment horizontal="right"/>
    </xf>
    <xf numFmtId="1" fontId="15" fillId="0" borderId="10" xfId="0" applyNumberFormat="1" applyFont="1" applyBorder="1" applyAlignment="1">
      <alignment horizontal="right"/>
    </xf>
    <xf numFmtId="0" fontId="29" fillId="0" borderId="0" xfId="19"/>
    <xf numFmtId="0" fontId="19" fillId="0" borderId="21" xfId="0" applyFont="1" applyBorder="1"/>
    <xf numFmtId="10" fontId="19" fillId="0" borderId="22" xfId="0" applyNumberFormat="1" applyFont="1" applyBorder="1"/>
    <xf numFmtId="10" fontId="19" fillId="0" borderId="23" xfId="0" applyNumberFormat="1" applyFont="1" applyBorder="1"/>
    <xf numFmtId="1" fontId="15" fillId="0" borderId="17" xfId="0" applyNumberFormat="1" applyFont="1" applyBorder="1"/>
    <xf numFmtId="1" fontId="15" fillId="0" borderId="20" xfId="0" applyNumberFormat="1" applyFont="1" applyBorder="1"/>
    <xf numFmtId="1" fontId="15" fillId="0" borderId="18" xfId="0" applyNumberFormat="1" applyFont="1" applyBorder="1"/>
    <xf numFmtId="0" fontId="28" fillId="11" borderId="0" xfId="0" applyFont="1" applyFill="1"/>
    <xf numFmtId="0" fontId="12" fillId="11" borderId="0" xfId="14" applyFill="1" applyBorder="1">
      <alignment vertical="center"/>
    </xf>
    <xf numFmtId="173" fontId="0" fillId="11" borderId="0" xfId="0" applyNumberFormat="1" applyFill="1"/>
    <xf numFmtId="37" fontId="0" fillId="11" borderId="0" xfId="0" applyNumberFormat="1" applyFill="1"/>
    <xf numFmtId="175" fontId="0" fillId="11" borderId="0" xfId="0" applyNumberFormat="1" applyFill="1"/>
    <xf numFmtId="0" fontId="19" fillId="11" borderId="0" xfId="0" applyFont="1" applyFill="1"/>
    <xf numFmtId="9" fontId="5" fillId="2" borderId="0" xfId="6" applyNumberFormat="1">
      <alignment vertical="center"/>
    </xf>
    <xf numFmtId="0" fontId="19" fillId="0" borderId="18" xfId="0" applyFont="1" applyBorder="1"/>
    <xf numFmtId="0" fontId="19" fillId="0" borderId="34" xfId="0" applyFont="1" applyBorder="1"/>
    <xf numFmtId="0" fontId="19" fillId="0" borderId="33" xfId="0" applyFon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30" fillId="0" borderId="0" xfId="0" applyFont="1" applyAlignment="1">
      <alignment horizontal="center" wrapText="1"/>
    </xf>
    <xf numFmtId="0" fontId="30" fillId="0" borderId="0" xfId="0" applyFont="1"/>
    <xf numFmtId="0" fontId="32" fillId="0" borderId="0" xfId="0" applyFont="1"/>
    <xf numFmtId="0" fontId="32" fillId="0" borderId="0" xfId="0" applyFont="1" applyAlignment="1">
      <alignment horizontal="center" wrapText="1"/>
    </xf>
    <xf numFmtId="1" fontId="29" fillId="11" borderId="0" xfId="19" applyNumberFormat="1" applyFill="1"/>
    <xf numFmtId="0" fontId="33" fillId="0" borderId="0" xfId="0" applyFont="1"/>
    <xf numFmtId="0" fontId="34" fillId="0" borderId="0" xfId="19" applyFont="1"/>
    <xf numFmtId="0" fontId="35" fillId="4" borderId="6" xfId="14" applyFont="1">
      <alignment vertical="center"/>
    </xf>
    <xf numFmtId="0" fontId="36" fillId="0" borderId="0" xfId="19" applyFont="1"/>
    <xf numFmtId="0" fontId="37" fillId="0" borderId="0" xfId="0" applyFont="1"/>
    <xf numFmtId="173" fontId="19" fillId="0" borderId="20" xfId="0" applyNumberFormat="1" applyFont="1" applyBorder="1"/>
    <xf numFmtId="9" fontId="17" fillId="0" borderId="0" xfId="0" applyNumberFormat="1" applyFont="1"/>
    <xf numFmtId="10" fontId="19" fillId="0" borderId="20" xfId="0" applyNumberFormat="1" applyFont="1" applyBorder="1"/>
    <xf numFmtId="0" fontId="17" fillId="0" borderId="10" xfId="0" applyFont="1" applyBorder="1" applyAlignment="1">
      <alignment horizontal="left" wrapText="1"/>
    </xf>
    <xf numFmtId="0" fontId="16" fillId="5" borderId="0" xfId="15" applyFont="1" applyAlignment="1">
      <alignment horizontal="center" vertical="center"/>
    </xf>
    <xf numFmtId="0" fontId="12" fillId="4" borderId="13" xfId="14" applyBorder="1" applyAlignment="1">
      <alignment horizontal="center" vertical="center"/>
    </xf>
    <xf numFmtId="0" fontId="12" fillId="4" borderId="15" xfId="14" applyBorder="1" applyAlignment="1">
      <alignment horizontal="center" vertical="center"/>
    </xf>
    <xf numFmtId="0" fontId="12" fillId="4" borderId="14" xfId="14" applyBorder="1" applyAlignment="1">
      <alignment horizontal="center" vertical="center"/>
    </xf>
    <xf numFmtId="0" fontId="12" fillId="4" borderId="17" xfId="14" applyBorder="1" applyAlignment="1">
      <alignment horizontal="center" vertical="center"/>
    </xf>
    <xf numFmtId="0" fontId="12" fillId="4" borderId="18" xfId="14" applyBorder="1" applyAlignment="1">
      <alignment horizontal="center" vertical="center"/>
    </xf>
    <xf numFmtId="0" fontId="23" fillId="7" borderId="9" xfId="15" applyFont="1" applyFill="1" applyBorder="1" applyAlignment="1">
      <alignment horizontal="center" vertical="center"/>
    </xf>
    <xf numFmtId="0" fontId="23" fillId="7" borderId="0" xfId="15" applyFont="1" applyFill="1" applyAlignment="1">
      <alignment horizontal="center" vertical="center"/>
    </xf>
    <xf numFmtId="0" fontId="23" fillId="7" borderId="10" xfId="15" applyFont="1" applyFill="1" applyBorder="1" applyAlignment="1">
      <alignment horizontal="center" vertical="center"/>
    </xf>
    <xf numFmtId="0" fontId="16" fillId="5" borderId="0" xfId="15" applyFont="1" applyAlignment="1">
      <alignment horizontal="left" vertical="center"/>
    </xf>
    <xf numFmtId="0" fontId="31" fillId="5" borderId="0" xfId="15" applyFont="1" applyAlignment="1">
      <alignment horizontal="left" vertical="center"/>
    </xf>
    <xf numFmtId="0" fontId="22" fillId="5" borderId="0" xfId="15" applyFont="1" applyAlignment="1">
      <alignment horizontal="left" vertical="center"/>
    </xf>
    <xf numFmtId="0" fontId="26" fillId="4" borderId="13" xfId="14" applyFont="1" applyBorder="1" applyAlignment="1">
      <alignment horizontal="center" vertical="center"/>
    </xf>
    <xf numFmtId="0" fontId="26" fillId="4" borderId="14" xfId="14" applyFont="1" applyBorder="1" applyAlignment="1">
      <alignment horizontal="center" vertical="center"/>
    </xf>
    <xf numFmtId="0" fontId="16" fillId="5" borderId="0" xfId="15" applyFont="1">
      <alignment vertical="center"/>
    </xf>
    <xf numFmtId="0" fontId="13" fillId="5" borderId="17" xfId="15" applyBorder="1">
      <alignment vertical="center"/>
    </xf>
    <xf numFmtId="0" fontId="13" fillId="5" borderId="20" xfId="15" applyBorder="1">
      <alignment vertical="center"/>
    </xf>
    <xf numFmtId="0" fontId="13" fillId="5" borderId="18" xfId="15" applyBorder="1">
      <alignment vertical="center"/>
    </xf>
    <xf numFmtId="0" fontId="19" fillId="6" borderId="24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22" fillId="5" borderId="0" xfId="15" applyFont="1">
      <alignment vertical="center"/>
    </xf>
    <xf numFmtId="1" fontId="6" fillId="3" borderId="3" xfId="8" applyNumberFormat="1" applyAlignment="1">
      <alignment horizontal="center"/>
    </xf>
    <xf numFmtId="1" fontId="6" fillId="3" borderId="31" xfId="8" applyNumberFormat="1" applyBorder="1" applyAlignment="1">
      <alignment horizontal="center"/>
    </xf>
    <xf numFmtId="0" fontId="6" fillId="8" borderId="3" xfId="8" applyFill="1" applyAlignment="1">
      <alignment horizontal="center"/>
    </xf>
    <xf numFmtId="0" fontId="23" fillId="6" borderId="0" xfId="15" applyFont="1" applyFill="1" applyAlignment="1">
      <alignment horizontal="center" vertical="center"/>
    </xf>
    <xf numFmtId="0" fontId="13" fillId="5" borderId="0" xfId="15">
      <alignment vertical="center"/>
    </xf>
    <xf numFmtId="0" fontId="13" fillId="5" borderId="17" xfId="15" applyBorder="1" applyAlignment="1">
      <alignment horizontal="left" vertical="center"/>
    </xf>
    <xf numFmtId="0" fontId="13" fillId="5" borderId="20" xfId="15" applyBorder="1" applyAlignment="1">
      <alignment horizontal="left" vertical="center"/>
    </xf>
    <xf numFmtId="0" fontId="12" fillId="4" borderId="6" xfId="14" applyAlignment="1">
      <alignment horizontal="left" vertical="center"/>
    </xf>
    <xf numFmtId="1" fontId="12" fillId="4" borderId="6" xfId="14" applyNumberFormat="1" applyAlignment="1">
      <alignment horizontal="left" vertical="center"/>
    </xf>
    <xf numFmtId="0" fontId="12" fillId="4" borderId="25" xfId="14" applyBorder="1" applyAlignment="1">
      <alignment horizontal="left" vertical="center"/>
    </xf>
    <xf numFmtId="0" fontId="12" fillId="4" borderId="26" xfId="14" applyBorder="1" applyAlignment="1">
      <alignment horizontal="left" vertical="center"/>
    </xf>
    <xf numFmtId="1" fontId="23" fillId="3" borderId="38" xfId="8" applyNumberFormat="1" applyFont="1" applyBorder="1" applyAlignment="1">
      <alignment horizontal="center" vertical="center"/>
    </xf>
    <xf numFmtId="1" fontId="23" fillId="3" borderId="3" xfId="8" applyNumberFormat="1" applyFont="1" applyAlignment="1">
      <alignment horizontal="center" vertical="center"/>
    </xf>
    <xf numFmtId="1" fontId="23" fillId="3" borderId="40" xfId="8" applyNumberFormat="1" applyFont="1" applyBorder="1" applyAlignment="1">
      <alignment horizontal="center" vertical="center"/>
    </xf>
    <xf numFmtId="0" fontId="6" fillId="3" borderId="31" xfId="8" applyBorder="1" applyAlignment="1">
      <alignment horizontal="center"/>
    </xf>
    <xf numFmtId="0" fontId="6" fillId="3" borderId="3" xfId="8" applyAlignment="1">
      <alignment horizontal="center"/>
    </xf>
    <xf numFmtId="0" fontId="23" fillId="6" borderId="10" xfId="15" applyFont="1" applyFill="1" applyBorder="1" applyAlignment="1">
      <alignment horizontal="center" vertical="center"/>
    </xf>
    <xf numFmtId="1" fontId="38" fillId="12" borderId="38" xfId="0" applyNumberFormat="1" applyFont="1" applyFill="1" applyBorder="1" applyAlignment="1">
      <alignment horizontal="center" vertical="center"/>
    </xf>
    <xf numFmtId="1" fontId="38" fillId="12" borderId="45" xfId="0" applyNumberFormat="1" applyFont="1" applyFill="1" applyBorder="1" applyAlignment="1">
      <alignment horizontal="center" vertical="center"/>
    </xf>
    <xf numFmtId="1" fontId="38" fillId="12" borderId="46" xfId="0" applyNumberFormat="1" applyFont="1" applyFill="1" applyBorder="1" applyAlignment="1">
      <alignment horizontal="center" vertical="center"/>
    </xf>
    <xf numFmtId="0" fontId="13" fillId="5" borderId="0" xfId="15" applyAlignment="1">
      <alignment horizontal="left" vertical="center"/>
    </xf>
  </cellXfs>
  <cellStyles count="20">
    <cellStyle name="Cross-sheet link" xfId="1" xr:uid="{04C4CEA1-960F-FD46-B915-3E151063F13B}"/>
    <cellStyle name="drivers" xfId="7" xr:uid="{F18796DD-2870-B84F-A0C0-4C790D812DA0}"/>
    <cellStyle name="External link" xfId="2" xr:uid="{D92886E5-1E58-6644-8398-13EF914BE95E}"/>
    <cellStyle name="Final total" xfId="3" xr:uid="{5316B513-D4BF-C041-89BE-B16026D31D18}"/>
    <cellStyle name="Final total 2" xfId="4" xr:uid="{57DC28B3-A903-D147-9251-338ACB97CA14}"/>
    <cellStyle name="Formula" xfId="5" xr:uid="{487690AD-8E3B-3C49-8DF0-4A150431DCEB}"/>
    <cellStyle name="hardcode2" xfId="6" xr:uid="{5504EA79-4C74-8945-8D1E-9D8305C5EDEE}"/>
    <cellStyle name="Highlighted row" xfId="8" xr:uid="{7DCBC38B-F383-1B46-A894-1CEFC3FAB106}"/>
    <cellStyle name="Hyperlink" xfId="19" builtinId="8"/>
    <cellStyle name="Indented row label" xfId="9" xr:uid="{B1346FAD-0410-094C-8779-2FCA4D36CF64}"/>
    <cellStyle name="indented submetric" xfId="10" xr:uid="{12A6E3CA-C738-B946-8445-57C377465335}"/>
    <cellStyle name="Key Output" xfId="11" xr:uid="{39ECF2D7-2FDA-7044-A5ED-5448BE00E835}"/>
    <cellStyle name="Main Title" xfId="12" xr:uid="{5C03B235-51CD-724E-9E8F-C4126B612DB3}"/>
    <cellStyle name="Normal" xfId="0" builtinId="0" customBuiltin="1"/>
    <cellStyle name="Normal 2" xfId="13" xr:uid="{903E6DE3-3998-3E40-A630-E83762E311B3}"/>
    <cellStyle name="percent1" xfId="18" xr:uid="{53A661F4-545E-514E-8B38-87E3E2011C2C}"/>
    <cellStyle name="Section Header" xfId="14" xr:uid="{58061EAB-1FCC-EB42-BBAA-E787C9C6D154}"/>
    <cellStyle name="SECTIONHEADER" xfId="15" xr:uid="{F58961AC-A16E-0E49-BE3B-78D443981FA2}"/>
    <cellStyle name="Subtotal" xfId="16" xr:uid="{0A21C319-D2AA-2C43-A47D-FAB92034A4E5}"/>
    <cellStyle name="Warning check" xfId="17" xr:uid="{E8670B12-C5AB-9546-8169-BEEE8FFB06F9}"/>
  </cellStyles>
  <dxfs count="1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14" formatCode="0.00%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/>
        <i val="0"/>
        <color theme="7"/>
      </font>
    </dxf>
    <dxf>
      <font>
        <color theme="0"/>
      </font>
    </dxf>
  </dxfs>
  <tableStyles count="0" defaultTableStyle="TableStyleMedium2" defaultPivotStyle="PivotStyleLight16"/>
  <colors>
    <mruColors>
      <color rgb="FF006400"/>
      <color rgb="FF0000FF"/>
      <color rgb="FF00A9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241300</xdr:colOff>
      <xdr:row>0</xdr:row>
      <xdr:rowOff>120680</xdr:rowOff>
    </xdr:from>
    <xdr:to>
      <xdr:col>16</xdr:col>
      <xdr:colOff>152400</xdr:colOff>
      <xdr:row>39</xdr:row>
      <xdr:rowOff>190499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0E9730C-4852-0F8A-4D5C-31BAD8B50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1800" y="120680"/>
          <a:ext cx="10642600" cy="79946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330200</xdr:colOff>
      <xdr:row>27</xdr:row>
      <xdr:rowOff>38100</xdr:rowOff>
    </xdr:from>
    <xdr:to>
      <xdr:col>4</xdr:col>
      <xdr:colOff>1092200</xdr:colOff>
      <xdr:row>28</xdr:row>
      <xdr:rowOff>152400</xdr:rowOff>
    </xdr:to>
    <xdr:sp macro="[0]!RefreshSourcesUses" textlink="">
      <xdr:nvSpPr>
        <xdr:cNvPr id="2" name="Rounded Rectangle 1">
          <a:extLst>
            <a:ext uri="{FF2B5EF4-FFF2-40B4-BE49-F238E27FC236}">
              <a16:creationId xmlns:a16="http://schemas.microsoft.com/office/drawing/2014/main" id="{968CF5A2-23F7-1F82-6252-024BD6CA11FD}"/>
            </a:ext>
          </a:extLst>
        </xdr:cNvPr>
        <xdr:cNvSpPr/>
      </xdr:nvSpPr>
      <xdr:spPr>
        <a:xfrm>
          <a:off x="6578600" y="4165600"/>
          <a:ext cx="2844800" cy="2794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REFRESH New</a:t>
          </a:r>
          <a:r>
            <a:rPr lang="en-US" sz="1100" b="1" baseline="0">
              <a:solidFill>
                <a:schemeClr val="tx1"/>
              </a:solidFill>
            </a:rPr>
            <a:t>  Debt Issued &amp; Refinanced 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850900</xdr:colOff>
      <xdr:row>6</xdr:row>
      <xdr:rowOff>12700</xdr:rowOff>
    </xdr:from>
    <xdr:to>
      <xdr:col>5</xdr:col>
      <xdr:colOff>419100</xdr:colOff>
      <xdr:row>7</xdr:row>
      <xdr:rowOff>139700</xdr:rowOff>
    </xdr:to>
    <xdr:sp macro="[0]!BuildDebtSchedule" textlink="">
      <xdr:nvSpPr>
        <xdr:cNvPr id="2" name="Rounded Rectangle 1">
          <a:extLst>
            <a:ext uri="{FF2B5EF4-FFF2-40B4-BE49-F238E27FC236}">
              <a16:creationId xmlns:a16="http://schemas.microsoft.com/office/drawing/2014/main" id="{23A6CF3F-BC2B-8C42-9CB6-659F6DB43532}"/>
            </a:ext>
          </a:extLst>
        </xdr:cNvPr>
        <xdr:cNvSpPr/>
      </xdr:nvSpPr>
      <xdr:spPr>
        <a:xfrm>
          <a:off x="4940300" y="1155700"/>
          <a:ext cx="1320800" cy="292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Build Debt Schdule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7</xdr:row>
      <xdr:rowOff>25400</xdr:rowOff>
    </xdr:from>
    <xdr:to>
      <xdr:col>5</xdr:col>
      <xdr:colOff>596900</xdr:colOff>
      <xdr:row>8</xdr:row>
      <xdr:rowOff>152400</xdr:rowOff>
    </xdr:to>
    <xdr:sp macro="[0]!BuildDebtSchedule" textlink="">
      <xdr:nvSpPr>
        <xdr:cNvPr id="2" name="Rounded Rectangle 1">
          <a:extLst>
            <a:ext uri="{FF2B5EF4-FFF2-40B4-BE49-F238E27FC236}">
              <a16:creationId xmlns:a16="http://schemas.microsoft.com/office/drawing/2014/main" id="{1B0F9FF4-E622-DD32-419A-4CE682A4FA48}"/>
            </a:ext>
          </a:extLst>
        </xdr:cNvPr>
        <xdr:cNvSpPr/>
      </xdr:nvSpPr>
      <xdr:spPr>
        <a:xfrm>
          <a:off x="4749800" y="1079500"/>
          <a:ext cx="1320800" cy="292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Build Debt Schdule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LN - AllReports" connectionId="2" xr16:uid="{4253CE2A-AF07-BF4C-9ECE-0075F7E46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4701110 - AllReports" connectionId="1" xr16:uid="{B3E51ACD-4BE8-804E-86C1-B3A75732D06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A6266F-B98A-E340-BB13-16A91EBB2241}" name="tblDebtInstruments2" displayName="tblDebtInstruments2" ref="B15:J29" totalsRowShown="0" headerRowDxfId="8">
  <autoFilter ref="B15:J29" xr:uid="{873DCD64-BD0C-1641-968D-F52AE6C21A54}"/>
  <tableColumns count="9">
    <tableColumn id="1" xr3:uid="{934B1638-E72B-B843-B05E-216EACE99FBA}" name="Debt Instrument"/>
    <tableColumn id="2" xr3:uid="{2AA46E1C-D824-3745-8AF1-AA6476FFC477}" name="Rate" dataDxfId="7"/>
    <tableColumn id="3" xr3:uid="{CE417148-1705-CE48-89F2-B7506FC282D2}" name="Maturity"/>
    <tableColumn id="4" xr3:uid="{9114F505-A657-8245-B2E0-2D934E249D28}" name="2025A Balance"/>
    <tableColumn id="5" xr3:uid="{E98C6C45-6E9B-A44F-9000-33016BA3639B}" name="Debt Type"/>
    <tableColumn id="6" xr3:uid="{E9ED83F6-35C2-5442-B211-B75318907CD7}" name="Repayment Type"/>
    <tableColumn id="7" xr3:uid="{09903B93-7563-434F-ADFC-D06D20980A87}" name="Refinance at Maturity?"/>
    <tableColumn id="8" xr3:uid="{D3FC4EFC-92CE-3544-94A4-298305924CE6}" name="Debt Issuance Costs"/>
    <tableColumn id="9" xr3:uid="{C5FECE7B-A4DF-2A40-BED5-CAE31C2FB008}" name="Refinance At Close?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C37B61-275A-004D-9337-4B841B2B9E56}" name="tblCustomDebtActivity" displayName="tblCustomDebtActivity" ref="L15:P29" totalsRowShown="0" headerRowDxfId="6" tableBorderDxfId="5">
  <autoFilter ref="L15:P29" xr:uid="{46C37B61-275A-004D-9337-4B841B2B9E56}"/>
  <tableColumns count="5">
    <tableColumn id="1" xr3:uid="{8855F070-8117-0B43-84D6-0E99CB97D8A8}" name="Debt Instrument"/>
    <tableColumn id="2" xr3:uid="{446170D9-8E8D-9D4E-A516-7D6E901A2F7B}" name="Year"/>
    <tableColumn id="3" xr3:uid="{DDE0B7F2-9F45-1D46-82DF-151973AC1DA7}" name="New Borrowing"/>
    <tableColumn id="5" xr3:uid="{15E56C05-8B3B-2C43-8DE6-81109CFF03A0}" name="Mandatory Repayment"/>
    <tableColumn id="4" xr3:uid="{A6F4E0E3-37B5-4D44-807E-B221744459D5}" name="Optional Repayment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DCD64-BD0C-1641-968D-F52AE6C21A54}" name="tblDebtInstruments" displayName="tblDebtInstruments" ref="B16:J30" totalsRowShown="0" headerRowDxfId="4" tableBorderDxfId="3">
  <autoFilter ref="B16:J30" xr:uid="{873DCD64-BD0C-1641-968D-F52AE6C21A54}"/>
  <tableColumns count="9">
    <tableColumn id="1" xr3:uid="{9CC2BECC-2787-8441-9446-01365B3CF99F}" name="Debt Instrument"/>
    <tableColumn id="2" xr3:uid="{F80FE249-8700-D64B-8A49-779F7D872856}" name="Rate" dataDxfId="2"/>
    <tableColumn id="3" xr3:uid="{70C91C82-62E0-474B-BC3C-E605E77F61E0}" name="Maturity"/>
    <tableColumn id="4" xr3:uid="{1758AC0B-C443-8E41-B844-38D1CCBBCDB1}" name="2025A Balance"/>
    <tableColumn id="5" xr3:uid="{45032655-3CB9-254D-9CB4-C83C126AB7CF}" name="Debt Type"/>
    <tableColumn id="6" xr3:uid="{785AE38C-A276-AD4F-BA75-A97FC78C12B1}" name="Repayment Type"/>
    <tableColumn id="7" xr3:uid="{7D5E69C8-B094-4A44-93D9-EFC803F432FA}" name="Refinance at Maturity?"/>
    <tableColumn id="8" xr3:uid="{1DAC7120-9408-1D4C-B4E9-6700154B763E}" name="Debt Issuance Costs"/>
    <tableColumn id="10" xr3:uid="{D30E717E-A8B4-F848-A491-12EB7E75E291}" name="Refinance At Close?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EDCD22-7ADC-714E-B631-C514F3317761}" name="tblCustomDebtActivity7" displayName="tblCustomDebtActivity7" ref="L16:P30" totalsRowShown="0" headerRowDxfId="1" tableBorderDxfId="0">
  <autoFilter ref="L16:P30" xr:uid="{34EDCD22-7ADC-714E-B631-C514F3317761}"/>
  <tableColumns count="5">
    <tableColumn id="1" xr3:uid="{E5011CF9-DFC2-1F40-94A3-2AB933027559}" name="Debt Instrument"/>
    <tableColumn id="2" xr3:uid="{8CDACF22-C2DB-2149-B255-C3940F0614D2}" name="Year"/>
    <tableColumn id="3" xr3:uid="{EC8000BD-9571-1943-B27F-12655E0704ED}" name="New Borrowing"/>
    <tableColumn id="5" xr3:uid="{95347D85-897E-C647-83BC-68FC91AD4BE0}" name="Mandatory Repayment"/>
    <tableColumn id="4" xr3:uid="{82515D0E-1820-7D4D-BF42-64D6913EDCF6}" name="Optional Repayment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202124">
      <a:dk1>
        <a:srgbClr val="202024"/>
      </a:dk1>
      <a:lt1>
        <a:srgbClr val="FFFFFF"/>
      </a:lt1>
      <a:dk2>
        <a:srgbClr val="1F2C3C"/>
      </a:dk2>
      <a:lt2>
        <a:srgbClr val="DDE5EB"/>
      </a:lt2>
      <a:accent1>
        <a:srgbClr val="506479"/>
      </a:accent1>
      <a:accent2>
        <a:srgbClr val="777DB8"/>
      </a:accent2>
      <a:accent3>
        <a:srgbClr val="91B9D5"/>
      </a:accent3>
      <a:accent4>
        <a:srgbClr val="C3B96E"/>
      </a:accent4>
      <a:accent5>
        <a:srgbClr val="EAF2F8"/>
      </a:accent5>
      <a:accent6>
        <a:srgbClr val="F3EFD8"/>
      </a:accent6>
      <a:hlink>
        <a:srgbClr val="0563C1"/>
      </a:hlink>
      <a:folHlink>
        <a:srgbClr val="954F71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88CB6-2581-8C48-BDAA-D868C34A2E2A}">
  <sheetPr codeName="Sheet8"/>
  <dimension ref="A2:B26"/>
  <sheetViews>
    <sheetView showGridLines="0" tabSelected="1" workbookViewId="0">
      <selection activeCell="B8" sqref="B8"/>
    </sheetView>
  </sheetViews>
  <sheetFormatPr baseColWidth="10" defaultRowHeight="16" x14ac:dyDescent="0.2"/>
  <cols>
    <col min="1" max="1" width="10.83203125" style="327"/>
    <col min="2" max="2" width="30.83203125" style="327" customWidth="1"/>
    <col min="3" max="16384" width="10.83203125" style="327"/>
  </cols>
  <sheetData>
    <row r="2" spans="1:2" x14ac:dyDescent="0.2">
      <c r="A2" s="326"/>
      <c r="B2" s="62" t="s">
        <v>548</v>
      </c>
    </row>
    <row r="4" spans="1:2" x14ac:dyDescent="0.2">
      <c r="B4" s="326" t="str">
        <f>HYPERLINK("#'Main Page &amp; Assumptions'!A1", "Main Page &amp; Assumptions")</f>
        <v>Main Page &amp; Assumptions</v>
      </c>
    </row>
    <row r="5" spans="1:2" x14ac:dyDescent="0.2">
      <c r="B5" s="326" t="str">
        <f>HYPERLINK("#'Summary'!A1", "Summary")</f>
        <v>Summary</v>
      </c>
    </row>
    <row r="6" spans="1:2" x14ac:dyDescent="0.2">
      <c r="B6" s="326"/>
    </row>
    <row r="7" spans="1:2" x14ac:dyDescent="0.2">
      <c r="B7" s="325" t="s">
        <v>575</v>
      </c>
    </row>
    <row r="8" spans="1:2" x14ac:dyDescent="0.2">
      <c r="B8" s="326" t="str">
        <f>HYPERLINK("#'Sources and Uses'!A1", "Sources And Uses")</f>
        <v>Sources And Uses</v>
      </c>
    </row>
    <row r="9" spans="1:2" x14ac:dyDescent="0.2">
      <c r="B9" s="326" t="str">
        <f>HYPERLINK("#'Pro Forma Opening BS'!A1", "Pro Forma Opening BS")</f>
        <v>Pro Forma Opening BS</v>
      </c>
    </row>
    <row r="10" spans="1:2" x14ac:dyDescent="0.2">
      <c r="B10" s="326" t="str">
        <f>HYPERLINK("#'Pro Forma Financials'!A1", "Pro Forma Financials")</f>
        <v>Pro Forma Financials</v>
      </c>
    </row>
    <row r="11" spans="1:2" x14ac:dyDescent="0.2">
      <c r="B11" s="326" t="str">
        <f>HYPERLINK("#'PPA &amp; Goodwill'!A1", "PPA &amp; Goodwill")</f>
        <v>PPA &amp; Goodwill</v>
      </c>
    </row>
    <row r="12" spans="1:2" x14ac:dyDescent="0.2">
      <c r="B12" s="326" t="str">
        <f>HYPERLINK("#'Synergies &amp; Integrations'!A1", "Synergies &amp; Integrations")</f>
        <v>Synergies &amp; Integrations</v>
      </c>
    </row>
    <row r="13" spans="1:2" x14ac:dyDescent="0.2">
      <c r="B13" s="326" t="str">
        <f>HYPERLINK("#'Transaction &amp; Refinancing Debt'!A1", "Transaction &amp; Refinancing Debt")</f>
        <v>Transaction &amp; Refinancing Debt</v>
      </c>
    </row>
    <row r="14" spans="1:2" x14ac:dyDescent="0.2">
      <c r="B14" s="326" t="str">
        <f>HYPERLINK("#'Pro Forma D&amp;A'!A1", "Pro Forma D&amp;A")</f>
        <v>Pro Forma D&amp;A</v>
      </c>
    </row>
    <row r="16" spans="1:2" x14ac:dyDescent="0.2">
      <c r="B16" s="325" t="s">
        <v>412</v>
      </c>
    </row>
    <row r="17" spans="2:2" x14ac:dyDescent="0.2">
      <c r="B17" s="326" t="str">
        <f>HYPERLINK("#'Olin Standalone'!A1", "Olin Standalone")</f>
        <v>Olin Standalone</v>
      </c>
    </row>
    <row r="18" spans="2:2" x14ac:dyDescent="0.2">
      <c r="B18" s="326" t="str">
        <f>HYPERLINK("#'Olin Debt'!A1", "Olin Debt")</f>
        <v>Olin Debt</v>
      </c>
    </row>
    <row r="19" spans="2:2" x14ac:dyDescent="0.2">
      <c r="B19" s="326" t="str">
        <f>HYPERLINK("#'Olin Equity Schedule'!A1", "Olin Equity Schedule")</f>
        <v>Olin Equity Schedule</v>
      </c>
    </row>
    <row r="20" spans="2:2" x14ac:dyDescent="0.2">
      <c r="B20" s="326" t="str">
        <f>HYPERLINK("#'Olin D&amp;A'!A1", "Olin D&amp;A")</f>
        <v>Olin D&amp;A</v>
      </c>
    </row>
    <row r="22" spans="2:2" x14ac:dyDescent="0.2">
      <c r="B22" s="325" t="s">
        <v>404</v>
      </c>
    </row>
    <row r="23" spans="2:2" x14ac:dyDescent="0.2">
      <c r="B23" s="326" t="str">
        <f>HYPERLINK("#'Huntsman Standalone'!A1", "Huntsman Standalone")</f>
        <v>Huntsman Standalone</v>
      </c>
    </row>
    <row r="24" spans="2:2" x14ac:dyDescent="0.2">
      <c r="B24" s="326" t="str">
        <f>HYPERLINK("#'Huntsman Debt'!A1", "Huntsman Debt")</f>
        <v>Huntsman Debt</v>
      </c>
    </row>
    <row r="25" spans="2:2" x14ac:dyDescent="0.2">
      <c r="B25" s="326" t="str">
        <f>HYPERLINK("#'Huntsman Equity Schedule'!A1", "Huntsman Equity Schedule")</f>
        <v>Huntsman Equity Schedule</v>
      </c>
    </row>
    <row r="26" spans="2:2" x14ac:dyDescent="0.2">
      <c r="B26" s="326" t="str">
        <f>HYPERLINK("#'Huntsman D&amp;A'!A1", "Huntsman D&amp;A")</f>
        <v>Huntsman D&amp;A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B9C6E-E207-2041-8F59-04E3A5FDBB80}">
  <sheetPr codeName="Sheet1"/>
  <dimension ref="A1:K77"/>
  <sheetViews>
    <sheetView showGridLines="0" zoomScaleNormal="178" workbookViewId="0">
      <selection activeCell="I20" sqref="I20"/>
    </sheetView>
  </sheetViews>
  <sheetFormatPr baseColWidth="10" defaultRowHeight="14" customHeight="1" x14ac:dyDescent="0.15"/>
  <cols>
    <col min="2" max="2" width="4.1640625" customWidth="1"/>
    <col min="3" max="4" width="30" customWidth="1"/>
    <col min="5" max="5" width="4.1640625" customWidth="1"/>
    <col min="6" max="7" width="30" customWidth="1"/>
    <col min="8" max="8" width="4.1640625" customWidth="1"/>
    <col min="9" max="10" width="30" customWidth="1"/>
    <col min="11" max="11" width="4.1640625" customWidth="1"/>
    <col min="12" max="15" width="30" customWidth="1"/>
  </cols>
  <sheetData>
    <row r="1" spans="1:11" ht="14" customHeight="1" x14ac:dyDescent="0.15">
      <c r="A1" s="298" t="str">
        <f>HYPERLINK("#'Table of Contents'!A1", "&lt;---------")</f>
        <v>&lt;---------</v>
      </c>
    </row>
    <row r="2" spans="1:11" ht="14" customHeight="1" x14ac:dyDescent="0.15">
      <c r="C2" s="332" t="s">
        <v>556</v>
      </c>
      <c r="D2" s="332"/>
      <c r="E2" s="332"/>
      <c r="F2" s="332"/>
      <c r="G2" s="332"/>
      <c r="H2" s="332"/>
      <c r="I2" s="332"/>
      <c r="J2" s="332"/>
    </row>
    <row r="4" spans="1:11" ht="14" customHeight="1" x14ac:dyDescent="0.15">
      <c r="C4" s="333" t="s">
        <v>17</v>
      </c>
      <c r="D4" s="335"/>
      <c r="F4" s="333" t="s">
        <v>22</v>
      </c>
      <c r="G4" s="335"/>
      <c r="I4" s="333" t="s">
        <v>26</v>
      </c>
      <c r="J4" s="335"/>
    </row>
    <row r="5" spans="1:11" ht="14" customHeight="1" x14ac:dyDescent="0.15">
      <c r="C5" s="3"/>
      <c r="D5" s="5"/>
      <c r="F5" s="3"/>
      <c r="G5" s="5"/>
      <c r="I5" s="3"/>
      <c r="J5" s="5"/>
    </row>
    <row r="6" spans="1:11" ht="14" customHeight="1" x14ac:dyDescent="0.15">
      <c r="C6" s="3" t="s">
        <v>0</v>
      </c>
      <c r="D6" s="20" t="s">
        <v>2</v>
      </c>
      <c r="F6" s="3" t="s">
        <v>30</v>
      </c>
      <c r="G6" s="29">
        <f>$D$28</f>
        <v>2430.3867952000001</v>
      </c>
      <c r="I6" s="3" t="s">
        <v>14</v>
      </c>
      <c r="J6" s="27">
        <f>J7*D19</f>
        <v>2430.3867952000001</v>
      </c>
    </row>
    <row r="7" spans="1:11" ht="14" customHeight="1" x14ac:dyDescent="0.15">
      <c r="C7" s="3" t="s">
        <v>1</v>
      </c>
      <c r="D7" s="20" t="s">
        <v>3</v>
      </c>
      <c r="F7" s="3" t="s">
        <v>29</v>
      </c>
      <c r="G7" s="31">
        <f ca="1">'Sources and Uses'!C16+'Sources and Uses'!C8</f>
        <v>495</v>
      </c>
      <c r="I7" s="26" t="s">
        <v>12</v>
      </c>
      <c r="J7" s="30">
        <f>D18*D21</f>
        <v>97.527559999999994</v>
      </c>
    </row>
    <row r="8" spans="1:11" ht="14" customHeight="1" x14ac:dyDescent="0.15">
      <c r="B8" s="1"/>
      <c r="C8" s="3" t="s">
        <v>18</v>
      </c>
      <c r="D8" s="21">
        <v>46189</v>
      </c>
      <c r="E8" s="1"/>
      <c r="F8" s="3" t="s">
        <v>23</v>
      </c>
      <c r="G8" s="31">
        <v>56</v>
      </c>
      <c r="H8" s="1"/>
      <c r="I8" s="3" t="s">
        <v>27</v>
      </c>
      <c r="J8" s="27">
        <f ca="1">'Sources and Uses'!C34</f>
        <v>551</v>
      </c>
      <c r="K8" s="1"/>
    </row>
    <row r="9" spans="1:11" ht="14" customHeight="1" x14ac:dyDescent="0.15">
      <c r="B9" s="1"/>
      <c r="C9" s="3" t="s">
        <v>68</v>
      </c>
      <c r="D9" s="21">
        <v>46568</v>
      </c>
      <c r="E9" s="1"/>
      <c r="F9" s="3" t="s">
        <v>24</v>
      </c>
      <c r="G9" s="31">
        <v>0</v>
      </c>
      <c r="H9" s="1"/>
      <c r="I9" s="3" t="s">
        <v>67</v>
      </c>
      <c r="J9" s="200">
        <f>'Sources and Uses'!C35</f>
        <v>0</v>
      </c>
      <c r="K9" s="1"/>
    </row>
    <row r="10" spans="1:11" ht="14" customHeight="1" x14ac:dyDescent="0.15">
      <c r="C10" s="3" t="s">
        <v>19</v>
      </c>
      <c r="D10" s="20" t="s">
        <v>62</v>
      </c>
      <c r="F10" s="3" t="s">
        <v>466</v>
      </c>
      <c r="G10" s="31">
        <v>0</v>
      </c>
      <c r="I10" s="3" t="s">
        <v>69</v>
      </c>
      <c r="J10" s="31">
        <v>0</v>
      </c>
    </row>
    <row r="11" spans="1:11" ht="14" customHeight="1" x14ac:dyDescent="0.15">
      <c r="C11" s="3" t="s">
        <v>20</v>
      </c>
      <c r="D11" s="13">
        <v>0.54759999999999998</v>
      </c>
      <c r="F11" s="3"/>
      <c r="G11" s="5"/>
      <c r="I11" s="3"/>
      <c r="J11" s="5"/>
    </row>
    <row r="12" spans="1:11" ht="14" customHeight="1" x14ac:dyDescent="0.15">
      <c r="C12" s="3" t="s">
        <v>468</v>
      </c>
      <c r="D12" s="13">
        <v>1</v>
      </c>
      <c r="F12" s="3"/>
      <c r="G12" s="5"/>
      <c r="I12" s="3"/>
      <c r="J12" s="5"/>
    </row>
    <row r="13" spans="1:11" ht="14" customHeight="1" x14ac:dyDescent="0.15">
      <c r="C13" s="3" t="s">
        <v>228</v>
      </c>
      <c r="D13" s="13">
        <v>0</v>
      </c>
      <c r="F13" s="7" t="s">
        <v>25</v>
      </c>
      <c r="G13" s="28">
        <f ca="1">SUM(G6:G10)</f>
        <v>2981.3867952000001</v>
      </c>
      <c r="I13" s="7" t="s">
        <v>28</v>
      </c>
      <c r="J13" s="28">
        <f ca="1">J6+J8+J9+J10</f>
        <v>2981.3867952000001</v>
      </c>
    </row>
    <row r="14" spans="1:11" ht="14" customHeight="1" x14ac:dyDescent="0.15">
      <c r="C14" s="7" t="s">
        <v>579</v>
      </c>
      <c r="D14" s="22">
        <v>2027</v>
      </c>
      <c r="G14" s="282"/>
      <c r="J14" s="282"/>
    </row>
    <row r="16" spans="1:11" ht="14" customHeight="1" x14ac:dyDescent="0.15">
      <c r="C16" s="333" t="s">
        <v>61</v>
      </c>
      <c r="D16" s="335"/>
      <c r="F16" s="336" t="s">
        <v>45</v>
      </c>
      <c r="G16" s="337"/>
      <c r="I16" s="336" t="s">
        <v>44</v>
      </c>
      <c r="J16" s="337"/>
    </row>
    <row r="17" spans="3:10" ht="14" customHeight="1" x14ac:dyDescent="0.15">
      <c r="C17" s="10"/>
      <c r="D17" s="11"/>
      <c r="F17" s="10"/>
      <c r="G17" s="11"/>
      <c r="I17" s="10"/>
      <c r="J17" s="11"/>
    </row>
    <row r="18" spans="3:10" ht="14" customHeight="1" x14ac:dyDescent="0.15">
      <c r="C18" s="3" t="s">
        <v>31</v>
      </c>
      <c r="D18" s="5">
        <f>D11</f>
        <v>0.54759999999999998</v>
      </c>
      <c r="F18" s="3" t="s">
        <v>30</v>
      </c>
      <c r="G18" s="27">
        <f>G6+G10</f>
        <v>2430.3867952000001</v>
      </c>
      <c r="I18" s="3" t="s">
        <v>48</v>
      </c>
      <c r="J18" s="32">
        <v>0.24</v>
      </c>
    </row>
    <row r="19" spans="3:10" ht="14" customHeight="1" x14ac:dyDescent="0.15">
      <c r="C19" s="3" t="s">
        <v>32</v>
      </c>
      <c r="D19" s="23">
        <v>24.92</v>
      </c>
      <c r="F19" s="3" t="s">
        <v>478</v>
      </c>
      <c r="G19" s="13">
        <v>17</v>
      </c>
      <c r="I19" s="3" t="s">
        <v>74</v>
      </c>
      <c r="J19" s="29">
        <v>300</v>
      </c>
    </row>
    <row r="20" spans="3:10" ht="14" customHeight="1" x14ac:dyDescent="0.15">
      <c r="C20" s="3" t="s">
        <v>33</v>
      </c>
      <c r="D20" s="23">
        <v>13.85</v>
      </c>
      <c r="F20" s="3" t="s">
        <v>465</v>
      </c>
      <c r="G20" s="27">
        <f>G18+G19</f>
        <v>2447.3867952000001</v>
      </c>
      <c r="I20" s="3" t="s">
        <v>49</v>
      </c>
      <c r="J20" s="29">
        <v>175</v>
      </c>
    </row>
    <row r="21" spans="3:10" ht="14" customHeight="1" x14ac:dyDescent="0.15">
      <c r="C21" s="4" t="s">
        <v>21</v>
      </c>
      <c r="D21" s="5">
        <v>178.1</v>
      </c>
      <c r="F21" s="3"/>
      <c r="G21" s="5"/>
      <c r="I21" s="3" t="s">
        <v>75</v>
      </c>
      <c r="J21" s="13">
        <v>10</v>
      </c>
    </row>
    <row r="22" spans="3:10" ht="14" customHeight="1" x14ac:dyDescent="0.15">
      <c r="C22" s="3" t="s">
        <v>65</v>
      </c>
      <c r="D22" s="23">
        <v>0</v>
      </c>
      <c r="F22" s="3"/>
      <c r="G22" s="5"/>
      <c r="I22" s="3" t="s">
        <v>50</v>
      </c>
      <c r="J22" s="33">
        <v>7.4999999999999997E-2</v>
      </c>
    </row>
    <row r="23" spans="3:10" ht="14" customHeight="1" x14ac:dyDescent="0.15">
      <c r="C23" s="3" t="s">
        <v>66</v>
      </c>
      <c r="D23" s="24">
        <f>D18*D19</f>
        <v>13.646192000000001</v>
      </c>
      <c r="F23" s="7" t="s">
        <v>43</v>
      </c>
      <c r="G23" s="6">
        <f>'PPA &amp; Goodwill'!C25</f>
        <v>454.14365193777758</v>
      </c>
      <c r="I23" s="3"/>
      <c r="J23" s="5"/>
    </row>
    <row r="24" spans="3:10" ht="14" customHeight="1" x14ac:dyDescent="0.15">
      <c r="C24" s="3" t="s">
        <v>71</v>
      </c>
      <c r="D24" s="24">
        <f>D22+D23</f>
        <v>13.646192000000001</v>
      </c>
      <c r="F24" s="2"/>
      <c r="I24" s="3" t="s">
        <v>77</v>
      </c>
      <c r="J24" s="13">
        <v>10</v>
      </c>
    </row>
    <row r="25" spans="3:10" ht="14" customHeight="1" x14ac:dyDescent="0.15">
      <c r="C25" s="26" t="s">
        <v>34</v>
      </c>
      <c r="D25" s="38">
        <f>IFERROR(D22/D24, 0)</f>
        <v>0</v>
      </c>
      <c r="I25" s="7" t="s">
        <v>78</v>
      </c>
      <c r="J25" s="268">
        <v>100</v>
      </c>
    </row>
    <row r="26" spans="3:10" ht="14" customHeight="1" x14ac:dyDescent="0.15">
      <c r="C26" s="26" t="s">
        <v>35</v>
      </c>
      <c r="D26" s="38">
        <f>IFERROR(D23/D24,0)</f>
        <v>1</v>
      </c>
      <c r="F26" s="333" t="s">
        <v>571</v>
      </c>
      <c r="G26" s="335"/>
    </row>
    <row r="27" spans="3:10" ht="14" customHeight="1" x14ac:dyDescent="0.15">
      <c r="C27" s="3"/>
      <c r="D27" s="27"/>
      <c r="F27" s="19" t="s">
        <v>572</v>
      </c>
      <c r="G27" s="5"/>
      <c r="I27" s="333" t="s">
        <v>64</v>
      </c>
      <c r="J27" s="335"/>
    </row>
    <row r="28" spans="3:10" ht="14" customHeight="1" x14ac:dyDescent="0.15">
      <c r="C28" s="19" t="s">
        <v>72</v>
      </c>
      <c r="D28" s="27">
        <f>D24*D21</f>
        <v>2430.3867952000001</v>
      </c>
      <c r="F28" s="19" t="s">
        <v>573</v>
      </c>
      <c r="G28" s="5"/>
      <c r="I28" s="3" t="s">
        <v>37</v>
      </c>
      <c r="J28" s="27">
        <f>D31</f>
        <v>4081.6628189239386</v>
      </c>
    </row>
    <row r="29" spans="3:10" ht="14" customHeight="1" x14ac:dyDescent="0.15">
      <c r="C29" s="19" t="s">
        <v>73</v>
      </c>
      <c r="D29" s="29">
        <f>'Huntsman Debt'!D48</f>
        <v>1651.2760237239386</v>
      </c>
      <c r="F29" s="19" t="s">
        <v>574</v>
      </c>
      <c r="G29" s="5"/>
      <c r="I29" s="3"/>
      <c r="J29" s="5"/>
    </row>
    <row r="30" spans="3:10" ht="14" customHeight="1" x14ac:dyDescent="0.15">
      <c r="C30" s="3"/>
      <c r="D30" s="5"/>
      <c r="F30" s="3"/>
      <c r="G30" s="5"/>
      <c r="I30" s="3" t="s">
        <v>38</v>
      </c>
      <c r="J30" s="36">
        <v>7.6</v>
      </c>
    </row>
    <row r="31" spans="3:10" ht="14" customHeight="1" x14ac:dyDescent="0.15">
      <c r="C31" s="18" t="s">
        <v>36</v>
      </c>
      <c r="D31" s="28">
        <f>D28+D29</f>
        <v>4081.6628189239386</v>
      </c>
      <c r="F31" s="7"/>
      <c r="G31" s="6"/>
      <c r="I31" s="7"/>
      <c r="J31" s="37"/>
    </row>
    <row r="33" spans="3:9" ht="14" customHeight="1" x14ac:dyDescent="0.15">
      <c r="D33" s="333" t="s">
        <v>457</v>
      </c>
      <c r="E33" s="334"/>
      <c r="F33" s="334"/>
      <c r="G33" s="334"/>
      <c r="H33" s="334"/>
      <c r="I33" s="335"/>
    </row>
    <row r="34" spans="3:9" ht="14" customHeight="1" x14ac:dyDescent="0.15">
      <c r="D34" s="3"/>
      <c r="I34" s="5" t="s">
        <v>551</v>
      </c>
    </row>
    <row r="35" spans="3:9" ht="14" customHeight="1" x14ac:dyDescent="0.15">
      <c r="D35" s="3" t="s">
        <v>63</v>
      </c>
      <c r="G35" s="16" t="s">
        <v>51</v>
      </c>
      <c r="I35" s="8" t="s">
        <v>52</v>
      </c>
    </row>
    <row r="36" spans="3:9" ht="14" customHeight="1" x14ac:dyDescent="0.15">
      <c r="D36" s="3"/>
      <c r="I36" s="5"/>
    </row>
    <row r="37" spans="3:9" ht="14" customHeight="1" x14ac:dyDescent="0.15">
      <c r="D37" s="14" t="s">
        <v>79</v>
      </c>
      <c r="F37" s="17">
        <v>423</v>
      </c>
      <c r="G37" s="34">
        <v>7.4999999999999997E-2</v>
      </c>
      <c r="I37" s="25">
        <f>F37/F46</f>
        <v>1</v>
      </c>
    </row>
    <row r="38" spans="3:9" ht="14" customHeight="1" x14ac:dyDescent="0.15">
      <c r="D38" s="14" t="s">
        <v>53</v>
      </c>
      <c r="F38" s="15">
        <v>0</v>
      </c>
      <c r="G38" s="34">
        <v>0</v>
      </c>
      <c r="I38" s="25">
        <v>0</v>
      </c>
    </row>
    <row r="39" spans="3:9" ht="14" customHeight="1" x14ac:dyDescent="0.15">
      <c r="D39" s="14" t="s">
        <v>54</v>
      </c>
      <c r="F39" s="15">
        <v>0</v>
      </c>
      <c r="G39" s="34">
        <v>0</v>
      </c>
      <c r="I39" s="25">
        <v>0</v>
      </c>
    </row>
    <row r="40" spans="3:9" ht="14" customHeight="1" x14ac:dyDescent="0.15">
      <c r="C40" s="331"/>
      <c r="D40" s="14" t="s">
        <v>55</v>
      </c>
      <c r="F40" s="15">
        <v>0</v>
      </c>
      <c r="G40" s="34">
        <v>0</v>
      </c>
      <c r="I40" s="25">
        <v>0</v>
      </c>
    </row>
    <row r="41" spans="3:9" ht="14" customHeight="1" x14ac:dyDescent="0.15">
      <c r="C41" s="331"/>
      <c r="D41" s="14" t="s">
        <v>56</v>
      </c>
      <c r="F41" s="15">
        <v>0</v>
      </c>
      <c r="G41" s="34">
        <v>0</v>
      </c>
      <c r="I41" s="25">
        <v>0</v>
      </c>
    </row>
    <row r="42" spans="3:9" ht="14" customHeight="1" x14ac:dyDescent="0.15">
      <c r="D42" s="14" t="s">
        <v>57</v>
      </c>
      <c r="F42" s="15">
        <v>0</v>
      </c>
      <c r="G42" s="34">
        <v>0</v>
      </c>
      <c r="I42" s="25">
        <v>0</v>
      </c>
    </row>
    <row r="43" spans="3:9" ht="14" customHeight="1" x14ac:dyDescent="0.15">
      <c r="D43" s="14" t="s">
        <v>58</v>
      </c>
      <c r="F43" s="15">
        <v>0</v>
      </c>
      <c r="G43" s="34">
        <v>0</v>
      </c>
      <c r="I43" s="25">
        <v>0</v>
      </c>
    </row>
    <row r="44" spans="3:9" ht="14" customHeight="1" x14ac:dyDescent="0.15">
      <c r="D44" s="14" t="s">
        <v>59</v>
      </c>
      <c r="F44" s="15">
        <v>0</v>
      </c>
      <c r="G44" s="34">
        <v>0</v>
      </c>
      <c r="I44" s="25">
        <v>0</v>
      </c>
    </row>
    <row r="45" spans="3:9" ht="14" customHeight="1" x14ac:dyDescent="0.15">
      <c r="D45" s="3"/>
      <c r="I45" s="5"/>
    </row>
    <row r="46" spans="3:9" ht="14" customHeight="1" x14ac:dyDescent="0.15">
      <c r="D46" s="7" t="s">
        <v>80</v>
      </c>
      <c r="E46" s="9"/>
      <c r="F46" s="35">
        <f>SUM(F37:F44)</f>
        <v>423</v>
      </c>
      <c r="G46" s="9"/>
      <c r="H46" s="9"/>
      <c r="I46" s="6">
        <v>0</v>
      </c>
    </row>
    <row r="62" spans="3:3" ht="14" customHeight="1" x14ac:dyDescent="0.15">
      <c r="C62" t="s">
        <v>4</v>
      </c>
    </row>
    <row r="63" spans="3:3" ht="14" customHeight="1" x14ac:dyDescent="0.15">
      <c r="C63" t="s">
        <v>5</v>
      </c>
    </row>
    <row r="64" spans="3:3" ht="14" customHeight="1" x14ac:dyDescent="0.15">
      <c r="C64" t="s">
        <v>6</v>
      </c>
    </row>
    <row r="65" spans="3:3" ht="14" customHeight="1" x14ac:dyDescent="0.15">
      <c r="C65" t="s">
        <v>7</v>
      </c>
    </row>
    <row r="66" spans="3:3" ht="14" customHeight="1" x14ac:dyDescent="0.15">
      <c r="C66" t="s">
        <v>8</v>
      </c>
    </row>
    <row r="68" spans="3:3" ht="14" customHeight="1" x14ac:dyDescent="0.15">
      <c r="C68" t="s">
        <v>9</v>
      </c>
    </row>
    <row r="69" spans="3:3" ht="14" customHeight="1" x14ac:dyDescent="0.15">
      <c r="C69" t="s">
        <v>10</v>
      </c>
    </row>
    <row r="71" spans="3:3" ht="14" customHeight="1" x14ac:dyDescent="0.15">
      <c r="C71" t="s">
        <v>11</v>
      </c>
    </row>
    <row r="72" spans="3:3" ht="14" customHeight="1" x14ac:dyDescent="0.15">
      <c r="C72" t="s">
        <v>12</v>
      </c>
    </row>
    <row r="73" spans="3:3" ht="14" customHeight="1" x14ac:dyDescent="0.15">
      <c r="C73" t="s">
        <v>13</v>
      </c>
    </row>
    <row r="74" spans="3:3" ht="14" customHeight="1" x14ac:dyDescent="0.15">
      <c r="C74" t="s">
        <v>14</v>
      </c>
    </row>
    <row r="76" spans="3:3" ht="14" customHeight="1" x14ac:dyDescent="0.15">
      <c r="C76" t="s">
        <v>15</v>
      </c>
    </row>
    <row r="77" spans="3:3" ht="14" customHeight="1" x14ac:dyDescent="0.15">
      <c r="C77" t="s">
        <v>16</v>
      </c>
    </row>
  </sheetData>
  <mergeCells count="11">
    <mergeCell ref="C40:C41"/>
    <mergeCell ref="C2:J2"/>
    <mergeCell ref="D33:I33"/>
    <mergeCell ref="I27:J27"/>
    <mergeCell ref="C4:D4"/>
    <mergeCell ref="F4:G4"/>
    <mergeCell ref="I4:J4"/>
    <mergeCell ref="F16:G16"/>
    <mergeCell ref="C16:D16"/>
    <mergeCell ref="I16:J16"/>
    <mergeCell ref="F26:G26"/>
  </mergeCells>
  <conditionalFormatting sqref="D34:I46">
    <cfRule type="expression" dxfId="10" priority="1">
      <formula>ISERROR(SEARCH(1,$D$13))</formula>
    </cfRule>
  </conditionalFormatting>
  <dataValidations count="2">
    <dataValidation type="list" allowBlank="1" showInputMessage="1" showErrorMessage="1" sqref="D10" xr:uid="{3B155C21-BF24-EF49-AE52-53D1C08DD8BE}">
      <formula1>"All Stock,All Cash,Mixed Cash / Stock"</formula1>
    </dataValidation>
    <dataValidation type="whole" operator="greaterThanOrEqual" allowBlank="1" showInputMessage="1" showErrorMessage="1" errorTitle="cant be less than trans. close" sqref="D14" xr:uid="{BC720D1B-FEB9-FB46-A340-6AEEC3EBCF63}">
      <formula1>YEAR($D$9)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0BA6A-C149-3D45-B1EF-F5B6847DF0DE}">
  <sheetPr codeName="Sheet19"/>
  <dimension ref="A1:K14"/>
  <sheetViews>
    <sheetView showGridLines="0" workbookViewId="0">
      <selection activeCell="H16" sqref="H16"/>
    </sheetView>
  </sheetViews>
  <sheetFormatPr baseColWidth="10" defaultRowHeight="13" x14ac:dyDescent="0.15"/>
  <cols>
    <col min="1" max="1" width="7.33203125" customWidth="1"/>
    <col min="2" max="2" width="24.33203125" hidden="1" customWidth="1"/>
    <col min="3" max="3" width="28.1640625" customWidth="1"/>
    <col min="4" max="4" width="14.6640625" customWidth="1"/>
  </cols>
  <sheetData>
    <row r="1" spans="1:11" x14ac:dyDescent="0.15">
      <c r="A1" s="298" t="str">
        <f>HYPERLINK("#'Table of Contents'!A1", "&lt;---------")</f>
        <v>&lt;---------</v>
      </c>
      <c r="B1" s="298"/>
    </row>
    <row r="2" spans="1:11" s="323" customFormat="1" ht="18" x14ac:dyDescent="0.2">
      <c r="A2" s="324"/>
      <c r="C2" s="44" t="s">
        <v>555</v>
      </c>
      <c r="D2" s="44"/>
      <c r="E2" s="44"/>
      <c r="F2" s="44"/>
      <c r="G2" s="44"/>
      <c r="H2" s="44"/>
      <c r="I2" s="44"/>
    </row>
    <row r="3" spans="1:11" x14ac:dyDescent="0.15">
      <c r="B3" s="306"/>
      <c r="C3" s="59" t="s">
        <v>570</v>
      </c>
      <c r="D3" s="60">
        <f>IF('Main Page &amp; Assumptions'!$D$14&gt;2031,"",DATE('Main Page &amp; Assumptions'!$D$14,12,31))</f>
        <v>46752</v>
      </c>
      <c r="E3" s="60">
        <f>IFERROR(IF(OR(D3="",YEAR(D3)&gt;=2031),"",EDATE(D3,12)),"")</f>
        <v>47118</v>
      </c>
      <c r="F3" s="60">
        <f t="shared" ref="F3:I3" si="0">IFERROR(IF(OR(E3="",YEAR(E3)&gt;=2031),"",EDATE(E3,12)),"")</f>
        <v>47483</v>
      </c>
      <c r="G3" s="60">
        <f t="shared" si="0"/>
        <v>47848</v>
      </c>
      <c r="H3" s="60">
        <f t="shared" si="0"/>
        <v>48213</v>
      </c>
      <c r="I3" s="60" t="str">
        <f t="shared" si="0"/>
        <v/>
      </c>
      <c r="J3" s="1"/>
      <c r="K3" s="1"/>
    </row>
    <row r="4" spans="1:11" x14ac:dyDescent="0.15">
      <c r="B4" s="48" t="s">
        <v>229</v>
      </c>
      <c r="C4" s="48" t="s">
        <v>557</v>
      </c>
      <c r="D4" s="57">
        <f>_xlfn.IFNA(INDEX(
'Pro Forma Financials'!$D$8:$I$144,
MATCH($B4,'Pro Forma Financials'!$B$8:$B$144,0),
MATCH(D$3,'Pro Forma Financials'!$D$6:$I$6,0)
),"")</f>
        <v>13780.560108560001</v>
      </c>
      <c r="E4" s="57">
        <f>_xlfn.IFNA(INDEX(
'Pro Forma Financials'!$D$8:$I$144,
MATCH($B4,'Pro Forma Financials'!$B$8:$B$144,0),
MATCH(E$3,'Pro Forma Financials'!$D$6:$I$6,0)
),"")</f>
        <v>14845.315591669027</v>
      </c>
      <c r="F4" s="57">
        <f>_xlfn.IFNA(INDEX(
'Pro Forma Financials'!$D$8:$I$144,
MATCH($B4,'Pro Forma Financials'!$B$8:$B$144,0),
MATCH(F$3,'Pro Forma Financials'!$D$6:$I$6,0)
),"")</f>
        <v>15497.091596038512</v>
      </c>
      <c r="G4" s="57">
        <f>_xlfn.IFNA(INDEX(
'Pro Forma Financials'!$D$8:$I$144,
MATCH($B4,'Pro Forma Financials'!$B$8:$B$144,0),
MATCH(G$3,'Pro Forma Financials'!$D$6:$I$6,0)
),"")</f>
        <v>16480.249407776741</v>
      </c>
      <c r="H4" s="57">
        <f>_xlfn.IFNA(INDEX(
'Pro Forma Financials'!$D$8:$I$144,
MATCH($B4,'Pro Forma Financials'!$B$8:$B$144,0),
MATCH(H$3,'Pro Forma Financials'!$D$6:$I$6,0)
),"")</f>
        <v>17300.788780843624</v>
      </c>
      <c r="I4" s="39" t="str">
        <f>_xlfn.IFNA(INDEX(
'Pro Forma Financials'!$D$8:$I$144,
MATCH($B4,'Pro Forma Financials'!$B$8:$B$144,0),
MATCH(I$3,'Pro Forma Financials'!$D$6:$I$6,0)
),"")</f>
        <v/>
      </c>
    </row>
    <row r="5" spans="1:11" x14ac:dyDescent="0.15">
      <c r="B5" s="48" t="s">
        <v>188</v>
      </c>
      <c r="C5" t="s">
        <v>558</v>
      </c>
      <c r="D5" s="39">
        <f>_xlfn.IFNA(INDEX(
'Pro Forma Financials'!$D$8:$I$144,
MATCH($B5,'Pro Forma Financials'!$B$8:$B$144,0),
MATCH(D$3,'Pro Forma Financials'!$D$6:$I$6,0)
),"")</f>
        <v>1374.8923201806081</v>
      </c>
      <c r="E5" s="39">
        <f>_xlfn.IFNA(INDEX(
'Pro Forma Financials'!$D$8:$I$144,
MATCH($B5,'Pro Forma Financials'!$B$8:$B$144,0),
MATCH(E$3,'Pro Forma Financials'!$D$6:$I$6,0)
),"")</f>
        <v>2035.2243741102666</v>
      </c>
      <c r="F5" s="39">
        <f>_xlfn.IFNA(INDEX(
'Pro Forma Financials'!$D$8:$I$144,
MATCH($B5,'Pro Forma Financials'!$B$8:$B$144,0),
MATCH(F$3,'Pro Forma Financials'!$D$6:$I$6,0)
),"")</f>
        <v>2530.583839124618</v>
      </c>
      <c r="G5" s="39">
        <f>_xlfn.IFNA(INDEX(
'Pro Forma Financials'!$D$8:$I$144,
MATCH($B5,'Pro Forma Financials'!$B$8:$B$144,0),
MATCH(G$3,'Pro Forma Financials'!$D$6:$I$6,0)
),"")</f>
        <v>3070.7879943925545</v>
      </c>
      <c r="H5" s="39">
        <f>_xlfn.IFNA(INDEX(
'Pro Forma Financials'!$D$8:$I$144,
MATCH($B5,'Pro Forma Financials'!$B$8:$B$144,0),
MATCH(H$3,'Pro Forma Financials'!$D$6:$I$6,0)
),"")</f>
        <v>3521.3700863726071</v>
      </c>
      <c r="I5" s="39" t="str">
        <f>_xlfn.IFNA(INDEX(
'Pro Forma Financials'!$D$8:$I$144,
MATCH($B5,'Pro Forma Financials'!$B$8:$B$144,0),
MATCH(I$3,'Pro Forma Financials'!$D$6:$I$6,0)
),"")</f>
        <v/>
      </c>
    </row>
    <row r="6" spans="1:11" x14ac:dyDescent="0.15">
      <c r="B6" s="48"/>
      <c r="C6" s="41" t="s">
        <v>581</v>
      </c>
      <c r="D6" s="329">
        <f>_xlfn.IFNA(D5/D4,"")</f>
        <v>9.9770423651109302E-2</v>
      </c>
      <c r="E6" s="329">
        <f t="shared" ref="E6:F6" si="1">_xlfn.IFNA(E5/E4,"")</f>
        <v>0.13709539292330064</v>
      </c>
      <c r="F6" s="329">
        <f t="shared" si="1"/>
        <v>0.16329411383046258</v>
      </c>
      <c r="G6" s="329">
        <f>IFERROR(G5/G4,"")</f>
        <v>0.18633140302740223</v>
      </c>
      <c r="H6" s="329">
        <f t="shared" ref="H6:I6" si="2">IFERROR(H5/H4,"")</f>
        <v>0.20353812366472329</v>
      </c>
      <c r="I6" s="329" t="str">
        <f t="shared" si="2"/>
        <v/>
      </c>
    </row>
    <row r="7" spans="1:11" x14ac:dyDescent="0.15">
      <c r="B7" t="s">
        <v>107</v>
      </c>
      <c r="C7" s="48" t="s">
        <v>559</v>
      </c>
      <c r="D7" s="57">
        <f ca="1">_xlfn.IFNA(INDEX(
'Pro Forma Financials'!$D$8:$I$144,
MATCH($B7,'Pro Forma Financials'!$B$8:$B$144,0),
MATCH(D$3,'Pro Forma Financials'!$D$6:$I$6,0)
),"")</f>
        <v>272.5209569287349</v>
      </c>
      <c r="E7" s="57">
        <f ca="1">_xlfn.IFNA(INDEX(
'Pro Forma Financials'!$D$8:$I$144,
MATCH($B7,'Pro Forma Financials'!$B$8:$B$144,0),
MATCH(E$3,'Pro Forma Financials'!$D$6:$I$6,0)
),"")</f>
        <v>760.00564564759884</v>
      </c>
      <c r="F7" s="57">
        <f ca="1">_xlfn.IFNA(INDEX(
'Pro Forma Financials'!$D$8:$I$144,
MATCH($B7,'Pro Forma Financials'!$B$8:$B$144,0),
MATCH(F$3,'Pro Forma Financials'!$D$6:$I$6,0)
),"")</f>
        <v>1120.7729998290529</v>
      </c>
      <c r="G7" s="57">
        <f ca="1">_xlfn.IFNA(INDEX(
'Pro Forma Financials'!$D$8:$I$144,
MATCH($B7,'Pro Forma Financials'!$B$8:$B$144,0),
MATCH(G$3,'Pro Forma Financials'!$D$6:$I$6,0)
),"")</f>
        <v>1534.3605621921665</v>
      </c>
      <c r="H7" s="57">
        <f ca="1">_xlfn.IFNA(INDEX(
'Pro Forma Financials'!$D$8:$I$144,
MATCH($B7,'Pro Forma Financials'!$B$8:$B$144,0),
MATCH(H$3,'Pro Forma Financials'!$D$6:$I$6,0)
),"")</f>
        <v>1871.4008427969438</v>
      </c>
      <c r="I7" s="57" t="str">
        <f>_xlfn.IFNA(INDEX(
'Pro Forma Financials'!$D$8:$I$144,
MATCH($B7,'Pro Forma Financials'!$B$8:$B$144,0),
MATCH(I$3,'Pro Forma Financials'!$D$6:$I$6,0)
),"")</f>
        <v/>
      </c>
    </row>
    <row r="8" spans="1:11" x14ac:dyDescent="0.15">
      <c r="B8" t="s">
        <v>259</v>
      </c>
      <c r="C8" t="s">
        <v>560</v>
      </c>
      <c r="D8" s="40">
        <f ca="1">_xlfn.IFNA(INDEX(
'Pro Forma Financials'!$D$8:$I$144,
MATCH($B8,'Pro Forma Financials'!$B$8:$B$144,0),
MATCH(D$3,'Pro Forma Financials'!$D$6:$I$6,0)
),"")</f>
        <v>1.2601647266255278</v>
      </c>
      <c r="E8" s="40">
        <f ca="1">_xlfn.IFNA(INDEX(
'Pro Forma Financials'!$D$8:$I$144,
MATCH($B8,'Pro Forma Financials'!$B$8:$B$144,0),
MATCH(E$3,'Pro Forma Financials'!$D$6:$I$6,0)
),"")</f>
        <v>3.5311795024050041</v>
      </c>
      <c r="F8" s="40">
        <f ca="1">_xlfn.IFNA(INDEX(
'Pro Forma Financials'!$D$8:$I$144,
MATCH($B8,'Pro Forma Financials'!$B$8:$B$144,0),
MATCH(F$3,'Pro Forma Financials'!$D$6:$I$6,0)
),"")</f>
        <v>5.2019066105788472</v>
      </c>
      <c r="G8" s="40">
        <f ca="1">_xlfn.IFNA(INDEX(
'Pro Forma Financials'!$D$8:$I$144,
MATCH($B8,'Pro Forma Financials'!$B$8:$B$144,0),
MATCH(G$3,'Pro Forma Financials'!$D$6:$I$6,0)
),"")</f>
        <v>7.1101212317205498</v>
      </c>
      <c r="H8" s="40">
        <f ca="1">_xlfn.IFNA(INDEX(
'Pro Forma Financials'!$D$8:$I$144,
MATCH($B8,'Pro Forma Financials'!$B$8:$B$144,0),
MATCH(H$3,'Pro Forma Financials'!$D$6:$I$6,0)
),"")</f>
        <v>8.6549099535724974</v>
      </c>
      <c r="I8" s="40" t="str">
        <f>_xlfn.IFNA(INDEX(
'Pro Forma Financials'!$D$8:$I$144,
MATCH($B8,'Pro Forma Financials'!$B$8:$B$144,0),
MATCH(I$3,'Pro Forma Financials'!$D$6:$I$6,0)
),"")</f>
        <v/>
      </c>
    </row>
    <row r="9" spans="1:11" x14ac:dyDescent="0.15">
      <c r="B9" t="s">
        <v>259</v>
      </c>
      <c r="C9" t="s">
        <v>549</v>
      </c>
      <c r="D9" s="40">
        <f ca="1">_xlfn.IFNA(INDEX(
'Olin Standalone'!$D$57:$S$57,
1,
MATCH(D$3,'Olin Standalone'!$D$32:$S$32,0)
),"")</f>
        <v>1.1991493344092152</v>
      </c>
      <c r="E9" s="40">
        <f ca="1">_xlfn.IFNA(INDEX(
'Olin Standalone'!$D$57:$S$57,
1,
MATCH(E$3,'Olin Standalone'!$D$32:$S$32,0)
),"")</f>
        <v>3.067215658513335</v>
      </c>
      <c r="F9" s="40">
        <f ca="1">_xlfn.IFNA(INDEX(
'Olin Standalone'!$D$57:$S$57,
1,
MATCH(F$3,'Olin Standalone'!$D$32:$S$32,0)
),"")</f>
        <v>4.5970278626006671</v>
      </c>
      <c r="G9" s="40">
        <f ca="1">_xlfn.IFNA(INDEX(
'Olin Standalone'!$D$57:$S$57,
1,
MATCH(G$3,'Olin Standalone'!$D$32:$S$32,0)
),"")</f>
        <v>6.8361799156984855</v>
      </c>
      <c r="H9" s="40">
        <f ca="1">_xlfn.IFNA(INDEX(
'Olin Standalone'!$D$57:$S$57,
1,
MATCH(H$3,'Olin Standalone'!$D$32:$S$32,0)
),"")</f>
        <v>8.3973739150621469</v>
      </c>
      <c r="I9" s="40" t="str">
        <f>_xlfn.IFNA(INDEX(
'Olin Standalone'!$D$57:$S$57,
1,
MATCH(I$3,'Olin Standalone'!$D$32:$S$32,0)
),"")</f>
        <v/>
      </c>
    </row>
    <row r="10" spans="1:11" x14ac:dyDescent="0.15">
      <c r="C10" s="88" t="s">
        <v>576</v>
      </c>
      <c r="D10" s="330">
        <f ca="1">IFERROR(D8/D9 -1,"")</f>
        <v>5.0882229982117222E-2</v>
      </c>
      <c r="E10" s="330">
        <f t="shared" ref="E10:I10" ca="1" si="3">IFERROR(E8/E9 -1,"")</f>
        <v>0.15126547838391979</v>
      </c>
      <c r="F10" s="330">
        <f t="shared" ca="1" si="3"/>
        <v>0.13158039630327223</v>
      </c>
      <c r="G10" s="330">
        <f t="shared" ca="1" si="3"/>
        <v>4.0072280045320374E-2</v>
      </c>
      <c r="H10" s="330">
        <f t="shared" ca="1" si="3"/>
        <v>3.0668640114788204E-2</v>
      </c>
      <c r="I10" s="43" t="str">
        <f t="shared" si="3"/>
        <v/>
      </c>
    </row>
    <row r="11" spans="1:11" x14ac:dyDescent="0.15">
      <c r="D11" s="43"/>
      <c r="E11" s="43"/>
      <c r="F11" s="43"/>
      <c r="G11" s="43"/>
      <c r="H11" s="43"/>
      <c r="I11" s="43"/>
    </row>
    <row r="12" spans="1:11" x14ac:dyDescent="0.15">
      <c r="B12" s="88" t="s">
        <v>568</v>
      </c>
      <c r="C12" t="s">
        <v>527</v>
      </c>
      <c r="D12">
        <f>_xlfn.IFNA(
    INDEX(
        'Synergies &amp; Integration'!$C$8:$I$28,
        MATCH($B12,'Synergies &amp; Integration'!$B$8:$B$28,0),
        MATCH(D$3,'Synergies &amp; Integration'!$C$4:$I$4,0)
    ),
"")</f>
        <v>150</v>
      </c>
      <c r="E12">
        <f>_xlfn.IFNA(
    INDEX(
        'Synergies &amp; Integration'!$C$8:$I$28,
        MATCH($B12,'Synergies &amp; Integration'!$B$8:$B$28,0),
        MATCH(E$3,'Synergies &amp; Integration'!$C$4:$I$4,0)
    ),
"")</f>
        <v>285</v>
      </c>
      <c r="F12">
        <f>_xlfn.IFNA(
    INDEX(
        'Synergies &amp; Integration'!$C$8:$I$28,
        MATCH($B12,'Synergies &amp; Integration'!$B$8:$B$28,0),
        MATCH(F$3,'Synergies &amp; Integration'!$C$4:$I$4,0)
    ),
"")</f>
        <v>300</v>
      </c>
      <c r="G12">
        <f>_xlfn.IFNA(
    INDEX(
        'Synergies &amp; Integration'!$C$8:$I$28,
        MATCH($B12,'Synergies &amp; Integration'!$B$8:$B$28,0),
        MATCH(G$3,'Synergies &amp; Integration'!$C$4:$I$4,0)
    ),
"")</f>
        <v>300</v>
      </c>
      <c r="H12">
        <f>_xlfn.IFNA(
    INDEX(
        'Synergies &amp; Integration'!$C$8:$I$28,
        MATCH($B12,'Synergies &amp; Integration'!$B$8:$B$28,0),
        MATCH(H$3,'Synergies &amp; Integration'!$C$4:$I$4,0)
    ),
"")</f>
        <v>400</v>
      </c>
      <c r="I12" t="str">
        <f>_xlfn.IFNA(INDEX('Synergies &amp; Integration'!$B$8:$I$28,MATCH(Summary!$B$12,'Synergies &amp; Integration'!$B$8:$B$28),MATCH(Summary!I$3,'Synergies &amp; Integration'!$C$4:$I$4)),"")</f>
        <v/>
      </c>
    </row>
    <row r="13" spans="1:11" x14ac:dyDescent="0.15">
      <c r="B13" t="s">
        <v>198</v>
      </c>
      <c r="C13" t="s">
        <v>582</v>
      </c>
      <c r="D13" s="39">
        <f ca="1">_xlfn.IFNA(INDEX('Pro Forma Financials'!$C$125:$I$128, MATCH(Summary!$B$13, 'Pro Forma Financials'!$B$125:$B$128, 0), MATCH(Summary!D$3, 'Pro Forma Financials'!$C$95:$I$95, 0)),"")</f>
        <v>3656.9194265884566</v>
      </c>
      <c r="E13" s="39">
        <f ca="1">_xlfn.IFNA(INDEX('Pro Forma Financials'!$C$125:$I$128, MATCH(Summary!$B$13, 'Pro Forma Financials'!$B$125:$B$128, 0), MATCH(Summary!E$3, 'Pro Forma Financials'!$C$95:$I$95, 0)),"")</f>
        <v>2652.8369383249751</v>
      </c>
      <c r="F13" s="39">
        <f ca="1">_xlfn.IFNA(INDEX('Pro Forma Financials'!$C$125:$I$128, MATCH(Summary!$B$13, 'Pro Forma Financials'!$B$125:$B$128, 0), MATCH(Summary!F$3, 'Pro Forma Financials'!$C$95:$I$95, 0)),"")</f>
        <v>1283.3184732351519</v>
      </c>
      <c r="G13" s="39">
        <f ca="1">_xlfn.IFNA(INDEX('Pro Forma Financials'!$C$125:$I$128, MATCH(Summary!$B$13, 'Pro Forma Financials'!$B$125:$B$128, 0), MATCH(Summary!G$3, 'Pro Forma Financials'!$C$95:$I$95, 0)),"")</f>
        <v>-487.3628506897785</v>
      </c>
      <c r="H13" s="39">
        <f ca="1">_xlfn.IFNA(INDEX('Pro Forma Financials'!$C$125:$I$128, MATCH(Summary!$B$13, 'Pro Forma Financials'!$B$125:$B$128, 0), MATCH(Summary!H$3, 'Pro Forma Financials'!$C$95:$I$95, 0)),"")</f>
        <v>-2591.0057743630259</v>
      </c>
      <c r="I13" t="str">
        <f>_xlfn.IFNA(INDEX('Pro Forma Financials'!$C$125:$I$128, MATCH(Summary!$B$13, 'Pro Forma Financials'!$B$125:$B$128, 0), MATCH(Summary!I$3, 'Pro Forma Financials'!$C$95:$I$95, 0)),"")</f>
        <v/>
      </c>
    </row>
    <row r="14" spans="1:11" x14ac:dyDescent="0.15">
      <c r="B14" t="s">
        <v>297</v>
      </c>
      <c r="C14" s="48" t="s">
        <v>297</v>
      </c>
      <c r="D14" s="57">
        <f ca="1">_xlfn.IFNA(INDEX(
'Pro Forma Financials'!$D$8:$I$144,
MATCH($B14,'Pro Forma Financials'!$B$8:$B$144,0),
MATCH(D$3,'Pro Forma Financials'!$D$6:$I$6,0)
),"")</f>
        <v>602.89636002639202</v>
      </c>
      <c r="E14" s="57">
        <f ca="1">_xlfn.IFNA(INDEX(
'Pro Forma Financials'!$D$8:$I$144,
MATCH($B14,'Pro Forma Financials'!$B$8:$B$144,0),
MATCH(E$3,'Pro Forma Financials'!$D$6:$I$6,0)
),"")</f>
        <v>1166.1360640412595</v>
      </c>
      <c r="F14" s="57">
        <f ca="1">_xlfn.IFNA(INDEX(
'Pro Forma Financials'!$D$8:$I$144,
MATCH($B14,'Pro Forma Financials'!$B$8:$B$144,0),
MATCH(F$3,'Pro Forma Financials'!$D$6:$I$6,0)
),"")</f>
        <v>1530.9720408676005</v>
      </c>
      <c r="G14" s="57">
        <f ca="1">_xlfn.IFNA(INDEX(
'Pro Forma Financials'!$D$8:$I$144,
MATCH($B14,'Pro Forma Financials'!$B$8:$B$144,0),
MATCH(G$3,'Pro Forma Financials'!$D$6:$I$6,0)
),"")</f>
        <v>1929.009899702708</v>
      </c>
      <c r="H14" s="57">
        <f ca="1">_xlfn.IFNA(INDEX(
'Pro Forma Financials'!$D$8:$I$144,
MATCH($B14,'Pro Forma Financials'!$B$8:$B$144,0),
MATCH(H$3,'Pro Forma Financials'!$D$6:$I$6,0)
),"")</f>
        <v>2260.7914994510252</v>
      </c>
      <c r="I14" t="str">
        <f>_xlfn.IFNA(INDEX(
'Pro Forma Financials'!$D$8:$I$144,
MATCH($B14,'Pro Forma Financials'!$B$8:$B$144,0),
MATCH(I$3,'Pro Forma Financials'!$D$6:$I$6,0)
),"")</f>
        <v/>
      </c>
    </row>
  </sheetData>
  <pageMargins left="0.7" right="0.7" top="0.75" bottom="0.75" header="0.3" footer="0.3"/>
  <ignoredErrors>
    <ignoredError sqref="D6:F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40BD2-D7D7-E44A-89AE-6660A40F6104}">
  <sheetPr codeName="Sheet20"/>
  <dimension ref="A1:J133"/>
  <sheetViews>
    <sheetView showGridLines="0" topLeftCell="A74" workbookViewId="0">
      <selection activeCell="M91" sqref="M91"/>
    </sheetView>
  </sheetViews>
  <sheetFormatPr baseColWidth="10" defaultRowHeight="13" x14ac:dyDescent="0.15"/>
  <cols>
    <col min="2" max="2" width="40.1640625" customWidth="1"/>
    <col min="15" max="15" width="26.33203125" customWidth="1"/>
  </cols>
  <sheetData>
    <row r="1" spans="1:10" ht="20" x14ac:dyDescent="0.2">
      <c r="A1" s="298" t="str">
        <f>HYPERLINK("#'Table of Contents'!A1", "&lt;---------")</f>
        <v>&lt;---------</v>
      </c>
      <c r="B1" s="58" t="s">
        <v>554</v>
      </c>
      <c r="C1" s="305">
        <f>--(YEAR(C$6)&gt;='Main Page &amp; Assumptions'!$D$14)</f>
        <v>0</v>
      </c>
      <c r="D1" s="305">
        <f>--(YEAR(D$6)&gt;='Main Page &amp; Assumptions'!$D$14)</f>
        <v>0</v>
      </c>
      <c r="E1" s="305">
        <f>--(YEAR(E$6)&gt;='Main Page &amp; Assumptions'!$D$14)</f>
        <v>1</v>
      </c>
      <c r="F1" s="305">
        <f>--(YEAR(F$6)&gt;='Main Page &amp; Assumptions'!$D$14)</f>
        <v>1</v>
      </c>
      <c r="G1" s="305">
        <f>--(YEAR(G$6)&gt;='Main Page &amp; Assumptions'!$D$14)</f>
        <v>1</v>
      </c>
      <c r="H1" s="305">
        <f>--(YEAR(H$6)&gt;='Main Page &amp; Assumptions'!$D$14)</f>
        <v>1</v>
      </c>
      <c r="I1" s="305">
        <f>--(YEAR(I$6)&gt;='Main Page &amp; Assumptions'!$D$14)</f>
        <v>1</v>
      </c>
      <c r="J1" s="305" t="s">
        <v>532</v>
      </c>
    </row>
    <row r="2" spans="1:10" ht="18" x14ac:dyDescent="0.15">
      <c r="B2" s="341" t="s">
        <v>398</v>
      </c>
      <c r="C2" s="341"/>
      <c r="D2" s="341"/>
      <c r="E2" s="341"/>
      <c r="F2" s="341"/>
      <c r="G2" s="341"/>
      <c r="H2" s="341"/>
      <c r="I2" s="341"/>
    </row>
    <row r="3" spans="1:10" ht="29" customHeight="1" x14ac:dyDescent="0.15">
      <c r="C3" s="319" t="str">
        <f>IF(YEAR(C$6)='Main Page &amp; Assumptions'!$D$14,"Pro Forma Year","")</f>
        <v/>
      </c>
      <c r="D3" s="318" t="str">
        <f>IF(YEAR(D$6)='Main Page &amp; Assumptions'!$D$14,"Pro Forma Year","")</f>
        <v/>
      </c>
      <c r="E3" s="318" t="str">
        <f>IF(YEAR(E$6)='Main Page &amp; Assumptions'!$D$14,"Pro Forma Year","")</f>
        <v>Pro Forma Year</v>
      </c>
      <c r="F3" s="318" t="str">
        <f>IF(YEAR(F$6)='Main Page &amp; Assumptions'!$D$14,"Pro Forma Year","")</f>
        <v/>
      </c>
      <c r="G3" s="318" t="str">
        <f>IF(YEAR(G$6)='Main Page &amp; Assumptions'!$D$14,"Pro Forma Year","")</f>
        <v/>
      </c>
      <c r="H3" s="318" t="str">
        <f>IF(YEAR(H$6)='Main Page &amp; Assumptions'!$D$14,"Pro Forma Year","")</f>
        <v/>
      </c>
      <c r="I3" s="318" t="str">
        <f>IF(YEAR(I$6)='Main Page &amp; Assumptions'!$D$14,"Pro Forma Year","")</f>
        <v/>
      </c>
    </row>
    <row r="4" spans="1:10" ht="16" x14ac:dyDescent="0.15">
      <c r="B4" s="342" t="s">
        <v>403</v>
      </c>
      <c r="C4" s="342"/>
      <c r="D4" s="342"/>
      <c r="E4" s="342"/>
      <c r="F4" s="342"/>
      <c r="G4" s="342"/>
      <c r="H4" s="342"/>
      <c r="I4" s="342"/>
    </row>
    <row r="5" spans="1:10" x14ac:dyDescent="0.15">
      <c r="B5" s="90"/>
      <c r="C5" s="186"/>
      <c r="D5" s="338" t="s">
        <v>400</v>
      </c>
      <c r="E5" s="339"/>
      <c r="F5" s="339"/>
      <c r="G5" s="339"/>
      <c r="H5" s="339"/>
      <c r="I5" s="340"/>
    </row>
    <row r="6" spans="1:10" x14ac:dyDescent="0.15">
      <c r="B6" s="59" t="s">
        <v>86</v>
      </c>
      <c r="C6" s="60">
        <v>46022</v>
      </c>
      <c r="D6" s="91">
        <f t="shared" ref="D6:I6" si="0">EDATE(C6,12)</f>
        <v>46387</v>
      </c>
      <c r="E6" s="60">
        <f t="shared" si="0"/>
        <v>46752</v>
      </c>
      <c r="F6" s="60">
        <f t="shared" si="0"/>
        <v>47118</v>
      </c>
      <c r="G6" s="60">
        <f t="shared" si="0"/>
        <v>47483</v>
      </c>
      <c r="H6" s="60">
        <f t="shared" si="0"/>
        <v>47848</v>
      </c>
      <c r="I6" s="92">
        <f t="shared" si="0"/>
        <v>48213</v>
      </c>
    </row>
    <row r="7" spans="1:10" x14ac:dyDescent="0.15">
      <c r="C7" s="129" t="s">
        <v>88</v>
      </c>
      <c r="D7" s="19" t="s">
        <v>88</v>
      </c>
      <c r="E7" s="45" t="s">
        <v>88</v>
      </c>
      <c r="F7" s="45" t="s">
        <v>88</v>
      </c>
      <c r="G7" s="45" t="s">
        <v>88</v>
      </c>
      <c r="H7" s="45" t="s">
        <v>88</v>
      </c>
      <c r="I7" s="93" t="s">
        <v>88</v>
      </c>
    </row>
    <row r="8" spans="1:10" x14ac:dyDescent="0.15">
      <c r="B8" s="88" t="s">
        <v>229</v>
      </c>
      <c r="C8" s="39">
        <f>IFERROR(INDEX('Olin Standalone'!$D$34:$S$144,MATCH($B8,'Olin Standalone'!$C$34:$C$144,0),MATCH(C$6,'Olin Standalone'!$D$32:$S$32,0)),0)
+IFERROR(INDEX('Huntsman Standalone'!$D$34:$S$144,MATCH($B8,'Huntsman Standalone'!$C$34:$C$144,0),MATCH(C$6,'Huntsman Standalone'!$D$33:$S$33,0)),0)</f>
        <v>12463.8</v>
      </c>
      <c r="D8" s="94">
        <f>IFERROR(INDEX('Olin Standalone'!$D$34:$S$144,MATCH($B8,'Olin Standalone'!$C$34:$C$144,0),MATCH(D$6,'Olin Standalone'!$D$32:$S$32,0)),0)
+IFERROR(INDEX('Huntsman Standalone'!$D$34:$S$144,MATCH($B8,'Huntsman Standalone'!$C$34:$C$144,0),MATCH(D$6,'Huntsman Standalone'!$D$33:$S$33,0)),0)</f>
        <v>13348.181360000002</v>
      </c>
      <c r="E8" s="89">
        <f>IFERROR(INDEX('Olin Standalone'!$D$34:$S$144,MATCH($B8,'Olin Standalone'!$C$34:$C$144,0),MATCH(E$6,'Olin Standalone'!$D$32:$S$32,0)),0)
+IFERROR(INDEX('Huntsman Standalone'!$D$34:$S$144,MATCH($B8,'Huntsman Standalone'!$C$34:$C$144,0),MATCH(E$6,'Huntsman Standalone'!$D$33:$S$33,0)),0)</f>
        <v>13780.560108560001</v>
      </c>
      <c r="F8" s="89">
        <f>IFERROR(INDEX('Olin Standalone'!$D$34:$S$144,MATCH($B8,'Olin Standalone'!$C$34:$C$144,0),MATCH(F$6,'Olin Standalone'!$D$32:$S$32,0)),0)
+IFERROR(INDEX('Huntsman Standalone'!$D$34:$S$144,MATCH($B8,'Huntsman Standalone'!$C$34:$C$144,0),MATCH(F$6,'Huntsman Standalone'!$D$33:$S$33,0)),0)</f>
        <v>14845.315591669027</v>
      </c>
      <c r="G8" s="89">
        <f>IFERROR(INDEX('Olin Standalone'!$D$34:$S$144,MATCH($B8,'Olin Standalone'!$C$34:$C$144,0),MATCH(G$6,'Olin Standalone'!$D$32:$S$32,0)),0)
+IFERROR(INDEX('Huntsman Standalone'!$D$34:$S$144,MATCH($B8,'Huntsman Standalone'!$C$34:$C$144,0),MATCH(G$6,'Huntsman Standalone'!$D$33:$S$33,0)),0)</f>
        <v>15497.091596038512</v>
      </c>
      <c r="H8" s="89">
        <f>IFERROR(INDEX('Olin Standalone'!$D$34:$S$144,MATCH($B8,'Olin Standalone'!$C$34:$C$144,0),MATCH(H$6,'Olin Standalone'!$D$32:$S$32,0)),0)
+IFERROR(INDEX('Huntsman Standalone'!$D$34:$S$144,MATCH($B8,'Huntsman Standalone'!$C$34:$C$144,0),MATCH(H$6,'Huntsman Standalone'!$D$33:$S$33,0)),0)</f>
        <v>16480.249407776741</v>
      </c>
      <c r="I8" s="95">
        <f>IFERROR(INDEX('Olin Standalone'!$D$34:$S$144,MATCH($B8,'Olin Standalone'!$C$34:$C$144,0),MATCH(I$6,'Olin Standalone'!$D$32:$S$32,0)),0)
+IFERROR(INDEX('Huntsman Standalone'!$D$34:$S$144,MATCH($B8,'Huntsman Standalone'!$C$34:$C$144,0),MATCH(I$6,'Huntsman Standalone'!$D$33:$S$33,0)),0)</f>
        <v>17300.788780843624</v>
      </c>
    </row>
    <row r="9" spans="1:10" x14ac:dyDescent="0.15">
      <c r="B9" s="48"/>
      <c r="C9" s="39"/>
      <c r="D9" s="96"/>
      <c r="E9" s="57"/>
      <c r="F9" s="57"/>
      <c r="G9" s="57"/>
      <c r="H9" s="57"/>
      <c r="I9" s="97"/>
    </row>
    <row r="10" spans="1:10" x14ac:dyDescent="0.15">
      <c r="B10" s="2" t="s">
        <v>242</v>
      </c>
      <c r="C10" s="39">
        <f>IFERROR(INDEX('Olin Standalone'!$D$34:$S$144,MATCH($B10,'Olin Standalone'!$C$34:$C$144,0),MATCH(C$6,'Olin Standalone'!$D$32:$S$32,0)),0)
+IFERROR(INDEX('Huntsman Standalone'!$D$34:$S$144,MATCH($B10,'Huntsman Standalone'!$C$34:$C$144,0),MATCH(C$6,'Huntsman Standalone'!$D$33:$S$33,0)),0)</f>
        <v>11186.8</v>
      </c>
      <c r="D10" s="98">
        <f>IFERROR(INDEX('Olin Standalone'!$D$34:$S$144,MATCH($B10,'Olin Standalone'!$C$34:$C$144,0),MATCH(D$6,'Olin Standalone'!$D$32:$S$32,0)),0)
+IFERROR(INDEX('Huntsman Standalone'!$D$34:$S$144,MATCH($B10,'Huntsman Standalone'!$C$34:$C$144,0),MATCH(D$6,'Huntsman Standalone'!$D$33:$S$33,0)),0)</f>
        <v>11787.052181520001</v>
      </c>
      <c r="E10" s="39">
        <f>IFERROR(INDEX('Olin Standalone'!$D$34:$S$144,MATCH($B10,'Olin Standalone'!$C$34:$C$144,0),MATCH(E$6,'Olin Standalone'!$D$32:$S$32,0)),0)
+IFERROR(INDEX('Huntsman Standalone'!$D$34:$S$144,MATCH($B10,'Huntsman Standalone'!$C$34:$C$144,0),MATCH(E$6,'Huntsman Standalone'!$D$33:$S$33,0)),0)</f>
        <v>11917.697553203714</v>
      </c>
      <c r="F10" s="39">
        <f>IFERROR(INDEX('Olin Standalone'!$D$34:$S$144,MATCH($B10,'Olin Standalone'!$C$34:$C$144,0),MATCH(F$6,'Olin Standalone'!$D$32:$S$32,0)),0)
+IFERROR(INDEX('Huntsman Standalone'!$D$34:$S$144,MATCH($B10,'Huntsman Standalone'!$C$34:$C$144,0),MATCH(F$6,'Huntsman Standalone'!$D$33:$S$33,0)),0)</f>
        <v>12364.969043658708</v>
      </c>
      <c r="G10" s="39">
        <f>IFERROR(INDEX('Olin Standalone'!$D$34:$S$144,MATCH($B10,'Olin Standalone'!$C$34:$C$144,0),MATCH(G$6,'Olin Standalone'!$D$32:$S$32,0)),0)
+IFERROR(INDEX('Huntsman Standalone'!$D$34:$S$144,MATCH($B10,'Huntsman Standalone'!$C$34:$C$144,0),MATCH(G$6,'Huntsman Standalone'!$D$33:$S$33,0)),0)</f>
        <v>12517.444979228667</v>
      </c>
      <c r="H10" s="39">
        <f>IFERROR(INDEX('Olin Standalone'!$D$34:$S$144,MATCH($B10,'Olin Standalone'!$C$34:$C$144,0),MATCH(H$6,'Olin Standalone'!$D$32:$S$32,0)),0)
+IFERROR(INDEX('Huntsman Standalone'!$D$34:$S$144,MATCH($B10,'Huntsman Standalone'!$C$34:$C$144,0),MATCH(H$6,'Huntsman Standalone'!$D$33:$S$33,0)),0)</f>
        <v>12906.319695921949</v>
      </c>
      <c r="I10" s="99">
        <f>IFERROR(INDEX('Olin Standalone'!$D$34:$S$144,MATCH($B10,'Olin Standalone'!$C$34:$C$144,0),MATCH(I$6,'Olin Standalone'!$D$32:$S$32,0)),0)
+IFERROR(INDEX('Huntsman Standalone'!$D$34:$S$144,MATCH($B10,'Huntsman Standalone'!$C$34:$C$144,0),MATCH(I$6,'Huntsman Standalone'!$D$33:$S$33,0)),0)</f>
        <v>13311.506709795704</v>
      </c>
    </row>
    <row r="11" spans="1:10" x14ac:dyDescent="0.15">
      <c r="B11" t="s">
        <v>93</v>
      </c>
      <c r="C11" s="39">
        <f>IFERROR(INDEX('Olin Standalone'!$D$34:$S$144,MATCH($B11,'Olin Standalone'!$C$34:$C$144,0),MATCH(C$6,'Olin Standalone'!$D$32:$S$32,0)),0)
+IFERROR(INDEX('Huntsman Standalone'!$D$34:$S$144,MATCH($B11,'Huntsman Standalone'!$C$34:$C$144,0),MATCH(C$6,'Huntsman Standalone'!$D$33:$S$33,0)),0)</f>
        <v>1277</v>
      </c>
      <c r="D11" s="100">
        <f>IFERROR(INDEX('Olin Standalone'!$D$34:$S$144,MATCH($B11,'Olin Standalone'!$C$34:$C$144,0),MATCH(D$6,'Olin Standalone'!$D$32:$S$32,0)),0)
+IFERROR(INDEX('Huntsman Standalone'!$D$34:$S$144,MATCH($B11,'Huntsman Standalone'!$C$34:$C$144,0),MATCH(D$6,'Huntsman Standalone'!$D$33:$S$33,0)),0)</f>
        <v>1561.1291784800005</v>
      </c>
      <c r="E11" s="53">
        <f>IFERROR(INDEX('Olin Standalone'!$D$34:$S$144,MATCH($B11,'Olin Standalone'!$C$34:$C$144,0),MATCH(E$6,'Olin Standalone'!$D$32:$S$32,0)),0)
+IFERROR(INDEX('Huntsman Standalone'!$D$34:$S$144,MATCH($B11,'Huntsman Standalone'!$C$34:$C$144,0),MATCH(E$6,'Huntsman Standalone'!$D$33:$S$33,0)),0)</f>
        <v>1862.8625553562879</v>
      </c>
      <c r="F11" s="53">
        <f>IFERROR(INDEX('Olin Standalone'!$D$34:$S$144,MATCH($B11,'Olin Standalone'!$C$34:$C$144,0),MATCH(F$6,'Olin Standalone'!$D$32:$S$32,0)),0)
+IFERROR(INDEX('Huntsman Standalone'!$D$34:$S$144,MATCH($B11,'Huntsman Standalone'!$C$34:$C$144,0),MATCH(F$6,'Huntsman Standalone'!$D$33:$S$33,0)),0)</f>
        <v>2480.3465480103168</v>
      </c>
      <c r="G11" s="53">
        <f>IFERROR(INDEX('Olin Standalone'!$D$34:$S$144,MATCH($B11,'Olin Standalone'!$C$34:$C$144,0),MATCH(G$6,'Olin Standalone'!$D$32:$S$32,0)),0)
+IFERROR(INDEX('Huntsman Standalone'!$D$34:$S$144,MATCH($B11,'Huntsman Standalone'!$C$34:$C$144,0),MATCH(G$6,'Huntsman Standalone'!$D$33:$S$33,0)),0)</f>
        <v>2979.646616809845</v>
      </c>
      <c r="H11" s="53">
        <f>IFERROR(INDEX('Olin Standalone'!$D$34:$S$144,MATCH($B11,'Olin Standalone'!$C$34:$C$144,0),MATCH(H$6,'Olin Standalone'!$D$32:$S$32,0)),0)
+IFERROR(INDEX('Huntsman Standalone'!$D$34:$S$144,MATCH($B11,'Huntsman Standalone'!$C$34:$C$144,0),MATCH(H$6,'Huntsman Standalone'!$D$33:$S$33,0)),0)</f>
        <v>3573.9297118547911</v>
      </c>
      <c r="I11" s="101">
        <f>IFERROR(INDEX('Olin Standalone'!$D$34:$S$144,MATCH($B11,'Olin Standalone'!$C$34:$C$144,0),MATCH(I$6,'Olin Standalone'!$D$32:$S$32,0)),0)
+IFERROR(INDEX('Huntsman Standalone'!$D$34:$S$144,MATCH($B11,'Huntsman Standalone'!$C$34:$C$144,0),MATCH(I$6,'Huntsman Standalone'!$D$33:$S$33,0)),0)</f>
        <v>3989.28207104792</v>
      </c>
    </row>
    <row r="12" spans="1:10" x14ac:dyDescent="0.15">
      <c r="B12" s="2" t="s">
        <v>230</v>
      </c>
      <c r="C12" s="39">
        <f>IFERROR(INDEX('Olin Standalone'!$D$34:$S$144,MATCH($B12,'Olin Standalone'!$C$34:$C$144,0),MATCH(C$6,'Olin Standalone'!$D$32:$S$32,0)),0)
+IFERROR(INDEX('Huntsman Standalone'!$D$34:$S$144,MATCH($B12,'Huntsman Standalone'!$C$34:$C$144,0),MATCH(C$6,'Huntsman Standalone'!$D$33:$S$33,0)),0)</f>
        <v>1114</v>
      </c>
      <c r="D12" s="100">
        <f>IFERROR(INDEX('Olin Standalone'!$D$34:$S$144,MATCH($B12,'Olin Standalone'!$C$34:$C$144,0),MATCH(D$6,'Olin Standalone'!$D$32:$S$32,0)),0)
+IFERROR(INDEX('Huntsman Standalone'!$D$34:$S$144,MATCH($B12,'Huntsman Standalone'!$C$34:$C$144,0),MATCH(D$6,'Huntsman Standalone'!$D$33:$S$33,0)),0)</f>
        <v>1196.9775080000002</v>
      </c>
      <c r="E12" s="53">
        <f>IFERROR(INDEX('Olin Standalone'!$D$34:$S$144,MATCH($B12,'Olin Standalone'!$C$34:$C$144,0),MATCH(E$6,'Olin Standalone'!$D$32:$S$32,0)),0)
+IFERROR(INDEX('Huntsman Standalone'!$D$34:$S$144,MATCH($B12,'Huntsman Standalone'!$C$34:$C$144,0),MATCH(E$6,'Huntsman Standalone'!$D$33:$S$33,0)),0)</f>
        <v>1249.5106319000001</v>
      </c>
      <c r="F12" s="53">
        <f>IFERROR(INDEX('Olin Standalone'!$D$34:$S$144,MATCH($B12,'Olin Standalone'!$C$34:$C$144,0),MATCH(F$6,'Olin Standalone'!$D$32:$S$32,0)),0)
+IFERROR(INDEX('Huntsman Standalone'!$D$34:$S$144,MATCH($B12,'Huntsman Standalone'!$C$34:$C$144,0),MATCH(F$6,'Huntsman Standalone'!$D$33:$S$33,0)),0)</f>
        <v>1347.6979698065202</v>
      </c>
      <c r="G12" s="53">
        <f>IFERROR(INDEX('Olin Standalone'!$D$34:$S$144,MATCH($B12,'Olin Standalone'!$C$34:$C$144,0),MATCH(G$6,'Olin Standalone'!$D$32:$S$32,0)),0)
+IFERROR(INDEX('Huntsman Standalone'!$D$34:$S$144,MATCH($B12,'Huntsman Standalone'!$C$34:$C$144,0),MATCH(G$6,'Huntsman Standalone'!$D$33:$S$33,0)),0)</f>
        <v>1412.1628208057984</v>
      </c>
      <c r="H12" s="53">
        <f>IFERROR(INDEX('Olin Standalone'!$D$34:$S$144,MATCH($B12,'Olin Standalone'!$C$34:$C$144,0),MATCH(H$6,'Olin Standalone'!$D$32:$S$32,0)),0)
+IFERROR(INDEX('Huntsman Standalone'!$D$34:$S$144,MATCH($B12,'Huntsman Standalone'!$C$34:$C$144,0),MATCH(H$6,'Huntsman Standalone'!$D$33:$S$33,0)),0)</f>
        <v>1502.769309351778</v>
      </c>
      <c r="I12" s="101">
        <f>IFERROR(INDEX('Olin Standalone'!$D$34:$S$144,MATCH($B12,'Olin Standalone'!$C$34:$C$144,0),MATCH(I$6,'Olin Standalone'!$D$32:$S$32,0)),0)
+IFERROR(INDEX('Huntsman Standalone'!$D$34:$S$144,MATCH($B12,'Huntsman Standalone'!$C$34:$C$144,0),MATCH(I$6,'Huntsman Standalone'!$D$33:$S$33,0)),0)</f>
        <v>1581.916950543035</v>
      </c>
    </row>
    <row r="13" spans="1:10" x14ac:dyDescent="0.15">
      <c r="B13" s="2" t="s">
        <v>231</v>
      </c>
      <c r="C13" s="39">
        <f>IFERROR(INDEX('Olin Standalone'!$D$34:$S$144,MATCH($B13,'Olin Standalone'!$C$34:$C$144,0),MATCH(C$6,'Olin Standalone'!$D$32:$S$32,0)),0)
+IFERROR(INDEX('Huntsman Standalone'!$D$34:$S$144,MATCH($B13,'Huntsman Standalone'!$C$34:$C$144,0),MATCH(C$6,'Huntsman Standalone'!$D$33:$S$33,0)),0)</f>
        <v>139.30000000000001</v>
      </c>
      <c r="D13" s="100">
        <f>IFERROR(INDEX('Olin Standalone'!$D$34:$S$144,MATCH($B13,'Olin Standalone'!$C$34:$C$144,0),MATCH(D$6,'Olin Standalone'!$D$32:$S$32,0)),0)
+IFERROR(INDEX('Huntsman Standalone'!$D$34:$S$144,MATCH($B13,'Huntsman Standalone'!$C$34:$C$144,0),MATCH(D$6,'Huntsman Standalone'!$D$33:$S$33,0)),0)</f>
        <v>149.61993600000002</v>
      </c>
      <c r="E13" s="53">
        <f>IFERROR(INDEX('Olin Standalone'!$D$34:$S$144,MATCH($B13,'Olin Standalone'!$C$34:$C$144,0),MATCH(E$6,'Olin Standalone'!$D$32:$S$32,0)),0)
+IFERROR(INDEX('Huntsman Standalone'!$D$34:$S$144,MATCH($B13,'Huntsman Standalone'!$C$34:$C$144,0),MATCH(E$6,'Huntsman Standalone'!$D$33:$S$33,0)),0)</f>
        <v>159.22265721000002</v>
      </c>
      <c r="F13" s="53">
        <f>IFERROR(INDEX('Olin Standalone'!$D$34:$S$144,MATCH($B13,'Olin Standalone'!$C$34:$C$144,0),MATCH(F$6,'Olin Standalone'!$D$32:$S$32,0)),0)
+IFERROR(INDEX('Huntsman Standalone'!$D$34:$S$144,MATCH($B13,'Huntsman Standalone'!$C$34:$C$144,0),MATCH(F$6,'Huntsman Standalone'!$D$33:$S$33,0)),0)</f>
        <v>172.09319459570403</v>
      </c>
      <c r="G13" s="53">
        <f>IFERROR(INDEX('Olin Standalone'!$D$34:$S$144,MATCH($B13,'Olin Standalone'!$C$34:$C$144,0),MATCH(G$6,'Olin Standalone'!$D$32:$S$32,0)),0)
+IFERROR(INDEX('Huntsman Standalone'!$D$34:$S$144,MATCH($B13,'Huntsman Standalone'!$C$34:$C$144,0),MATCH(G$6,'Huntsman Standalone'!$D$33:$S$33,0)),0)</f>
        <v>181.4790109563194</v>
      </c>
      <c r="H13" s="53">
        <f>IFERROR(INDEX('Olin Standalone'!$D$34:$S$144,MATCH($B13,'Olin Standalone'!$C$34:$C$144,0),MATCH(H$6,'Olin Standalone'!$D$32:$S$32,0)),0)
+IFERROR(INDEX('Huntsman Standalone'!$D$34:$S$144,MATCH($B13,'Huntsman Standalone'!$C$34:$C$144,0),MATCH(H$6,'Huntsman Standalone'!$D$33:$S$33,0)),0)</f>
        <v>193.34377033663236</v>
      </c>
      <c r="I13" s="101">
        <f>IFERROR(INDEX('Olin Standalone'!$D$34:$S$144,MATCH($B13,'Olin Standalone'!$C$34:$C$144,0),MATCH(I$6,'Olin Standalone'!$D$32:$S$32,0)),0)
+IFERROR(INDEX('Huntsman Standalone'!$D$34:$S$144,MATCH($B13,'Huntsman Standalone'!$C$34:$C$144,0),MATCH(I$6,'Huntsman Standalone'!$D$33:$S$33,0)),0)</f>
        <v>204.46543848196973</v>
      </c>
    </row>
    <row r="14" spans="1:10" x14ac:dyDescent="0.15">
      <c r="B14" s="2" t="s">
        <v>240</v>
      </c>
      <c r="C14" s="39">
        <f>IFERROR(INDEX('Olin Standalone'!$D$34:$S$144,MATCH($B14,'Olin Standalone'!$C$34:$C$144,0),MATCH(C$6,'Olin Standalone'!$D$32:$S$32,0)),0)
+IFERROR(INDEX('Huntsman Standalone'!$D$34:$S$144,MATCH($B14,'Huntsman Standalone'!$C$34:$C$144,0),MATCH(C$6,'Huntsman Standalone'!$D$33:$S$33,0)),0)</f>
        <v>0</v>
      </c>
      <c r="D14" s="202">
        <f>IFERROR(INDEX('Olin Standalone'!$D$34:$S$144,MATCH($B14,'Olin Standalone'!$C$34:$C$144,0),MATCH(D$6,'Olin Standalone'!$D$32:$S$32,0)),0)
+IFERROR(INDEX('Huntsman Standalone'!$D$34:$S$144,MATCH($B14,'Huntsman Standalone'!$C$34:$C$144,0),MATCH(D$6,'Huntsman Standalone'!$D$33:$S$33,0)),0)</f>
        <v>0</v>
      </c>
      <c r="E14" s="201">
        <f>IFERROR(INDEX('Olin Standalone'!$D$34:$S$144,MATCH($B14,'Olin Standalone'!$C$34:$C$144,0),MATCH(E$6,'Olin Standalone'!$D$32:$S$32,0)),0)
+IFERROR(INDEX('Huntsman Standalone'!$D$34:$S$144,MATCH($B14,'Huntsman Standalone'!$C$34:$C$144,0),MATCH(E$6,'Huntsman Standalone'!$D$33:$S$33,0)),0)</f>
        <v>0</v>
      </c>
      <c r="F14" s="201">
        <f>IFERROR(INDEX('Olin Standalone'!$D$34:$S$144,MATCH($B14,'Olin Standalone'!$C$34:$C$144,0),MATCH(F$6,'Olin Standalone'!$D$32:$S$32,0)),0)
+IFERROR(INDEX('Huntsman Standalone'!$D$34:$S$144,MATCH($B14,'Huntsman Standalone'!$C$34:$C$144,0),MATCH(F$6,'Huntsman Standalone'!$D$33:$S$33,0)),0)</f>
        <v>0</v>
      </c>
      <c r="G14" s="201">
        <f>IFERROR(INDEX('Olin Standalone'!$D$34:$S$144,MATCH($B14,'Olin Standalone'!$C$34:$C$144,0),MATCH(G$6,'Olin Standalone'!$D$32:$S$32,0)),0)
+IFERROR(INDEX('Huntsman Standalone'!$D$34:$S$144,MATCH($B14,'Huntsman Standalone'!$C$34:$C$144,0),MATCH(G$6,'Huntsman Standalone'!$D$33:$S$33,0)),0)</f>
        <v>0</v>
      </c>
      <c r="H14" s="201">
        <f>IFERROR(INDEX('Olin Standalone'!$D$34:$S$144,MATCH($B14,'Olin Standalone'!$C$34:$C$144,0),MATCH(H$6,'Olin Standalone'!$D$32:$S$32,0)),0)
+IFERROR(INDEX('Huntsman Standalone'!$D$34:$S$144,MATCH($B14,'Huntsman Standalone'!$C$34:$C$144,0),MATCH(H$6,'Huntsman Standalone'!$D$33:$S$33,0)),0)</f>
        <v>0</v>
      </c>
      <c r="I14" s="200">
        <f>IFERROR(INDEX('Olin Standalone'!$D$34:$S$144,MATCH($B14,'Olin Standalone'!$C$34:$C$144,0),MATCH(I$6,'Olin Standalone'!$D$32:$S$32,0)),0)
+IFERROR(INDEX('Huntsman Standalone'!$D$34:$S$144,MATCH($B14,'Huntsman Standalone'!$C$34:$C$144,0),MATCH(I$6,'Huntsman Standalone'!$D$33:$S$33,0)),0)</f>
        <v>0</v>
      </c>
    </row>
    <row r="15" spans="1:10" x14ac:dyDescent="0.15">
      <c r="B15" s="2" t="s">
        <v>246</v>
      </c>
      <c r="C15" s="39">
        <f>IFERROR(INDEX('Olin Standalone'!$D$34:$S$144,MATCH($B15,'Olin Standalone'!$C$34:$C$144,0),MATCH(C$6,'Olin Standalone'!$D$32:$S$32,0)),0)
+IFERROR(INDEX('Huntsman Standalone'!$D$34:$S$144,MATCH($B15,'Huntsman Standalone'!$C$34:$C$144,0),MATCH(C$6,'Huntsman Standalone'!$D$33:$S$33,0)),0)</f>
        <v>167.9</v>
      </c>
      <c r="D15" s="100">
        <f>IFERROR(INDEX('Olin Standalone'!$D$34:$S$144,MATCH($B15,'Olin Standalone'!$C$34:$C$144,0),MATCH(D$6,'Olin Standalone'!$D$32:$S$32,0)),0)
+IFERROR(INDEX('Huntsman Standalone'!$D$34:$S$144,MATCH($B15,'Huntsman Standalone'!$C$34:$C$144,0),MATCH(D$6,'Huntsman Standalone'!$D$33:$S$33,0)),0)</f>
        <v>0</v>
      </c>
      <c r="E15" s="53">
        <f>IFERROR(INDEX('Olin Standalone'!$D$34:$S$144,MATCH($B15,'Olin Standalone'!$C$34:$C$144,0),MATCH(E$6,'Olin Standalone'!$D$32:$S$32,0)),0)
+IFERROR(INDEX('Huntsman Standalone'!$D$34:$S$144,MATCH($B15,'Huntsman Standalone'!$C$34:$C$144,0),MATCH(E$6,'Huntsman Standalone'!$D$33:$S$33,0)),0)</f>
        <v>0</v>
      </c>
      <c r="F15" s="53">
        <f>IFERROR(INDEX('Olin Standalone'!$D$34:$S$144,MATCH($B15,'Olin Standalone'!$C$34:$C$144,0),MATCH(F$6,'Olin Standalone'!$D$32:$S$32,0)),0)
+IFERROR(INDEX('Huntsman Standalone'!$D$34:$S$144,MATCH($B15,'Huntsman Standalone'!$C$34:$C$144,0),MATCH(F$6,'Huntsman Standalone'!$D$33:$S$33,0)),0)</f>
        <v>0</v>
      </c>
      <c r="G15" s="53">
        <f>IFERROR(INDEX('Olin Standalone'!$D$34:$S$144,MATCH($B15,'Olin Standalone'!$C$34:$C$144,0),MATCH(G$6,'Olin Standalone'!$D$32:$S$32,0)),0)
+IFERROR(INDEX('Huntsman Standalone'!$D$34:$S$144,MATCH($B15,'Huntsman Standalone'!$C$34:$C$144,0),MATCH(G$6,'Huntsman Standalone'!$D$33:$S$33,0)),0)</f>
        <v>0</v>
      </c>
      <c r="H15" s="53">
        <f>IFERROR(INDEX('Olin Standalone'!$D$34:$S$144,MATCH($B15,'Olin Standalone'!$C$34:$C$144,0),MATCH(H$6,'Olin Standalone'!$D$32:$S$32,0)),0)
+IFERROR(INDEX('Huntsman Standalone'!$D$34:$S$144,MATCH($B15,'Huntsman Standalone'!$C$34:$C$144,0),MATCH(H$6,'Huntsman Standalone'!$D$33:$S$33,0)),0)</f>
        <v>0</v>
      </c>
      <c r="I15" s="101">
        <f>IFERROR(INDEX('Olin Standalone'!$D$34:$S$144,MATCH($B15,'Olin Standalone'!$C$34:$C$144,0),MATCH(I$6,'Olin Standalone'!$D$32:$S$32,0)),0)
+IFERROR(INDEX('Huntsman Standalone'!$D$34:$S$144,MATCH($B15,'Huntsman Standalone'!$C$34:$C$144,0),MATCH(I$6,'Huntsman Standalone'!$D$33:$S$33,0)),0)</f>
        <v>0</v>
      </c>
    </row>
    <row r="16" spans="1:10" x14ac:dyDescent="0.15">
      <c r="B16" s="2" t="s">
        <v>248</v>
      </c>
      <c r="C16" s="39">
        <f>IFERROR(INDEX('Olin Standalone'!$D$34:$S$144,MATCH($B16,'Olin Standalone'!$C$34:$C$144,0),MATCH(C$6,'Olin Standalone'!$D$32:$S$32,0)),0)
+IFERROR(INDEX('Huntsman Standalone'!$D$34:$S$144,MATCH($B16,'Huntsman Standalone'!$C$34:$C$144,0),MATCH(C$6,'Huntsman Standalone'!$D$33:$S$33,0)),0)</f>
        <v>-18.5</v>
      </c>
      <c r="D16" s="100">
        <f>IFERROR(INDEX('Olin Standalone'!$D$34:$S$144,MATCH($B16,'Olin Standalone'!$C$34:$C$144,0),MATCH(D$6,'Olin Standalone'!$D$32:$S$32,0)),0)
+IFERROR(INDEX('Huntsman Standalone'!$D$34:$S$144,MATCH($B16,'Huntsman Standalone'!$C$34:$C$144,0),MATCH(D$6,'Huntsman Standalone'!$D$33:$S$33,0)),0)</f>
        <v>-18.977868000000001</v>
      </c>
      <c r="E16" s="53">
        <f>IFERROR(INDEX('Olin Standalone'!$D$34:$S$144,MATCH($B16,'Olin Standalone'!$C$34:$C$144,0),MATCH(E$6,'Olin Standalone'!$D$32:$S$32,0)),0)
+IFERROR(INDEX('Huntsman Standalone'!$D$34:$S$144,MATCH($B16,'Huntsman Standalone'!$C$34:$C$144,0),MATCH(E$6,'Huntsman Standalone'!$D$33:$S$33,0)),0)</f>
        <v>-19.83054435</v>
      </c>
      <c r="F16" s="53">
        <f>IFERROR(INDEX('Olin Standalone'!$D$34:$S$144,MATCH($B16,'Olin Standalone'!$C$34:$C$144,0),MATCH(F$6,'Olin Standalone'!$D$32:$S$32,0)),0)
+IFERROR(INDEX('Huntsman Standalone'!$D$34:$S$144,MATCH($B16,'Huntsman Standalone'!$C$34:$C$144,0),MATCH(F$6,'Huntsman Standalone'!$D$33:$S$33,0)),0)</f>
        <v>-21.456648986700003</v>
      </c>
      <c r="G16" s="53">
        <f>IFERROR(INDEX('Olin Standalone'!$D$34:$S$144,MATCH($B16,'Olin Standalone'!$C$34:$C$144,0),MATCH(G$6,'Olin Standalone'!$D$32:$S$32,0)),0)
+IFERROR(INDEX('Huntsman Standalone'!$D$34:$S$144,MATCH($B16,'Huntsman Standalone'!$C$34:$C$144,0),MATCH(G$6,'Huntsman Standalone'!$D$33:$S$33,0)),0)</f>
        <v>-22.701134627928603</v>
      </c>
      <c r="H16" s="53">
        <f>IFERROR(INDEX('Olin Standalone'!$D$34:$S$144,MATCH($B16,'Olin Standalone'!$C$34:$C$144,0),MATCH(H$6,'Olin Standalone'!$D$32:$S$32,0)),0)
+IFERROR(INDEX('Huntsman Standalone'!$D$34:$S$144,MATCH($B16,'Huntsman Standalone'!$C$34:$C$144,0),MATCH(H$6,'Huntsman Standalone'!$D$33:$S$33,0)),0)</f>
        <v>-24.199409513371894</v>
      </c>
      <c r="I16" s="101">
        <f>IFERROR(INDEX('Olin Standalone'!$D$34:$S$144,MATCH($B16,'Olin Standalone'!$C$34:$C$144,0),MATCH(I$6,'Olin Standalone'!$D$32:$S$32,0)),0)
+IFERROR(INDEX('Huntsman Standalone'!$D$34:$S$144,MATCH($B16,'Huntsman Standalone'!$C$34:$C$144,0),MATCH(I$6,'Huntsman Standalone'!$D$33:$S$33,0)),0)</f>
        <v>-25.651374084174208</v>
      </c>
    </row>
    <row r="17" spans="2:9" x14ac:dyDescent="0.15">
      <c r="B17" t="s">
        <v>553</v>
      </c>
      <c r="C17" s="39">
        <f>IFERROR(INDEX('Olin Standalone'!$D$34:$S$144,MATCH($B17,'Olin Standalone'!$C$34:$C$144,0),MATCH(C$6,'Olin Standalone'!$D$32:$S$32,0)),0)
+IFERROR(INDEX('Huntsman Standalone'!$D$34:$S$144,MATCH($B17,'Huntsman Standalone'!$C$34:$C$144,0),MATCH(C$6,'Huntsman Standalone'!$D$33:$S$33,0)),0)</f>
        <v>12589.5</v>
      </c>
      <c r="D17" s="100">
        <f>IFERROR(INDEX('Olin Standalone'!$D$34:$S$144,MATCH($B17,'Olin Standalone'!$C$34:$C$144,0),MATCH(D$6,'Olin Standalone'!$D$32:$S$32,0)),0)
+IFERROR(INDEX('Huntsman Standalone'!$D$34:$S$144,MATCH($B17,'Huntsman Standalone'!$C$34:$C$144,0),MATCH(D$6,'Huntsman Standalone'!$D$33:$S$33,0)),0)</f>
        <v>13114.671757520002</v>
      </c>
      <c r="E17" s="53">
        <f>IFERROR(INDEX('Olin Standalone'!$D$34:$S$144,MATCH($B17,'Olin Standalone'!$C$34:$C$144,0),MATCH(E$6,'Olin Standalone'!$D$32:$S$32,0)),0)
+IFERROR(INDEX('Huntsman Standalone'!$D$34:$S$144,MATCH($B17,'Huntsman Standalone'!$C$34:$C$144,0),MATCH(E$6,'Huntsman Standalone'!$D$33:$S$33,0)),0)</f>
        <v>13306.600297963712</v>
      </c>
      <c r="F17" s="53">
        <f>IFERROR(INDEX('Olin Standalone'!$D$34:$S$144,MATCH($B17,'Olin Standalone'!$C$34:$C$144,0),MATCH(F$6,'Olin Standalone'!$D$32:$S$32,0)),0)
+IFERROR(INDEX('Huntsman Standalone'!$D$34:$S$144,MATCH($B17,'Huntsman Standalone'!$C$34:$C$144,0),MATCH(F$6,'Huntsman Standalone'!$D$33:$S$33,0)),0)</f>
        <v>13863.303559074233</v>
      </c>
      <c r="G17" s="53">
        <f>IFERROR(INDEX('Olin Standalone'!$D$34:$S$144,MATCH($B17,'Olin Standalone'!$C$34:$C$144,0),MATCH(G$6,'Olin Standalone'!$D$32:$S$32,0)),0)
+IFERROR(INDEX('Huntsman Standalone'!$D$34:$S$144,MATCH($B17,'Huntsman Standalone'!$C$34:$C$144,0),MATCH(G$6,'Huntsman Standalone'!$D$33:$S$33,0)),0)</f>
        <v>14088.385676362857</v>
      </c>
      <c r="H17" s="53">
        <f>IFERROR(INDEX('Olin Standalone'!$D$34:$S$144,MATCH($B17,'Olin Standalone'!$C$34:$C$144,0),MATCH(H$6,'Olin Standalone'!$D$32:$S$32,0)),0)
+IFERROR(INDEX('Huntsman Standalone'!$D$34:$S$144,MATCH($B17,'Huntsman Standalone'!$C$34:$C$144,0),MATCH(H$6,'Huntsman Standalone'!$D$33:$S$33,0)),0)</f>
        <v>14578.233366096989</v>
      </c>
      <c r="I17" s="101">
        <f>IFERROR(INDEX('Olin Standalone'!$D$34:$S$144,MATCH($B17,'Olin Standalone'!$C$34:$C$144,0),MATCH(I$6,'Olin Standalone'!$D$32:$S$32,0)),0)
+IFERROR(INDEX('Huntsman Standalone'!$D$34:$S$144,MATCH($B17,'Huntsman Standalone'!$C$34:$C$144,0),MATCH(I$6,'Huntsman Standalone'!$D$33:$S$33,0)),0)</f>
        <v>15072.237724736535</v>
      </c>
    </row>
    <row r="18" spans="2:9" x14ac:dyDescent="0.15">
      <c r="B18" s="280" t="s">
        <v>527</v>
      </c>
      <c r="C18" s="281">
        <f>'Synergies &amp; Integration'!C23</f>
        <v>0</v>
      </c>
      <c r="D18" s="283">
        <f>'Synergies &amp; Integration'!D23</f>
        <v>0</v>
      </c>
      <c r="E18" s="284">
        <f>'Synergies &amp; Integration'!E23</f>
        <v>150</v>
      </c>
      <c r="F18" s="284">
        <f>'Synergies &amp; Integration'!F23</f>
        <v>285</v>
      </c>
      <c r="G18" s="284">
        <f>'Synergies &amp; Integration'!G23</f>
        <v>300</v>
      </c>
      <c r="H18" s="284">
        <f>'Synergies &amp; Integration'!H23</f>
        <v>300</v>
      </c>
      <c r="I18" s="285">
        <f>'Synergies &amp; Integration'!I23</f>
        <v>400</v>
      </c>
    </row>
    <row r="19" spans="2:9" x14ac:dyDescent="0.15">
      <c r="B19" s="280" t="s">
        <v>520</v>
      </c>
      <c r="C19" s="281">
        <f>'Synergies &amp; Integration'!C24</f>
        <v>0</v>
      </c>
      <c r="D19" s="283">
        <f>'Synergies &amp; Integration'!D24</f>
        <v>0</v>
      </c>
      <c r="E19" s="284">
        <f>'Synergies &amp; Integration'!E24</f>
        <v>-70</v>
      </c>
      <c r="F19" s="284">
        <f>'Synergies &amp; Integration'!F24</f>
        <v>-70</v>
      </c>
      <c r="G19" s="284">
        <f>'Synergies &amp; Integration'!G24</f>
        <v>-35</v>
      </c>
      <c r="H19" s="284">
        <f>'Synergies &amp; Integration'!H24</f>
        <v>0</v>
      </c>
      <c r="I19" s="285">
        <f>'Synergies &amp; Integration'!I24</f>
        <v>0</v>
      </c>
    </row>
    <row r="20" spans="2:9" x14ac:dyDescent="0.15">
      <c r="B20" s="280" t="s">
        <v>545</v>
      </c>
      <c r="C20" s="281">
        <f>'Pro Forma D&amp;A'!C38</f>
        <v>0</v>
      </c>
      <c r="D20" s="283">
        <f>'Pro Forma D&amp;A'!D38</f>
        <v>0</v>
      </c>
      <c r="E20" s="284">
        <f>'Pro Forma D&amp;A'!E38</f>
        <v>33</v>
      </c>
      <c r="F20" s="284">
        <f>'Pro Forma D&amp;A'!F38</f>
        <v>30</v>
      </c>
      <c r="G20" s="284">
        <f>'Pro Forma D&amp;A'!G38</f>
        <v>27</v>
      </c>
      <c r="H20" s="284">
        <f>'Pro Forma D&amp;A'!H38</f>
        <v>25</v>
      </c>
      <c r="I20" s="285">
        <f>'Pro Forma D&amp;A'!I38</f>
        <v>25</v>
      </c>
    </row>
    <row r="21" spans="2:9" x14ac:dyDescent="0.15">
      <c r="B21" s="280" t="s">
        <v>531</v>
      </c>
      <c r="C21" s="281">
        <f>'Pro Forma D&amp;A'!C41</f>
        <v>0</v>
      </c>
      <c r="D21" s="286">
        <f>'Pro Forma D&amp;A'!D41</f>
        <v>0</v>
      </c>
      <c r="E21" s="287">
        <f>'Pro Forma D&amp;A'!E41</f>
        <v>40.799999999999997</v>
      </c>
      <c r="F21" s="287">
        <f>'Pro Forma D&amp;A'!F41</f>
        <v>40.799999999999997</v>
      </c>
      <c r="G21" s="287">
        <f>'Pro Forma D&amp;A'!G41</f>
        <v>40.799999999999997</v>
      </c>
      <c r="H21" s="287">
        <f>'Pro Forma D&amp;A'!H41</f>
        <v>40.799999999999997</v>
      </c>
      <c r="I21" s="288">
        <f>'Pro Forma D&amp;A'!I41</f>
        <v>40.799999999999997</v>
      </c>
    </row>
    <row r="22" spans="2:9" x14ac:dyDescent="0.15">
      <c r="B22" s="88" t="s">
        <v>101</v>
      </c>
      <c r="C22" s="89">
        <f t="shared" ref="C22:I22" si="1">C8-C17+C18+C19+C20-C21</f>
        <v>-125.70000000000073</v>
      </c>
      <c r="D22" s="289">
        <f t="shared" si="1"/>
        <v>233.50960248000047</v>
      </c>
      <c r="E22" s="290">
        <f t="shared" si="1"/>
        <v>546.15981059628871</v>
      </c>
      <c r="F22" s="290">
        <f t="shared" si="1"/>
        <v>1186.2120325947938</v>
      </c>
      <c r="G22" s="290">
        <f t="shared" si="1"/>
        <v>1659.9059196756546</v>
      </c>
      <c r="H22" s="290">
        <f t="shared" si="1"/>
        <v>2186.2160416797515</v>
      </c>
      <c r="I22" s="291">
        <f t="shared" si="1"/>
        <v>2612.7510561070894</v>
      </c>
    </row>
    <row r="23" spans="2:9" x14ac:dyDescent="0.15">
      <c r="B23" s="2" t="s">
        <v>563</v>
      </c>
      <c r="C23" s="39">
        <f xml:space="preserve"> IF(C$1=0,'Olin Standalone'!M46+'Huntsman Standalone'!M47,0)</f>
        <v>-262</v>
      </c>
      <c r="D23" s="100">
        <f ca="1" xml:space="preserve"> IF(D$1=0,'Olin Standalone'!N46+'Huntsman Standalone'!N47,0)</f>
        <v>-252.41201377777779</v>
      </c>
      <c r="E23" s="53">
        <f xml:space="preserve"> IF(E$1=0,'Olin Standalone'!O46+'Huntsman Standalone'!O47,0)</f>
        <v>0</v>
      </c>
      <c r="F23" s="53">
        <f xml:space="preserve"> IF(F$1=0,'Olin Standalone'!P46+'Huntsman Standalone'!P47,0)</f>
        <v>0</v>
      </c>
      <c r="G23" s="53">
        <f xml:space="preserve"> IF(G$1=0,'Olin Standalone'!Q46+'Huntsman Standalone'!Q47,0)</f>
        <v>0</v>
      </c>
      <c r="H23" s="53">
        <f xml:space="preserve"> IF(H$1=0,'Olin Standalone'!R46+'Huntsman Standalone'!R47,0)</f>
        <v>0</v>
      </c>
      <c r="I23" s="101">
        <f xml:space="preserve"> IF(I$1=0,'Olin Standalone'!S46+'Huntsman Standalone'!S47,0)</f>
        <v>0</v>
      </c>
    </row>
    <row r="24" spans="2:9" x14ac:dyDescent="0.15">
      <c r="B24" s="2" t="s">
        <v>564</v>
      </c>
      <c r="C24" s="57">
        <f>SUM('Transaction &amp; Refinancing Debt'!C69:C70)</f>
        <v>0</v>
      </c>
      <c r="D24" s="292">
        <f>SUM('Transaction &amp; Refinancing Debt'!D69:D70)</f>
        <v>0</v>
      </c>
      <c r="E24" s="293">
        <f ca="1">SUM('Transaction &amp; Refinancing Debt'!E69:E70)</f>
        <v>-218.51974300000003</v>
      </c>
      <c r="F24" s="293">
        <f ca="1">SUM('Transaction &amp; Refinancing Debt'!F69:F70)</f>
        <v>-218.51974300000003</v>
      </c>
      <c r="G24" s="293">
        <f ca="1">SUM('Transaction &amp; Refinancing Debt'!G69:G70)</f>
        <v>-218.51974300000003</v>
      </c>
      <c r="H24" s="293">
        <f ca="1">SUM('Transaction &amp; Refinancing Debt'!H69:H70)</f>
        <v>-204.16070400000004</v>
      </c>
      <c r="I24" s="294">
        <f ca="1">SUM('Transaction &amp; Refinancing Debt'!I69:I70)</f>
        <v>-189.80166500000001</v>
      </c>
    </row>
    <row r="25" spans="2:9" x14ac:dyDescent="0.15">
      <c r="B25" s="2" t="s">
        <v>565</v>
      </c>
      <c r="C25" s="57">
        <f>'Transaction &amp; Refinancing Debt'!C71</f>
        <v>0</v>
      </c>
      <c r="D25" s="292">
        <f>'Transaction &amp; Refinancing Debt'!D71</f>
        <v>0</v>
      </c>
      <c r="E25" s="293">
        <f>'Transaction &amp; Refinancing Debt'!E71</f>
        <v>0</v>
      </c>
      <c r="F25" s="293">
        <f>'Transaction &amp; Refinancing Debt'!F71</f>
        <v>0</v>
      </c>
      <c r="G25" s="293">
        <f>'Transaction &amp; Refinancing Debt'!G71</f>
        <v>0</v>
      </c>
      <c r="H25" s="293">
        <f>'Transaction &amp; Refinancing Debt'!H71</f>
        <v>0</v>
      </c>
      <c r="I25" s="294">
        <f>'Transaction &amp; Refinancing Debt'!I71</f>
        <v>0</v>
      </c>
    </row>
    <row r="26" spans="2:9" x14ac:dyDescent="0.15">
      <c r="B26" s="2" t="s">
        <v>356</v>
      </c>
      <c r="C26" s="39">
        <f>'Transaction &amp; Refinancing Debt'!C72</f>
        <v>0</v>
      </c>
      <c r="D26" s="100">
        <f>'Transaction &amp; Refinancing Debt'!D72</f>
        <v>0</v>
      </c>
      <c r="E26" s="53">
        <f ca="1">'Transaction &amp; Refinancing Debt'!E72</f>
        <v>-5.9265277777777783</v>
      </c>
      <c r="F26" s="53">
        <f ca="1">'Transaction &amp; Refinancing Debt'!F72</f>
        <v>-5.5515277777777774</v>
      </c>
      <c r="G26" s="53">
        <f ca="1">'Transaction &amp; Refinancing Debt'!G72</f>
        <v>-5.5515277777777765</v>
      </c>
      <c r="H26" s="53">
        <f ca="1">'Transaction &amp; Refinancing Debt'!H72</f>
        <v>-3.0265277777777775</v>
      </c>
      <c r="I26" s="101">
        <f ca="1">'Transaction &amp; Refinancing Debt'!I72</f>
        <v>-1.4465277777777781</v>
      </c>
    </row>
    <row r="27" spans="2:9" x14ac:dyDescent="0.15">
      <c r="B27" t="s">
        <v>250</v>
      </c>
      <c r="C27" s="57">
        <f t="shared" ref="C27:I27" si="2">SUM(C23:C26)</f>
        <v>-262</v>
      </c>
      <c r="D27" s="292">
        <f t="shared" ca="1" si="2"/>
        <v>-252.41201377777779</v>
      </c>
      <c r="E27" s="293">
        <f t="shared" ca="1" si="2"/>
        <v>-224.44627077777781</v>
      </c>
      <c r="F27" s="293">
        <f t="shared" ca="1" si="2"/>
        <v>-224.07127077777781</v>
      </c>
      <c r="G27" s="293">
        <f t="shared" ca="1" si="2"/>
        <v>-224.07127077777781</v>
      </c>
      <c r="H27" s="293">
        <f t="shared" ca="1" si="2"/>
        <v>-207.18723177777781</v>
      </c>
      <c r="I27" s="294">
        <f t="shared" ca="1" si="2"/>
        <v>-191.2481927777778</v>
      </c>
    </row>
    <row r="28" spans="2:9" x14ac:dyDescent="0.15">
      <c r="B28" s="2" t="s">
        <v>252</v>
      </c>
      <c r="C28" s="39">
        <f>'Olin Standalone'!M47+'Huntsman Standalone'!M48</f>
        <v>0</v>
      </c>
      <c r="D28" s="295">
        <f>'Olin Standalone'!N47+'Huntsman Standalone'!N48</f>
        <v>0</v>
      </c>
      <c r="E28" s="296">
        <f>'Olin Standalone'!O47+'Huntsman Standalone'!O48</f>
        <v>1</v>
      </c>
      <c r="F28" s="296">
        <f>'Olin Standalone'!P47+'Huntsman Standalone'!P48</f>
        <v>2</v>
      </c>
      <c r="G28" s="296">
        <f>'Olin Standalone'!Q47+'Huntsman Standalone'!Q48</f>
        <v>3</v>
      </c>
      <c r="H28" s="296">
        <f>'Olin Standalone'!R47+'Huntsman Standalone'!R48</f>
        <v>4</v>
      </c>
      <c r="I28" s="297">
        <f>'Olin Standalone'!S47+'Huntsman Standalone'!S48</f>
        <v>5</v>
      </c>
    </row>
    <row r="29" spans="2:9" x14ac:dyDescent="0.15">
      <c r="B29" s="2" t="s">
        <v>254</v>
      </c>
      <c r="C29" s="39">
        <f>'Olin Standalone'!M48+'Huntsman Standalone'!M49</f>
        <v>34.6</v>
      </c>
      <c r="D29" s="100">
        <f>'Olin Standalone'!N48+'Huntsman Standalone'!N49</f>
        <v>35.866666666666667</v>
      </c>
      <c r="E29" s="53">
        <f>'Olin Standalone'!O48+'Huntsman Standalone'!O49</f>
        <v>35.866666666666667</v>
      </c>
      <c r="F29" s="53">
        <f>'Olin Standalone'!P48+'Huntsman Standalone'!P49</f>
        <v>35.866666666666667</v>
      </c>
      <c r="G29" s="53">
        <f>'Olin Standalone'!Q48+'Huntsman Standalone'!Q49</f>
        <v>35.866666666666667</v>
      </c>
      <c r="H29" s="53">
        <f>'Olin Standalone'!R48+'Huntsman Standalone'!R49</f>
        <v>35.866666666666667</v>
      </c>
      <c r="I29" s="101">
        <f>'Olin Standalone'!S48+'Huntsman Standalone'!S49</f>
        <v>35.866666666666667</v>
      </c>
    </row>
    <row r="30" spans="2:9" x14ac:dyDescent="0.15">
      <c r="B30" s="48" t="s">
        <v>255</v>
      </c>
      <c r="C30" s="57">
        <f t="shared" ref="C30:I30" si="3">C22+C27+C28+C29</f>
        <v>-353.1000000000007</v>
      </c>
      <c r="D30" s="292">
        <f t="shared" ca="1" si="3"/>
        <v>16.964255368889347</v>
      </c>
      <c r="E30" s="293">
        <f t="shared" ca="1" si="3"/>
        <v>358.58020648517754</v>
      </c>
      <c r="F30" s="293">
        <f t="shared" ca="1" si="3"/>
        <v>1000.0074284836826</v>
      </c>
      <c r="G30" s="293">
        <f t="shared" ca="1" si="3"/>
        <v>1474.7013155645434</v>
      </c>
      <c r="H30" s="293">
        <f t="shared" ca="1" si="3"/>
        <v>2018.8954765686401</v>
      </c>
      <c r="I30" s="294">
        <f t="shared" ca="1" si="3"/>
        <v>2462.3695299959786</v>
      </c>
    </row>
    <row r="31" spans="2:9" x14ac:dyDescent="0.15">
      <c r="B31" s="2" t="s">
        <v>257</v>
      </c>
      <c r="C31" s="39">
        <f>'Olin Standalone'!D50+'Huntsman Standalone'!D51</f>
        <v>56.7</v>
      </c>
      <c r="D31" s="100">
        <f ca="1" xml:space="preserve"> D30*'Main Page &amp; Assumptions'!$J$18</f>
        <v>4.0714212885334433</v>
      </c>
      <c r="E31" s="53">
        <f ca="1" xml:space="preserve"> E30*'Main Page &amp; Assumptions'!$J$18</f>
        <v>86.059249556442609</v>
      </c>
      <c r="F31" s="53">
        <f ca="1" xml:space="preserve"> F30*'Main Page &amp; Assumptions'!$J$18</f>
        <v>240.00178283608381</v>
      </c>
      <c r="G31" s="53">
        <f ca="1" xml:space="preserve"> G30*'Main Page &amp; Assumptions'!$J$18</f>
        <v>353.9283157354904</v>
      </c>
      <c r="H31" s="53">
        <f ca="1" xml:space="preserve"> H30*'Main Page &amp; Assumptions'!$J$18</f>
        <v>484.53491437647358</v>
      </c>
      <c r="I31" s="101">
        <f ca="1" xml:space="preserve"> I30*'Main Page &amp; Assumptions'!$J$18</f>
        <v>590.96868719903489</v>
      </c>
    </row>
    <row r="32" spans="2:9" x14ac:dyDescent="0.15">
      <c r="B32" s="88" t="s">
        <v>107</v>
      </c>
      <c r="C32" s="89">
        <f>IFERROR(
INDEX(
'Olin Standalone'!$D$34:$S$144,
MATCH("Net Income",'Olin Standalone'!$C$34:$C$144,0),
MATCH(C$6,'Olin Standalone'!$D$32:$S$32,0)
),
0
)
+
IFERROR(
INDEX(
'Huntsman Standalone'!$D$34:$S$144,
MATCH("Net Income",'Huntsman Standalone'!$C$34:$C$144,0),
MATCH(C$6,'Huntsman Standalone'!$D$33:$S$33,0)
),
0
)</f>
        <v>-384.5</v>
      </c>
      <c r="D32" s="289">
        <f t="shared" ref="D32:I32" ca="1" si="4">D30-D31</f>
        <v>12.892834080355904</v>
      </c>
      <c r="E32" s="290">
        <f t="shared" ca="1" si="4"/>
        <v>272.5209569287349</v>
      </c>
      <c r="F32" s="290">
        <f t="shared" ca="1" si="4"/>
        <v>760.00564564759884</v>
      </c>
      <c r="G32" s="290">
        <f t="shared" ca="1" si="4"/>
        <v>1120.7729998290529</v>
      </c>
      <c r="H32" s="290">
        <f t="shared" ca="1" si="4"/>
        <v>1534.3605621921665</v>
      </c>
      <c r="I32" s="291">
        <f t="shared" ca="1" si="4"/>
        <v>1871.4008427969438</v>
      </c>
    </row>
    <row r="33" spans="2:9" x14ac:dyDescent="0.15">
      <c r="B33" s="41" t="s">
        <v>546</v>
      </c>
      <c r="C33" s="39">
        <f>'Olin Standalone'!M51+'Huntsman Standalone'!M52</f>
        <v>-384.5</v>
      </c>
      <c r="D33" s="100">
        <f ca="1">'Olin Standalone'!N51+'Huntsman Standalone'!N52</f>
        <v>12.892834080355904</v>
      </c>
      <c r="E33" s="53">
        <f ca="1">'Olin Standalone'!O51+'Huntsman Standalone'!O52</f>
        <v>198.66187692873422</v>
      </c>
      <c r="F33" s="53">
        <f ca="1">'Olin Standalone'!P51+'Huntsman Standalone'!P52</f>
        <v>585.82656564759804</v>
      </c>
      <c r="G33" s="53">
        <f ca="1">'Olin Standalone'!Q51+'Huntsman Standalone'!Q52</f>
        <v>910.87391982905365</v>
      </c>
      <c r="H33" s="53">
        <f ca="1">'Olin Standalone'!R51+'Huntsman Standalone'!R52</f>
        <v>1299.3814821921674</v>
      </c>
      <c r="I33" s="101">
        <f ca="1">'Olin Standalone'!S51+'Huntsman Standalone'!S52</f>
        <v>1560.4217627969438</v>
      </c>
    </row>
    <row r="34" spans="2:9" x14ac:dyDescent="0.15">
      <c r="B34" s="41" t="s">
        <v>359</v>
      </c>
      <c r="C34" s="39">
        <f>IFERROR(
    INDEX(
        'Olin Standalone'!$D$34:$S$144,
        MATCH(
            "Net Income Attributable to NCI",
            'Olin Standalone'!$C$34:$C$144,
            0
        ),
        MATCH(
            C$6,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C$6,
            'Huntsman Standalone'!$D$33:$S$33,
            0
        )
    ),
    0
)</f>
        <v>-56.400000000000006</v>
      </c>
      <c r="D34" s="39">
        <f>IFERROR(
    INDEX(
        'Olin Standalone'!$D$34:$S$144,
        MATCH(
            "Net Income Attributable to NCI",
            'Olin Standalone'!$C$34:$C$144,
            0
        ),
        MATCH(
            D$6,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D$6,
            'Huntsman Standalone'!$D$33:$S$33,
            0
        )
    ),
    0
)</f>
        <v>3</v>
      </c>
      <c r="E34" s="39">
        <f>IFERROR(
    INDEX(
        'Olin Standalone'!$D$34:$S$144,
        MATCH(
            "Net Income Attributable to NCI",
            'Olin Standalone'!$C$34:$C$144,
            0
        ),
        MATCH(
            E$6,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E$6,
            'Huntsman Standalone'!$D$33:$S$33,
            0
        )
    ),
    0
)</f>
        <v>3</v>
      </c>
      <c r="F34" s="39">
        <f>IFERROR(
    INDEX(
        'Olin Standalone'!$D$34:$S$144,
        MATCH(
            "Net Income Attributable to NCI",
            'Olin Standalone'!$C$34:$C$144,
            0
        ),
        MATCH(
            F$6,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F$6,
            'Huntsman Standalone'!$D$33:$S$33,
            0
        )
    ),
    0
)</f>
        <v>3</v>
      </c>
      <c r="G34" s="39">
        <f>IFERROR(
    INDEX(
        'Olin Standalone'!$D$34:$S$144,
        MATCH(
            "Net Income Attributable to NCI",
            'Olin Standalone'!$C$34:$C$144,
            0
        ),
        MATCH(
            G$6,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G$6,
            'Huntsman Standalone'!$D$33:$S$33,
            0
        )
    ),
    0
)</f>
        <v>3</v>
      </c>
      <c r="H34" s="39">
        <f>IFERROR(
    INDEX(
        'Olin Standalone'!$D$34:$S$144,
        MATCH(
            "Net Income Attributable to NCI",
            'Olin Standalone'!$C$34:$C$144,
            0
        ),
        MATCH(
            H$6,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H$6,
            'Huntsman Standalone'!$D$33:$S$33,
            0
        )
    ),
    0
)</f>
        <v>3</v>
      </c>
      <c r="I34" s="39">
        <f>IFERROR(
    INDEX(
        'Olin Standalone'!$D$34:$S$144,
        MATCH(
            "Net Income Attributable to NCI",
            'Olin Standalone'!$C$34:$C$144,
            0
        ),
        MATCH(
            I$6,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I$6,
            'Huntsman Standalone'!$D$33:$S$33,
            0
        )
    ),
    0
)</f>
        <v>3</v>
      </c>
    </row>
    <row r="35" spans="2:9" x14ac:dyDescent="0.15">
      <c r="B35" s="41" t="s">
        <v>530</v>
      </c>
      <c r="C35" s="52">
        <f t="shared" ref="C35:I35" si="5">C32-C34</f>
        <v>-328.1</v>
      </c>
      <c r="D35" s="191">
        <f t="shared" ca="1" si="5"/>
        <v>9.8928340803559038</v>
      </c>
      <c r="E35" s="192">
        <f t="shared" ca="1" si="5"/>
        <v>269.5209569287349</v>
      </c>
      <c r="F35" s="192">
        <f t="shared" ca="1" si="5"/>
        <v>757.00564564759884</v>
      </c>
      <c r="G35" s="192">
        <f t="shared" ca="1" si="5"/>
        <v>1117.7729998290529</v>
      </c>
      <c r="H35" s="192">
        <f t="shared" ca="1" si="5"/>
        <v>1531.3605621921665</v>
      </c>
      <c r="I35" s="193">
        <f t="shared" ca="1" si="5"/>
        <v>1868.4008427969438</v>
      </c>
    </row>
    <row r="36" spans="2:9" x14ac:dyDescent="0.15">
      <c r="B36" s="41"/>
      <c r="D36" s="104"/>
      <c r="E36" s="50"/>
      <c r="F36" s="50"/>
      <c r="G36" s="50"/>
      <c r="H36" s="50"/>
      <c r="I36" s="105"/>
    </row>
    <row r="37" spans="2:9" x14ac:dyDescent="0.15">
      <c r="B37" t="s">
        <v>112</v>
      </c>
      <c r="C37" s="39" t="str">
        <f>IF(
C$1=0,
"",
IFERROR(
INDEX(
'Olin Standalone'!$D$34:$S$144,
MATCH("Basic Weighted Average Shares",'Olin Standalone'!$C$34:$C$144,0),
MATCH(C$6,'Olin Standalone'!$D$32:$S$32,0)
),
0
)
+'Main Page &amp; Assumptions'!$J$7
)</f>
        <v/>
      </c>
      <c r="D37" s="98" t="str">
        <f xml:space="preserve"> IF(D$1=0,"",'Olin Standalone'!N54+'Main Page &amp; Assumptions'!$J$7)</f>
        <v/>
      </c>
      <c r="E37" s="39">
        <f xml:space="preserve"> IF(E$1=0,"",'Olin Standalone'!O54+'Main Page &amp; Assumptions'!$J$7)</f>
        <v>212.37755999999999</v>
      </c>
      <c r="F37" s="39">
        <f xml:space="preserve"> IF(F$1=0,"",'Olin Standalone'!P54+'Main Page &amp; Assumptions'!$J$7)</f>
        <v>212.87755999999999</v>
      </c>
      <c r="G37" s="39">
        <f xml:space="preserve"> IF(G$1=0,"",'Olin Standalone'!Q54+'Main Page &amp; Assumptions'!$J$7)</f>
        <v>213.37755999999999</v>
      </c>
      <c r="H37" s="39">
        <f xml:space="preserve"> IF(H$1=0,"",'Olin Standalone'!R54+'Main Page &amp; Assumptions'!$J$7)</f>
        <v>213.87755999999999</v>
      </c>
      <c r="I37" s="99">
        <f xml:space="preserve"> IF(I$1=0,"",'Olin Standalone'!S54+'Main Page &amp; Assumptions'!$J$7)</f>
        <v>214.37755999999999</v>
      </c>
    </row>
    <row r="38" spans="2:9" x14ac:dyDescent="0.15">
      <c r="B38" s="41" t="s">
        <v>425</v>
      </c>
      <c r="C38" s="52" t="str">
        <f xml:space="preserve"> IF(C$1=0,"",'Olin Standalone'!M55)</f>
        <v/>
      </c>
      <c r="D38" s="191" t="str">
        <f xml:space="preserve"> IF(D$1=0,"",'Olin Standalone'!N55)</f>
        <v/>
      </c>
      <c r="E38" s="192">
        <f xml:space="preserve"> IF(E$1=0,"",'Olin Standalone'!O55)</f>
        <v>1.5</v>
      </c>
      <c r="F38" s="192">
        <f xml:space="preserve"> IF(F$1=0,"",'Olin Standalone'!P55)</f>
        <v>1.5</v>
      </c>
      <c r="G38" s="192">
        <f xml:space="preserve"> IF(G$1=0,"",'Olin Standalone'!Q55)</f>
        <v>1.5</v>
      </c>
      <c r="H38" s="192">
        <f xml:space="preserve"> IF(H$1=0,"",'Olin Standalone'!R55)</f>
        <v>1.5</v>
      </c>
      <c r="I38" s="193">
        <f xml:space="preserve"> IF(I$1=0,"",'Olin Standalone'!S55)</f>
        <v>1.5</v>
      </c>
    </row>
    <row r="39" spans="2:9" x14ac:dyDescent="0.15">
      <c r="B39" t="s">
        <v>258</v>
      </c>
      <c r="C39" s="39" t="str">
        <f xml:space="preserve"> IF(C$1=0,"",SUM(C37:C38))</f>
        <v/>
      </c>
      <c r="D39" s="98" t="str">
        <f t="shared" ref="D39:I39" si="6" xml:space="preserve"> IF(D$1=0,"",SUM(D37:D38))</f>
        <v/>
      </c>
      <c r="E39" s="39">
        <f t="shared" si="6"/>
        <v>213.87755999999999</v>
      </c>
      <c r="F39" s="39">
        <f t="shared" si="6"/>
        <v>214.37755999999999</v>
      </c>
      <c r="G39" s="39">
        <f t="shared" si="6"/>
        <v>214.87755999999999</v>
      </c>
      <c r="H39" s="39">
        <f t="shared" si="6"/>
        <v>215.37755999999999</v>
      </c>
      <c r="I39" s="99">
        <f t="shared" si="6"/>
        <v>215.87755999999999</v>
      </c>
    </row>
    <row r="40" spans="2:9" x14ac:dyDescent="0.15">
      <c r="B40" t="s">
        <v>259</v>
      </c>
      <c r="C40" s="40" t="str">
        <f xml:space="preserve"> IF(C$1=0,"",C35/C39)</f>
        <v/>
      </c>
      <c r="D40" s="106" t="str">
        <f t="shared" ref="D40:I40" si="7" xml:space="preserve"> IF(D$1=0,"",D35/D39)</f>
        <v/>
      </c>
      <c r="E40" s="40">
        <f t="shared" ca="1" si="7"/>
        <v>1.2601647266255278</v>
      </c>
      <c r="F40" s="40">
        <f t="shared" ca="1" si="7"/>
        <v>3.5311795024050041</v>
      </c>
      <c r="G40" s="40">
        <f t="shared" ca="1" si="7"/>
        <v>5.2019066105788472</v>
      </c>
      <c r="H40" s="40">
        <f t="shared" ca="1" si="7"/>
        <v>7.1101212317205498</v>
      </c>
      <c r="I40" s="107">
        <f t="shared" ca="1" si="7"/>
        <v>8.6549099535724974</v>
      </c>
    </row>
    <row r="41" spans="2:9" x14ac:dyDescent="0.15">
      <c r="B41" t="s">
        <v>549</v>
      </c>
      <c r="C41" s="40">
        <f>'Olin Standalone'!M57</f>
        <v>-0.88</v>
      </c>
      <c r="D41" s="106">
        <f ca="1">'Olin Standalone'!N57</f>
        <v>0.28516831449165242</v>
      </c>
      <c r="E41" s="40">
        <f ca="1">'Olin Standalone'!O57</f>
        <v>1.1991493344092152</v>
      </c>
      <c r="F41" s="40">
        <f ca="1">'Olin Standalone'!P57</f>
        <v>3.067215658513335</v>
      </c>
      <c r="G41" s="40">
        <f ca="1">'Olin Standalone'!Q57</f>
        <v>4.5970278626006671</v>
      </c>
      <c r="H41" s="40">
        <f ca="1">'Olin Standalone'!R57</f>
        <v>6.8361799156984855</v>
      </c>
      <c r="I41" s="107">
        <f ca="1">'Olin Standalone'!S57</f>
        <v>8.3973739150621469</v>
      </c>
    </row>
    <row r="42" spans="2:9" x14ac:dyDescent="0.15">
      <c r="B42" s="88" t="s">
        <v>550</v>
      </c>
      <c r="C42" s="88" t="str">
        <f>IFERROR(C40/C41-1,"")</f>
        <v/>
      </c>
      <c r="D42" s="299" t="str">
        <f t="shared" ref="D42:I42" ca="1" si="8">IFERROR(D40/D41-1,"")</f>
        <v/>
      </c>
      <c r="E42" s="300">
        <f t="shared" ca="1" si="8"/>
        <v>5.0882229982117222E-2</v>
      </c>
      <c r="F42" s="300">
        <f t="shared" ca="1" si="8"/>
        <v>0.15126547838391979</v>
      </c>
      <c r="G42" s="300">
        <f t="shared" ca="1" si="8"/>
        <v>0.13158039630327223</v>
      </c>
      <c r="H42" s="300">
        <f t="shared" ca="1" si="8"/>
        <v>4.0072280045320374E-2</v>
      </c>
      <c r="I42" s="301">
        <f t="shared" ca="1" si="8"/>
        <v>3.0668640114788204E-2</v>
      </c>
    </row>
    <row r="43" spans="2:9" ht="41" customHeight="1" x14ac:dyDescent="0.15">
      <c r="C43" s="320"/>
      <c r="D43" s="321" t="str">
        <f>IF(YEAR(D$6)='Main Page &amp; Assumptions'!$D$14,
"Pro Forma Year",
IF(YEAR(D$6)='Main Page &amp; Assumptions'!$D$14-1,
"Pro Forma Opening BS",
""))</f>
        <v>Pro Forma Opening BS</v>
      </c>
      <c r="E43" s="321" t="str">
        <f>IF(YEAR(E$6)='Main Page &amp; Assumptions'!$D$14,
"Pro Forma Year",
IF(YEAR(E$6)='Main Page &amp; Assumptions'!$D$14-1,
"Pro Forma Opening BS",
""))</f>
        <v>Pro Forma Year</v>
      </c>
      <c r="F43" s="321" t="str">
        <f>IF(YEAR(F$6)='Main Page &amp; Assumptions'!$D$14,
"Pro Forma Year",
IF(YEAR(F$6)='Main Page &amp; Assumptions'!$D$14-1,
"Pro Forma Opening BS",
""))</f>
        <v/>
      </c>
      <c r="G43" s="321" t="str">
        <f>IF(YEAR(G$6)='Main Page &amp; Assumptions'!$D$14,
"Pro Forma Year",
IF(YEAR(G$6)='Main Page &amp; Assumptions'!$D$14-1,
"Pro Forma Opening BS",
""))</f>
        <v/>
      </c>
      <c r="H43" s="321" t="str">
        <f>IF(YEAR(H$6)='Main Page &amp; Assumptions'!$D$14,
"Pro Forma Year",
IF(YEAR(H$6)='Main Page &amp; Assumptions'!$D$14-1,
"Pro Forma Opening BS",
""))</f>
        <v/>
      </c>
      <c r="I43" s="321" t="str">
        <f>IF(YEAR(I$6)='Main Page &amp; Assumptions'!$D$14,
"Pro Forma Year",
IF(YEAR(I$6)='Main Page &amp; Assumptions'!$D$14-1,
"Pro Forma Opening BS",
""))</f>
        <v/>
      </c>
    </row>
    <row r="44" spans="2:9" ht="16" x14ac:dyDescent="0.15">
      <c r="B44" s="343" t="s">
        <v>232</v>
      </c>
      <c r="C44" s="343"/>
      <c r="D44" s="343"/>
      <c r="E44" s="343"/>
      <c r="F44" s="343"/>
      <c r="G44" s="343"/>
      <c r="H44" s="343"/>
      <c r="I44" s="343"/>
    </row>
    <row r="45" spans="2:9" x14ac:dyDescent="0.15">
      <c r="B45" s="90"/>
      <c r="C45" s="186"/>
      <c r="D45" s="338" t="s">
        <v>400</v>
      </c>
      <c r="E45" s="339"/>
      <c r="F45" s="339"/>
      <c r="G45" s="339"/>
      <c r="H45" s="339"/>
      <c r="I45" s="340"/>
    </row>
    <row r="46" spans="2:9" x14ac:dyDescent="0.15">
      <c r="B46" s="59" t="s">
        <v>86</v>
      </c>
      <c r="C46" s="60">
        <f t="shared" ref="C46:I46" si="9">C$6</f>
        <v>46022</v>
      </c>
      <c r="D46" s="91">
        <f t="shared" si="9"/>
        <v>46387</v>
      </c>
      <c r="E46" s="60">
        <f t="shared" si="9"/>
        <v>46752</v>
      </c>
      <c r="F46" s="60">
        <f t="shared" si="9"/>
        <v>47118</v>
      </c>
      <c r="G46" s="60">
        <f t="shared" si="9"/>
        <v>47483</v>
      </c>
      <c r="H46" s="60">
        <f t="shared" si="9"/>
        <v>47848</v>
      </c>
      <c r="I46" s="92">
        <f t="shared" si="9"/>
        <v>48213</v>
      </c>
    </row>
    <row r="47" spans="2:9" x14ac:dyDescent="0.15">
      <c r="C47" s="45" t="s">
        <v>88</v>
      </c>
      <c r="D47" s="19" t="s">
        <v>88</v>
      </c>
      <c r="E47" s="45" t="s">
        <v>88</v>
      </c>
      <c r="F47" s="45" t="s">
        <v>88</v>
      </c>
      <c r="G47" s="45" t="s">
        <v>88</v>
      </c>
      <c r="H47" s="45" t="s">
        <v>88</v>
      </c>
      <c r="I47" s="93" t="s">
        <v>88</v>
      </c>
    </row>
    <row r="48" spans="2:9" x14ac:dyDescent="0.15">
      <c r="B48" s="111" t="s">
        <v>261</v>
      </c>
      <c r="C48" s="112">
        <f>IF(YEAR(C$46)&lt;'Main Page &amp; Assumptions'!$D$14-1,IFERROR(N(INDEX('Olin Standalone'!$D$62:$S$104,MATCH($B48,'Olin Standalone'!$C$62:$C$104,0),MATCH(C$46,'Olin Standalone'!$D$62:$S$62,0))),0)+IFERROR(N(INDEX('Huntsman Standalone'!$D$63:$S$105,MATCH($B48,'Huntsman Standalone'!$C$63:$C$105,0),MATCH(C$46,'Huntsman Standalone'!$D$63:$S$63,0))),0),IF(YEAR(C$46)='Main Page &amp; Assumptions'!$D$14-1,'Pro Forma Opening BS'!$G$5,C123))</f>
        <v>596.6</v>
      </c>
      <c r="D48" s="126">
        <f ca="1">IF(YEAR(D$46)&lt;'Main Page &amp; Assumptions'!$D$14-1,IFERROR(N(INDEX('Olin Standalone'!$D$62:$S$104,MATCH($B48,'Olin Standalone'!$C$62:$C$104,0),MATCH(D$46,'Olin Standalone'!$D$62:$S$62,0))),0)+IFERROR(N(INDEX('Huntsman Standalone'!$D$63:$S$105,MATCH($B48,'Huntsman Standalone'!$C$63:$C$105,0),MATCH(D$46,'Huntsman Standalone'!$D$63:$S$63,0))),0),IF(YEAR(D$46)='Main Page &amp; Assumptions'!$D$14-1,'Pro Forma Opening BS'!$G$5,D123))</f>
        <v>143.73931694070689</v>
      </c>
      <c r="E48" s="112">
        <f ca="1">IF(YEAR(E$46)&lt;'Main Page &amp; Assumptions'!$D$14-1,IFERROR(N(INDEX('Olin Standalone'!$D$62:$S$104,MATCH($B48,'Olin Standalone'!$C$62:$C$104,0),MATCH(E$46,'Olin Standalone'!$D$62:$S$62,0))),0)+IFERROR(N(INDEX('Huntsman Standalone'!$D$63:$S$105,MATCH($B48,'Huntsman Standalone'!$C$63:$C$105,0),MATCH(E$46,'Huntsman Standalone'!$D$63:$S$63,0))),0),IF(YEAR(E$46)='Main Page &amp; Assumptions'!$D$14-1,'Pro Forma Opening BS'!$G$5,E123))</f>
        <v>588.53362896709893</v>
      </c>
      <c r="F48" s="112">
        <f ca="1">IF(YEAR(F$46)&lt;'Main Page &amp; Assumptions'!$D$14-1,IFERROR(N(INDEX('Olin Standalone'!$D$62:$S$104,MATCH($B48,'Olin Standalone'!$C$62:$C$104,0),MATCH(F$46,'Olin Standalone'!$D$62:$S$62,0))),0)+IFERROR(N(INDEX('Huntsman Standalone'!$D$63:$S$105,MATCH($B48,'Huntsman Standalone'!$C$63:$C$105,0),MATCH(F$46,'Huntsman Standalone'!$D$63:$S$63,0))),0),IF(YEAR(F$46)='Main Page &amp; Assumptions'!$D$14-1,'Pro Forma Opening BS'!$G$5,F123))</f>
        <v>1598.1676450083582</v>
      </c>
      <c r="G48" s="112">
        <f ca="1">IF(YEAR(G$46)&lt;'Main Page &amp; Assumptions'!$D$14-1,IFERROR(N(INDEX('Olin Standalone'!$D$62:$S$104,MATCH($B48,'Olin Standalone'!$C$62:$C$104,0),MATCH(G$46,'Olin Standalone'!$D$62:$S$62,0))),0)+IFERROR(N(INDEX('Huntsman Standalone'!$D$63:$S$105,MATCH($B48,'Huntsman Standalone'!$C$63:$C$105,0),MATCH(G$46,'Huntsman Standalone'!$D$63:$S$63,0))),0),IF(YEAR(G$46)='Main Page &amp; Assumptions'!$D$14-1,'Pro Forma Opening BS'!$G$5,G123))</f>
        <v>2973.2376378759591</v>
      </c>
      <c r="H48" s="112">
        <f ca="1">IF(YEAR(H$46)&lt;'Main Page &amp; Assumptions'!$D$14-1,IFERROR(N(INDEX('Olin Standalone'!$D$62:$S$104,MATCH($B48,'Olin Standalone'!$C$62:$C$104,0),MATCH(H$46,'Olin Standalone'!$D$62:$S$62,0))),0)+IFERROR(N(INDEX('Huntsman Standalone'!$D$63:$S$105,MATCH($B48,'Huntsman Standalone'!$C$63:$C$105,0),MATCH(H$46,'Huntsman Standalone'!$D$63:$S$63,0))),0),IF(YEAR(H$46)='Main Page &amp; Assumptions'!$D$14-1,'Pro Forma Opening BS'!$G$5,H123))</f>
        <v>4218.8454895786672</v>
      </c>
      <c r="I48" s="127">
        <f ca="1">IF(YEAR(I$46)&lt;'Main Page &amp; Assumptions'!$D$14-1,IFERROR(N(INDEX('Olin Standalone'!$D$62:$S$104,MATCH($B48,'Olin Standalone'!$C$62:$C$104,0),MATCH(I$46,'Olin Standalone'!$D$62:$S$62,0))),0)+IFERROR(N(INDEX('Huntsman Standalone'!$D$63:$S$105,MATCH($B48,'Huntsman Standalone'!$C$63:$C$105,0),MATCH(I$46,'Huntsman Standalone'!$D$63:$S$63,0))),0),IF(YEAR(I$46)='Main Page &amp; Assumptions'!$D$14-1,'Pro Forma Opening BS'!$G$5,I123))</f>
        <v>6323.9349410296927</v>
      </c>
    </row>
    <row r="49" spans="1:10" x14ac:dyDescent="0.15">
      <c r="B49" t="s">
        <v>262</v>
      </c>
      <c r="C49" s="39">
        <f>IF(YEAR(C$46)='Main Page &amp; Assumptions'!$D$14-1,'Pro Forma Opening BS'!$G$6,IFERROR(N(INDEX('Olin Standalone'!$D$62:$S$104,MATCH($B49,'Olin Standalone'!$C$62:$C$104,0),MATCH(C$46,'Olin Standalone'!$D$62:$S$62,0))),0)+IFERROR(N(INDEX('Huntsman Standalone'!$D$63:$S$105,MATCH($B49,'Huntsman Standalone'!$C$63:$C$105,0),MATCH(C$46,'Huntsman Standalone'!$D$63:$S$63,0))),0))</f>
        <v>1588.1</v>
      </c>
      <c r="D49" s="98">
        <f>IF(YEAR(D$46)='Main Page &amp; Assumptions'!$D$14-1,'Pro Forma Opening BS'!$G$6,IFERROR(N(INDEX('Olin Standalone'!$D$62:$S$104,MATCH($B49,'Olin Standalone'!$C$62:$C$104,0),MATCH(D$46,'Olin Standalone'!$D$62:$S$62,0))),0)+IFERROR(N(INDEX('Huntsman Standalone'!$D$63:$S$105,MATCH($B49,'Huntsman Standalone'!$C$63:$C$105,0),MATCH(D$46,'Huntsman Standalone'!$D$63:$S$63,0))),0))</f>
        <v>1994.1067360000002</v>
      </c>
      <c r="E49" s="39">
        <f>IF(YEAR(E$46)='Main Page &amp; Assumptions'!$D$14-1,'Pro Forma Opening BS'!$G$6,IFERROR(N(INDEX('Olin Standalone'!$D$62:$S$104,MATCH($B49,'Olin Standalone'!$C$62:$C$104,0),MATCH(E$46,'Olin Standalone'!$D$62:$S$62,0))),0)+IFERROR(N(INDEX('Huntsman Standalone'!$D$63:$S$105,MATCH($B49,'Huntsman Standalone'!$C$63:$C$105,0),MATCH(E$46,'Huntsman Standalone'!$D$63:$S$63,0))),0))</f>
        <v>2067.3140348477809</v>
      </c>
      <c r="F49" s="39">
        <f>IF(YEAR(F$46)='Main Page &amp; Assumptions'!$D$14-1,'Pro Forma Opening BS'!$G$6,IFERROR(N(INDEX('Olin Standalone'!$D$62:$S$104,MATCH($B49,'Olin Standalone'!$C$62:$C$104,0),MATCH(F$46,'Olin Standalone'!$D$62:$S$62,0))),0)+IFERROR(N(INDEX('Huntsman Standalone'!$D$63:$S$105,MATCH($B49,'Huntsman Standalone'!$C$63:$C$105,0),MATCH(F$46,'Huntsman Standalone'!$D$63:$S$63,0))),0))</f>
        <v>2228.0741368180334</v>
      </c>
      <c r="G49" s="39">
        <f>IF(YEAR(G$46)='Main Page &amp; Assumptions'!$D$14-1,'Pro Forma Opening BS'!$G$6,IFERROR(N(INDEX('Olin Standalone'!$D$62:$S$104,MATCH($B49,'Olin Standalone'!$C$62:$C$104,0),MATCH(G$46,'Olin Standalone'!$D$62:$S$62,0))),0)+IFERROR(N(INDEX('Huntsman Standalone'!$D$63:$S$105,MATCH($B49,'Huntsman Standalone'!$C$63:$C$105,0),MATCH(G$46,'Huntsman Standalone'!$D$63:$S$63,0))),0))</f>
        <v>2329.2110321030177</v>
      </c>
      <c r="H49" s="39">
        <f>IF(YEAR(H$46)='Main Page &amp; Assumptions'!$D$14-1,'Pro Forma Opening BS'!$G$6,IFERROR(N(INDEX('Olin Standalone'!$D$62:$S$104,MATCH($B49,'Olin Standalone'!$C$62:$C$104,0),MATCH(H$46,'Olin Standalone'!$D$62:$S$62,0))),0)+IFERROR(N(INDEX('Huntsman Standalone'!$D$63:$S$105,MATCH($B49,'Huntsman Standalone'!$C$63:$C$105,0),MATCH(H$46,'Huntsman Standalone'!$D$63:$S$63,0))),0))</f>
        <v>2477.6160521494467</v>
      </c>
      <c r="I49" s="99">
        <f>IF(YEAR(I$46)='Main Page &amp; Assumptions'!$D$14-1,'Pro Forma Opening BS'!$G$6,IFERROR(N(INDEX('Olin Standalone'!$D$62:$S$104,MATCH($B49,'Olin Standalone'!$C$62:$C$104,0),MATCH(I$46,'Olin Standalone'!$D$62:$S$62,0))),0)+IFERROR(N(INDEX('Huntsman Standalone'!$D$63:$S$105,MATCH($B49,'Huntsman Standalone'!$C$63:$C$105,0),MATCH(I$46,'Huntsman Standalone'!$D$63:$S$63,0))),0))</f>
        <v>2603.6825934192725</v>
      </c>
    </row>
    <row r="50" spans="1:10" x14ac:dyDescent="0.15">
      <c r="B50" t="s">
        <v>234</v>
      </c>
      <c r="C50" s="39">
        <f>IF(YEAR(C$46)='Main Page &amp; Assumptions'!$D$14-1,'Pro Forma Opening BS'!$G$7,IFERROR(N(INDEX('Olin Standalone'!$D$62:$S$104,MATCH($B50,'Olin Standalone'!$C$62:$C$104,0),MATCH(C$46,'Olin Standalone'!$D$62:$S$62,0))),0)+IFERROR(N(INDEX('Huntsman Standalone'!$D$63:$S$105,MATCH($B50,'Huntsman Standalone'!$C$63:$C$105,0),MATCH(C$46,'Huntsman Standalone'!$D$63:$S$63,0))),0))</f>
        <v>1602.5</v>
      </c>
      <c r="D50" s="98">
        <f>IF(YEAR(D$46)='Main Page &amp; Assumptions'!$D$14-1,'Pro Forma Opening BS'!$G$7,IFERROR(N(INDEX('Olin Standalone'!$D$62:$S$104,MATCH($B50,'Olin Standalone'!$C$62:$C$104,0),MATCH(D$46,'Olin Standalone'!$D$62:$S$62,0))),0)+IFERROR(N(INDEX('Huntsman Standalone'!$D$63:$S$105,MATCH($B50,'Huntsman Standalone'!$C$63:$C$105,0),MATCH(D$46,'Huntsman Standalone'!$D$63:$S$63,0))),0))</f>
        <v>1442.2799998901919</v>
      </c>
      <c r="E50" s="39">
        <f>IF(YEAR(E$46)='Main Page &amp; Assumptions'!$D$14-1,'Pro Forma Opening BS'!$G$7,IFERROR(N(INDEX('Olin Standalone'!$D$62:$S$104,MATCH($B50,'Olin Standalone'!$C$62:$C$104,0),MATCH(E$46,'Olin Standalone'!$D$62:$S$62,0))),0)+IFERROR(N(INDEX('Huntsman Standalone'!$D$63:$S$105,MATCH($B50,'Huntsman Standalone'!$C$63:$C$105,0),MATCH(E$46,'Huntsman Standalone'!$D$63:$S$63,0))),0))</f>
        <v>1456.3189868311529</v>
      </c>
      <c r="F50" s="39">
        <f>IF(YEAR(F$46)='Main Page &amp; Assumptions'!$D$14-1,'Pro Forma Opening BS'!$G$7,IFERROR(N(INDEX('Olin Standalone'!$D$62:$S$104,MATCH($B50,'Olin Standalone'!$C$62:$C$104,0),MATCH(F$46,'Olin Standalone'!$D$62:$S$62,0))),0)+IFERROR(N(INDEX('Huntsman Standalone'!$D$63:$S$105,MATCH($B50,'Huntsman Standalone'!$C$63:$C$105,0),MATCH(F$46,'Huntsman Standalone'!$D$63:$S$63,0))),0))</f>
        <v>1510.6499552879091</v>
      </c>
      <c r="G50" s="39">
        <f>IF(YEAR(G$46)='Main Page &amp; Assumptions'!$D$14-1,'Pro Forma Opening BS'!$G$7,IFERROR(N(INDEX('Olin Standalone'!$D$62:$S$104,MATCH($B50,'Olin Standalone'!$C$62:$C$104,0),MATCH(G$46,'Olin Standalone'!$D$62:$S$62,0))),0)+IFERROR(N(INDEX('Huntsman Standalone'!$D$63:$S$105,MATCH($B50,'Huntsman Standalone'!$C$63:$C$105,0),MATCH(G$46,'Huntsman Standalone'!$D$63:$S$63,0))),0))</f>
        <v>1528.4692433509126</v>
      </c>
      <c r="H50" s="39">
        <f>IF(YEAR(H$46)='Main Page &amp; Assumptions'!$D$14-1,'Pro Forma Opening BS'!$G$7,IFERROR(N(INDEX('Olin Standalone'!$D$62:$S$104,MATCH($B50,'Olin Standalone'!$C$62:$C$104,0),MATCH(H$46,'Olin Standalone'!$D$62:$S$62,0))),0)+IFERROR(N(INDEX('Huntsman Standalone'!$D$63:$S$105,MATCH($B50,'Huntsman Standalone'!$C$63:$C$105,0),MATCH(H$46,'Huntsman Standalone'!$D$63:$S$63,0))),0))</f>
        <v>1575.2338713672873</v>
      </c>
      <c r="I50" s="99">
        <f>IF(YEAR(I$46)='Main Page &amp; Assumptions'!$D$14-1,'Pro Forma Opening BS'!$G$7,IFERROR(N(INDEX('Olin Standalone'!$D$62:$S$104,MATCH($B50,'Olin Standalone'!$C$62:$C$104,0),MATCH(I$46,'Olin Standalone'!$D$62:$S$62,0))),0)+IFERROR(N(INDEX('Huntsman Standalone'!$D$63:$S$105,MATCH($B50,'Huntsman Standalone'!$C$63:$C$105,0),MATCH(I$46,'Huntsman Standalone'!$D$63:$S$63,0))),0))</f>
        <v>1623.6412420656345</v>
      </c>
    </row>
    <row r="51" spans="1:10" x14ac:dyDescent="0.15">
      <c r="A51" s="48"/>
      <c r="B51" t="s">
        <v>123</v>
      </c>
      <c r="C51" s="39">
        <f>IF(YEAR(C$46)='Main Page &amp; Assumptions'!$D$14-1,'Pro Forma Opening BS'!$G$8,IFERROR(N(INDEX('Olin Standalone'!$D$62:$S$104,MATCH($B51,'Olin Standalone'!$C$62:$C$104,0),MATCH(C$46,'Olin Standalone'!$D$62:$S$62,0))),0)+IFERROR(N(INDEX('Huntsman Standalone'!$D$63:$S$105,MATCH($B51,'Huntsman Standalone'!$C$63:$C$105,0),MATCH(C$46,'Huntsman Standalone'!$D$63:$S$63,0))),0))</f>
        <v>94</v>
      </c>
      <c r="D51" s="98">
        <f>IF(YEAR(D$46)='Main Page &amp; Assumptions'!$D$14-1,'Pro Forma Opening BS'!$G$8,IFERROR(N(INDEX('Olin Standalone'!$D$62:$S$104,MATCH($B51,'Olin Standalone'!$C$62:$C$104,0),MATCH(D$46,'Olin Standalone'!$D$62:$S$62,0))),0)+IFERROR(N(INDEX('Huntsman Standalone'!$D$63:$S$105,MATCH($B51,'Huntsman Standalone'!$C$63:$C$105,0),MATCH(D$46,'Huntsman Standalone'!$D$63:$S$63,0))),0))</f>
        <v>101.45859900000001</v>
      </c>
      <c r="E51" s="39">
        <f>IF(YEAR(E$46)='Main Page &amp; Assumptions'!$D$14-1,'Pro Forma Opening BS'!$G$8,IFERROR(N(INDEX('Olin Standalone'!$D$62:$S$104,MATCH($B51,'Olin Standalone'!$C$62:$C$104,0),MATCH(E$46,'Olin Standalone'!$D$62:$S$62,0))),0)+IFERROR(N(INDEX('Huntsman Standalone'!$D$63:$S$105,MATCH($B51,'Huntsman Standalone'!$C$63:$C$105,0),MATCH(E$46,'Huntsman Standalone'!$D$63:$S$63,0))),0))</f>
        <v>109.06799392500001</v>
      </c>
      <c r="F51" s="39">
        <f>IF(YEAR(F$46)='Main Page &amp; Assumptions'!$D$14-1,'Pro Forma Opening BS'!$G$8,IFERROR(N(INDEX('Olin Standalone'!$D$62:$S$104,MATCH($B51,'Olin Standalone'!$C$62:$C$104,0),MATCH(F$46,'Olin Standalone'!$D$62:$S$62,0))),0)+IFERROR(N(INDEX('Huntsman Standalone'!$D$63:$S$105,MATCH($B51,'Huntsman Standalone'!$C$63:$C$105,0),MATCH(F$46,'Huntsman Standalone'!$D$63:$S$63,0))),0))</f>
        <v>118.01156942685002</v>
      </c>
      <c r="G51" s="39">
        <f>IF(YEAR(G$46)='Main Page &amp; Assumptions'!$D$14-1,'Pro Forma Opening BS'!$G$8,IFERROR(N(INDEX('Olin Standalone'!$D$62:$S$104,MATCH($B51,'Olin Standalone'!$C$62:$C$104,0),MATCH(G$46,'Olin Standalone'!$D$62:$S$62,0))),0)+IFERROR(N(INDEX('Huntsman Standalone'!$D$63:$S$105,MATCH($B51,'Huntsman Standalone'!$C$63:$C$105,0),MATCH(G$46,'Huntsman Standalone'!$D$63:$S$63,0))),0))</f>
        <v>124.85624045360733</v>
      </c>
      <c r="H51" s="39">
        <f>IF(YEAR(H$46)='Main Page &amp; Assumptions'!$D$14-1,'Pro Forma Opening BS'!$G$8,IFERROR(N(INDEX('Olin Standalone'!$D$62:$S$104,MATCH($B51,'Olin Standalone'!$C$62:$C$104,0),MATCH(H$46,'Olin Standalone'!$D$62:$S$62,0))),0)+IFERROR(N(INDEX('Huntsman Standalone'!$D$63:$S$105,MATCH($B51,'Huntsman Standalone'!$C$63:$C$105,0),MATCH(H$46,'Huntsman Standalone'!$D$63:$S$63,0))),0))</f>
        <v>133.09675232354542</v>
      </c>
      <c r="I51" s="99">
        <f>IF(YEAR(I$46)='Main Page &amp; Assumptions'!$D$14-1,'Pro Forma Opening BS'!$G$8,IFERROR(N(INDEX('Olin Standalone'!$D$62:$S$104,MATCH($B51,'Olin Standalone'!$C$62:$C$104,0),MATCH(I$46,'Olin Standalone'!$D$62:$S$62,0))),0)+IFERROR(N(INDEX('Huntsman Standalone'!$D$63:$S$105,MATCH($B51,'Huntsman Standalone'!$C$63:$C$105,0),MATCH(I$46,'Huntsman Standalone'!$D$63:$S$63,0))),0))</f>
        <v>141.08255746295814</v>
      </c>
      <c r="J51" s="48"/>
    </row>
    <row r="52" spans="1:10" x14ac:dyDescent="0.15">
      <c r="B52" t="s">
        <v>235</v>
      </c>
      <c r="C52" s="39">
        <f>IF(YEAR(C$46)='Main Page &amp; Assumptions'!$D$14-1,'Pro Forma Opening BS'!$G$9,IFERROR(N(INDEX('Olin Standalone'!$D$62:$S$104,MATCH($B52,'Olin Standalone'!$C$62:$C$104,0),MATCH(C$46,'Olin Standalone'!$D$62:$S$62,0))),0)+IFERROR(N(INDEX('Huntsman Standalone'!$D$63:$S$105,MATCH($B52,'Huntsman Standalone'!$C$63:$C$105,0),MATCH(C$46,'Huntsman Standalone'!$D$63:$S$63,0))),0))</f>
        <v>153.9</v>
      </c>
      <c r="D52" s="98">
        <f>IF(YEAR(D$46)='Main Page &amp; Assumptions'!$D$14-1,'Pro Forma Opening BS'!$G$9,IFERROR(N(INDEX('Olin Standalone'!$D$62:$S$104,MATCH($B52,'Olin Standalone'!$C$62:$C$104,0),MATCH(D$46,'Olin Standalone'!$D$62:$S$62,0))),0)+IFERROR(N(INDEX('Huntsman Standalone'!$D$63:$S$105,MATCH($B52,'Huntsman Standalone'!$C$63:$C$105,0),MATCH(D$46,'Huntsman Standalone'!$D$63:$S$63,0))),0))</f>
        <v>164.36437860000001</v>
      </c>
      <c r="E52" s="39">
        <f>IF(YEAR(E$46)='Main Page &amp; Assumptions'!$D$14-1,'Pro Forma Opening BS'!$G$9,IFERROR(N(INDEX('Olin Standalone'!$D$62:$S$104,MATCH($B52,'Olin Standalone'!$C$62:$C$104,0),MATCH(E$46,'Olin Standalone'!$D$62:$S$62,0))),0)+IFERROR(N(INDEX('Huntsman Standalone'!$D$63:$S$105,MATCH($B52,'Huntsman Standalone'!$C$63:$C$105,0),MATCH(E$46,'Huntsman Standalone'!$D$63:$S$63,0))),0))</f>
        <v>111.622536879336</v>
      </c>
      <c r="F52" s="39">
        <f>IF(YEAR(F$46)='Main Page &amp; Assumptions'!$D$14-1,'Pro Forma Opening BS'!$G$9,IFERROR(N(INDEX('Olin Standalone'!$D$62:$S$104,MATCH($B52,'Olin Standalone'!$C$62:$C$104,0),MATCH(F$46,'Olin Standalone'!$D$62:$S$62,0))),0)+IFERROR(N(INDEX('Huntsman Standalone'!$D$63:$S$105,MATCH($B52,'Huntsman Standalone'!$C$63:$C$105,0),MATCH(F$46,'Huntsman Standalone'!$D$63:$S$63,0))),0))</f>
        <v>120.2470562925191</v>
      </c>
      <c r="G52" s="39">
        <f>IF(YEAR(G$46)='Main Page &amp; Assumptions'!$D$14-1,'Pro Forma Opening BS'!$G$9,IFERROR(N(INDEX('Olin Standalone'!$D$62:$S$104,MATCH($B52,'Olin Standalone'!$C$62:$C$104,0),MATCH(G$46,'Olin Standalone'!$D$62:$S$62,0))),0)+IFERROR(N(INDEX('Huntsman Standalone'!$D$63:$S$105,MATCH($B52,'Huntsman Standalone'!$C$63:$C$105,0),MATCH(G$46,'Huntsman Standalone'!$D$63:$S$63,0))),0))</f>
        <v>125.52644192791193</v>
      </c>
      <c r="H52" s="39">
        <f>IF(YEAR(H$46)='Main Page &amp; Assumptions'!$D$14-1,'Pro Forma Opening BS'!$G$9,IFERROR(N(INDEX('Olin Standalone'!$D$62:$S$104,MATCH($B52,'Olin Standalone'!$C$62:$C$104,0),MATCH(H$46,'Olin Standalone'!$D$62:$S$62,0))),0)+IFERROR(N(INDEX('Huntsman Standalone'!$D$63:$S$105,MATCH($B52,'Huntsman Standalone'!$C$63:$C$105,0),MATCH(H$46,'Huntsman Standalone'!$D$63:$S$63,0))),0))</f>
        <v>133.49002020299162</v>
      </c>
      <c r="I52" s="99">
        <f>IF(YEAR(I$46)='Main Page &amp; Assumptions'!$D$14-1,'Pro Forma Opening BS'!$G$9,IFERROR(N(INDEX('Olin Standalone'!$D$62:$S$104,MATCH($B52,'Olin Standalone'!$C$62:$C$104,0),MATCH(I$46,'Olin Standalone'!$D$62:$S$62,0))),0)+IFERROR(N(INDEX('Huntsman Standalone'!$D$63:$S$105,MATCH($B52,'Huntsman Standalone'!$C$63:$C$105,0),MATCH(I$46,'Huntsman Standalone'!$D$63:$S$63,0))),0))</f>
        <v>140.13638912483336</v>
      </c>
    </row>
    <row r="53" spans="1:10" x14ac:dyDescent="0.15">
      <c r="B53" s="88" t="s">
        <v>125</v>
      </c>
      <c r="C53" s="89">
        <f t="shared" ref="C53:I53" si="10">SUM(C48:C52)</f>
        <v>4035.1</v>
      </c>
      <c r="D53" s="94">
        <f t="shared" ca="1" si="10"/>
        <v>3845.9490304308993</v>
      </c>
      <c r="E53" s="89">
        <f t="shared" ca="1" si="10"/>
        <v>4332.8571814503694</v>
      </c>
      <c r="F53" s="89">
        <f t="shared" ca="1" si="10"/>
        <v>5575.1503628336695</v>
      </c>
      <c r="G53" s="89">
        <f t="shared" ca="1" si="10"/>
        <v>7081.3005957114083</v>
      </c>
      <c r="H53" s="89">
        <f t="shared" ca="1" si="10"/>
        <v>8538.282185621938</v>
      </c>
      <c r="I53" s="95">
        <f t="shared" ca="1" si="10"/>
        <v>10832.477723102391</v>
      </c>
    </row>
    <row r="54" spans="1:10" x14ac:dyDescent="0.15">
      <c r="C54" s="39"/>
      <c r="D54" s="98"/>
      <c r="E54" s="39"/>
      <c r="F54" s="39"/>
      <c r="G54" s="39"/>
      <c r="H54" s="39"/>
      <c r="I54" s="99"/>
    </row>
    <row r="55" spans="1:10" x14ac:dyDescent="0.15">
      <c r="B55" t="s">
        <v>264</v>
      </c>
      <c r="C55" s="39">
        <f>IF(YEAR(C$46)='Main Page &amp; Assumptions'!$D$14-1,'Pro Forma Opening BS'!$G$12,IFERROR(N(INDEX('Olin Standalone'!$D$62:$S$104,MATCH($B55,'Olin Standalone'!$C$62:$C$104,0),MATCH(C$46,'Olin Standalone'!$D$62:$S$62,0))),0)+IFERROR(N(INDEX('Huntsman Standalone'!$D$63:$S$105,MATCH($B55,'Huntsman Standalone'!$C$63:$C$105,0),MATCH(C$46,'Huntsman Standalone'!$D$63:$S$63,0))),0)+IF(YEAR(C$46)&gt;='Main Page &amp; Assumptions'!$D$14,'PPA &amp; Goodwill'!$C$18,0))</f>
        <v>15083.2</v>
      </c>
      <c r="D55" s="98">
        <f>IF(
YEAR(D$46)='Main Page &amp; Assumptions'!$D$14-1,
'Pro Forma Opening BS'!$G$12,
IFERROR(
N(
INDEX(
'Olin Standalone'!$D$62:$S$104,
MATCH($B55,'Olin Standalone'!$C$62:$C$104,0),
MATCH(D$46,'Olin Standalone'!$D$62:$S$62,0)
)
),
0
)
+
IFERROR(
N(
INDEX(
'Huntsman Standalone'!$D$63:$S$105,
MATCH($B55,'Huntsman Standalone'!$C$63:$C$105,0),
MATCH(D$46,'Huntsman Standalone'!$D$63:$S$63,0)
)
),
0
)
+
IF(
YEAR(D$46)&gt;='Main Page &amp; Assumptions'!$D$14,
'PPA &amp; Goodwill'!$C$18-'PPA &amp; Goodwill'!$C$23,
0
)
)</f>
        <v>15835.645440800001</v>
      </c>
      <c r="E55" s="39">
        <f>IF(
YEAR(E$46)='Main Page &amp; Assumptions'!$D$14-1,
'Pro Forma Opening BS'!$G$12,
IFERROR(
N(
INDEX(
'Olin Standalone'!$D$62:$S$104,
MATCH($B55,'Olin Standalone'!$C$62:$C$104,0),
MATCH(E$46,'Olin Standalone'!$D$62:$S$62,0)
)
),
0
)
+
IFERROR(
N(
INDEX(
'Huntsman Standalone'!$D$63:$S$105,
MATCH($B55,'Huntsman Standalone'!$C$63:$C$105,0),
MATCH(E$46,'Huntsman Standalone'!$D$63:$S$63,0)
)
),
0
)
+
IF(
YEAR(E$46)&gt;='Main Page &amp; Assumptions'!$D$14,
'PPA &amp; Goodwill'!$C$18-'PPA &amp; Goodwill'!$C$23,
0
)
)</f>
        <v>16249.0622440568</v>
      </c>
      <c r="F55" s="39">
        <f>IF(
YEAR(F$46)='Main Page &amp; Assumptions'!$D$14-1,
'Pro Forma Opening BS'!$G$12,
IFERROR(
N(
INDEX(
'Olin Standalone'!$D$62:$S$104,
MATCH($B55,'Olin Standalone'!$C$62:$C$104,0),
MATCH(F$46,'Olin Standalone'!$D$62:$S$62,0)
)
),
0
)
+
IFERROR(
N(
INDEX(
'Huntsman Standalone'!$D$63:$S$105,
MATCH($B55,'Huntsman Standalone'!$C$63:$C$105,0),
MATCH(F$46,'Huntsman Standalone'!$D$63:$S$63,0)
)
),
0
)
+
IF(
YEAR(F$46)&gt;='Main Page &amp; Assumptions'!$D$14,
'PPA &amp; Goodwill'!$C$18-'PPA &amp; Goodwill'!$C$23,
0
)
)</f>
        <v>16694.421711806874</v>
      </c>
      <c r="G55" s="39">
        <f>IF(
YEAR(G$46)='Main Page &amp; Assumptions'!$D$14-1,
'Pro Forma Opening BS'!$G$12,
IFERROR(
N(
INDEX(
'Olin Standalone'!$D$62:$S$104,
MATCH($B55,'Olin Standalone'!$C$62:$C$104,0),
MATCH(G$46,'Olin Standalone'!$D$62:$S$62,0)
)
),
0
)
+
IFERROR(
N(
INDEX(
'Huntsman Standalone'!$D$63:$S$105,
MATCH($B55,'Huntsman Standalone'!$C$63:$C$105,0),
MATCH(G$46,'Huntsman Standalone'!$D$63:$S$63,0)
)
),
0
)
+
IF(
YEAR(G$46)&gt;='Main Page &amp; Assumptions'!$D$14,
'PPA &amp; Goodwill'!$C$18-'PPA &amp; Goodwill'!$C$23,
0
)
)</f>
        <v>17159.334459688027</v>
      </c>
      <c r="H55" s="39">
        <f>IF(
YEAR(H$46)='Main Page &amp; Assumptions'!$D$14-1,
'Pro Forma Opening BS'!$G$12,
IFERROR(
N(
INDEX(
'Olin Standalone'!$D$62:$S$104,
MATCH($B55,'Olin Standalone'!$C$62:$C$104,0),
MATCH(H$46,'Olin Standalone'!$D$62:$S$62,0)
)
),
0
)
+
IFERROR(
N(
INDEX(
'Huntsman Standalone'!$D$63:$S$105,
MATCH($B55,'Huntsman Standalone'!$C$63:$C$105,0),
MATCH(H$46,'Huntsman Standalone'!$D$63:$S$63,0)
)
),
0
)
+
IF(
YEAR(H$46)&gt;='Main Page &amp; Assumptions'!$D$14,
'PPA &amp; Goodwill'!$C$18-'PPA &amp; Goodwill'!$C$23,
0
)
)</f>
        <v>17653.741941921329</v>
      </c>
      <c r="I55" s="99">
        <f>IF(
YEAR(I$46)='Main Page &amp; Assumptions'!$D$14-1,
'Pro Forma Opening BS'!$G$12,
IFERROR(
N(
INDEX(
'Olin Standalone'!$D$62:$S$104,
MATCH($B55,'Olin Standalone'!$C$62:$C$104,0),
MATCH(I$46,'Olin Standalone'!$D$62:$S$62,0)
)
),
0
)
+
IFERROR(
N(
INDEX(
'Huntsman Standalone'!$D$63:$S$105,
MATCH($B55,'Huntsman Standalone'!$C$63:$C$105,0),
MATCH(I$46,'Huntsman Standalone'!$D$63:$S$63,0)
)
),
0
)
+
IF(
YEAR(I$46)&gt;='Main Page &amp; Assumptions'!$D$14,
'PPA &amp; Goodwill'!$C$18-'PPA &amp; Goodwill'!$C$23,
0
)
)</f>
        <v>18172.765605346642</v>
      </c>
    </row>
    <row r="56" spans="1:10" x14ac:dyDescent="0.15">
      <c r="B56" t="s">
        <v>266</v>
      </c>
      <c r="C56" s="39">
        <f t="shared" ref="C56:I56" si="11">C57-C55</f>
        <v>-9736.7000000000007</v>
      </c>
      <c r="D56" s="98">
        <f t="shared" si="11"/>
        <v>-10469.432647281148</v>
      </c>
      <c r="E56" s="39">
        <f t="shared" si="11"/>
        <v>-11252.265156865466</v>
      </c>
      <c r="F56" s="39">
        <f t="shared" si="11"/>
        <v>-12055.577498380941</v>
      </c>
      <c r="G56" s="39">
        <f t="shared" si="11"/>
        <v>-12880.555417829903</v>
      </c>
      <c r="H56" s="39">
        <f t="shared" si="11"/>
        <v>-13728.327370542705</v>
      </c>
      <c r="I56" s="99">
        <f t="shared" si="11"/>
        <v>-14600.146400808226</v>
      </c>
    </row>
    <row r="57" spans="1:10" x14ac:dyDescent="0.15">
      <c r="B57" s="48" t="s">
        <v>267</v>
      </c>
      <c r="C57" s="57">
        <f>IF(
YEAR(C$46)='Main Page &amp; Assumptions'!$D$14-1,
'Pro Forma Opening BS'!$G$14,
IFERROR(
N(
INDEX(
'Olin Standalone'!$D$62:$S$104,
MATCH($B57,'Olin Standalone'!$C$62:$C$104,0),
MATCH(C$46,'Olin Standalone'!$D$62:$S$62,0)
)
),
0
)
+
IFERROR(
N(
INDEX(
'Huntsman Standalone'!$D$63:$S$105,
MATCH($B57,'Huntsman Standalone'!$C$63:$C$105,0),
MATCH(C$46,'Huntsman Standalone'!$D$63:$S$63,0)
)
),
0
)
+
IF(
YEAR(C$46)&gt;='Main Page &amp; Assumptions'!$D$14,
('PPA &amp; Goodwill'!$C$18-'PPA &amp; Goodwill'!$C$23)
-SUM('Pro Forma D&amp;A'!$C$39:C$39),
0
)
)</f>
        <v>5346.5</v>
      </c>
      <c r="D57" s="96">
        <f>IF(
YEAR(D$46)='Main Page &amp; Assumptions'!$D$14-1,
'Pro Forma Opening BS'!$G$14,
IFERROR(
N(
INDEX(
'Olin Standalone'!$D$62:$S$104,
MATCH($B57,'Olin Standalone'!$C$62:$C$104,0),
MATCH(D$46,'Olin Standalone'!$D$62:$S$62,0)
)
),
0
)
+
IFERROR(
N(
INDEX(
'Huntsman Standalone'!$D$63:$S$105,
MATCH($B57,'Huntsman Standalone'!$C$63:$C$105,0),
MATCH(D$46,'Huntsman Standalone'!$D$63:$S$63,0)
)
),
0
)
+
IF(
YEAR(D$46)&gt;='Main Page &amp; Assumptions'!$D$14,
('PPA &amp; Goodwill'!$C$18-'PPA &amp; Goodwill'!$C$23)
-SUM('Pro Forma D&amp;A'!$C$39:D$39),
0
)
)</f>
        <v>5366.2127935188528</v>
      </c>
      <c r="E57" s="57">
        <f>IF(
YEAR(E$46)='Main Page &amp; Assumptions'!$D$14-1,
'Pro Forma Opening BS'!$G$14,
IFERROR(
N(
INDEX(
'Olin Standalone'!$D$62:$S$104,
MATCH($B57,'Olin Standalone'!$C$62:$C$104,0),
MATCH(E$46,'Olin Standalone'!$D$62:$S$62,0)
)
),
0
)
+
IFERROR(
N(
INDEX(
'Huntsman Standalone'!$D$63:$S$105,
MATCH($B57,'Huntsman Standalone'!$C$63:$C$105,0),
MATCH(E$46,'Huntsman Standalone'!$D$63:$S$63,0)
)
),
0
)
+
IF(
YEAR(E$46)&gt;='Main Page &amp; Assumptions'!$D$14,
('PPA &amp; Goodwill'!$C$18-'PPA &amp; Goodwill'!$C$23)
-SUM('Pro Forma D&amp;A'!$C$39:E$39),
0
)
)</f>
        <v>4996.797087191334</v>
      </c>
      <c r="F57" s="57">
        <f>IF(
YEAR(F$46)='Main Page &amp; Assumptions'!$D$14-1,
'Pro Forma Opening BS'!$G$14,
IFERROR(
N(
INDEX(
'Olin Standalone'!$D$62:$S$104,
MATCH($B57,'Olin Standalone'!$C$62:$C$104,0),
MATCH(F$46,'Olin Standalone'!$D$62:$S$62,0)
)
),
0
)
+
IFERROR(
N(
INDEX(
'Huntsman Standalone'!$D$63:$S$105,
MATCH($B57,'Huntsman Standalone'!$C$63:$C$105,0),
MATCH(F$46,'Huntsman Standalone'!$D$63:$S$63,0)
)
),
0
)
+
IF(
YEAR(F$46)&gt;='Main Page &amp; Assumptions'!$D$14,
('PPA &amp; Goodwill'!$C$18-'PPA &amp; Goodwill'!$C$23)
-SUM('Pro Forma D&amp;A'!$C$39:F$39),
0
)
)</f>
        <v>4638.844213425933</v>
      </c>
      <c r="G57" s="57">
        <f>IF(
YEAR(G$46)='Main Page &amp; Assumptions'!$D$14-1,
'Pro Forma Opening BS'!$G$14,
IFERROR(
N(
INDEX(
'Olin Standalone'!$D$62:$S$104,
MATCH($B57,'Olin Standalone'!$C$62:$C$104,0),
MATCH(G$46,'Olin Standalone'!$D$62:$S$62,0)
)
),
0
)
+
IFERROR(
N(
INDEX(
'Huntsman Standalone'!$D$63:$S$105,
MATCH($B57,'Huntsman Standalone'!$C$63:$C$105,0),
MATCH(G$46,'Huntsman Standalone'!$D$63:$S$63,0)
)
),
0
)
+
IF(
YEAR(G$46)&gt;='Main Page &amp; Assumptions'!$D$14,
('PPA &amp; Goodwill'!$C$18-'PPA &amp; Goodwill'!$C$23)
-SUM('Pro Forma D&amp;A'!$C$39:G$39),
0
)
)</f>
        <v>4278.7790418581253</v>
      </c>
      <c r="H57" s="57">
        <f>IF(
YEAR(H$46)='Main Page &amp; Assumptions'!$D$14-1,
'Pro Forma Opening BS'!$G$14,
IFERROR(
N(
INDEX(
'Olin Standalone'!$D$62:$S$104,
MATCH($B57,'Olin Standalone'!$C$62:$C$104,0),
MATCH(H$46,'Olin Standalone'!$D$62:$S$62,0)
)
),
0
)
+
IFERROR(
N(
INDEX(
'Huntsman Standalone'!$D$63:$S$105,
MATCH($B57,'Huntsman Standalone'!$C$63:$C$105,0),
MATCH(H$46,'Huntsman Standalone'!$D$63:$S$63,0)
)
),
0
)
+
IF(
YEAR(H$46)&gt;='Main Page &amp; Assumptions'!$D$14,
('PPA &amp; Goodwill'!$C$18-'PPA &amp; Goodwill'!$C$23)
-SUM('Pro Forma D&amp;A'!$C$39:H$39),
0
)
)</f>
        <v>3925.4145713786234</v>
      </c>
      <c r="I57" s="97">
        <f>IF(
YEAR(I$46)='Main Page &amp; Assumptions'!$D$14-1,
'Pro Forma Opening BS'!$G$14,
IFERROR(
N(
INDEX(
'Olin Standalone'!$D$62:$S$104,
MATCH($B57,'Olin Standalone'!$C$62:$C$104,0),
MATCH(I$46,'Olin Standalone'!$D$62:$S$62,0)
)
),
0
)
+
IFERROR(
N(
INDEX(
'Huntsman Standalone'!$D$63:$S$105,
MATCH($B57,'Huntsman Standalone'!$C$63:$C$105,0),
MATCH(I$46,'Huntsman Standalone'!$D$63:$S$63,0)
)
),
0
)
+
IF(
YEAR(I$46)&gt;='Main Page &amp; Assumptions'!$D$14,
('PPA &amp; Goodwill'!$C$18-'PPA &amp; Goodwill'!$C$23)
-SUM('Pro Forma D&amp;A'!$C$39:I$39),
0
)
)</f>
        <v>3572.619204538415</v>
      </c>
    </row>
    <row r="58" spans="1:10" x14ac:dyDescent="0.15">
      <c r="B58" t="s">
        <v>236</v>
      </c>
      <c r="C58" s="39">
        <f>IF(YEAR(C$46)&gt;='Main Page &amp; Assumptions'!$D$14-1,'Pro Forma Opening BS'!$G$15,IFERROR(N(INDEX('Olin Standalone'!$D$62:$S$104,MATCH($B58,'Olin Standalone'!$C$62:$C$104,0),MATCH(C$46,'Olin Standalone'!$D$62:$S$62,0))),0)+IFERROR(N(INDEX('Huntsman Standalone'!$D$63:$S$105,MATCH($B58,'Huntsman Standalone'!$C$63:$C$105,0),MATCH(C$46,'Huntsman Standalone'!$D$63:$S$63,0))),0))</f>
        <v>2057.6</v>
      </c>
      <c r="D58" s="98">
        <f>IF(YEAR(D$46)&gt;='Main Page &amp; Assumptions'!$D$14-1,'Pro Forma Opening BS'!$G$15,IFERROR(N(INDEX('Olin Standalone'!$D$62:$S$104,MATCH($B58,'Olin Standalone'!$C$62:$C$104,0),MATCH(D$46,'Olin Standalone'!$D$62:$S$62,0))),0)+IFERROR(N(INDEX('Huntsman Standalone'!$D$63:$S$105,MATCH($B58,'Huntsman Standalone'!$C$63:$C$105,0),MATCH(D$46,'Huntsman Standalone'!$D$63:$S$63,0))),0))</f>
        <v>1881.7436519377775</v>
      </c>
      <c r="E58" s="39">
        <f>IF(YEAR(E$46)&gt;='Main Page &amp; Assumptions'!$D$14-1,'Pro Forma Opening BS'!$G$15,IFERROR(N(INDEX('Olin Standalone'!$D$62:$S$104,MATCH($B58,'Olin Standalone'!$C$62:$C$104,0),MATCH(E$46,'Olin Standalone'!$D$62:$S$62,0))),0)+IFERROR(N(INDEX('Huntsman Standalone'!$D$63:$S$105,MATCH($B58,'Huntsman Standalone'!$C$63:$C$105,0),MATCH(E$46,'Huntsman Standalone'!$D$63:$S$63,0))),0))</f>
        <v>1881.7436519377775</v>
      </c>
      <c r="F58" s="39">
        <f>IF(YEAR(F$46)&gt;='Main Page &amp; Assumptions'!$D$14-1,'Pro Forma Opening BS'!$G$15,IFERROR(N(INDEX('Olin Standalone'!$D$62:$S$104,MATCH($B58,'Olin Standalone'!$C$62:$C$104,0),MATCH(F$46,'Olin Standalone'!$D$62:$S$62,0))),0)+IFERROR(N(INDEX('Huntsman Standalone'!$D$63:$S$105,MATCH($B58,'Huntsman Standalone'!$C$63:$C$105,0),MATCH(F$46,'Huntsman Standalone'!$D$63:$S$63,0))),0))</f>
        <v>1881.7436519377775</v>
      </c>
      <c r="G58" s="39">
        <f>IF(YEAR(G$46)&gt;='Main Page &amp; Assumptions'!$D$14-1,'Pro Forma Opening BS'!$G$15,IFERROR(N(INDEX('Olin Standalone'!$D$62:$S$104,MATCH($B58,'Olin Standalone'!$C$62:$C$104,0),MATCH(G$46,'Olin Standalone'!$D$62:$S$62,0))),0)+IFERROR(N(INDEX('Huntsman Standalone'!$D$63:$S$105,MATCH($B58,'Huntsman Standalone'!$C$63:$C$105,0),MATCH(G$46,'Huntsman Standalone'!$D$63:$S$63,0))),0))</f>
        <v>1881.7436519377775</v>
      </c>
      <c r="H58" s="39">
        <f>IF(YEAR(H$46)&gt;='Main Page &amp; Assumptions'!$D$14-1,'Pro Forma Opening BS'!$G$15,IFERROR(N(INDEX('Olin Standalone'!$D$62:$S$104,MATCH($B58,'Olin Standalone'!$C$62:$C$104,0),MATCH(H$46,'Olin Standalone'!$D$62:$S$62,0))),0)+IFERROR(N(INDEX('Huntsman Standalone'!$D$63:$S$105,MATCH($B58,'Huntsman Standalone'!$C$63:$C$105,0),MATCH(H$46,'Huntsman Standalone'!$D$63:$S$63,0))),0))</f>
        <v>1881.7436519377775</v>
      </c>
      <c r="I58" s="99">
        <f>IF(YEAR(I$46)&gt;='Main Page &amp; Assumptions'!$D$14-1,'Pro Forma Opening BS'!$G$15,IFERROR(N(INDEX('Olin Standalone'!$D$62:$S$104,MATCH($B58,'Olin Standalone'!$C$62:$C$104,0),MATCH(I$46,'Olin Standalone'!$D$62:$S$62,0))),0)+IFERROR(N(INDEX('Huntsman Standalone'!$D$63:$S$105,MATCH($B58,'Huntsman Standalone'!$C$63:$C$105,0),MATCH(I$46,'Huntsman Standalone'!$D$63:$S$63,0))),0))</f>
        <v>1881.7436519377775</v>
      </c>
    </row>
    <row r="59" spans="1:10" x14ac:dyDescent="0.15">
      <c r="B59" t="s">
        <v>268</v>
      </c>
      <c r="C59" s="39">
        <f>IF(YEAR(C$46)='Main Page &amp; Assumptions'!$D$14-1,'Pro Forma Opening BS'!$G$16,IF(YEAR(C$46)&gt;='Main Page &amp; Assumptions'!$D$14,IFERROR(N(INDEX('Olin Standalone'!$D$62:$S$104,MATCH($B59,'Olin Standalone'!$C$62:$C$104,0),MATCH(C$46,'Olin Standalone'!$D$62:$S$62,0))),0)+'PPA &amp; Goodwill'!$C$19-SUM('Pro Forma D&amp;A'!$C$40:C$40),IFERROR(N(INDEX('Olin Standalone'!$D$62:$S$104,MATCH($B59,'Olin Standalone'!$C$62:$C$104,0),MATCH(C$46,'Olin Standalone'!$D$62:$S$62,0))),0)+IFERROR(N(INDEX('Huntsman Standalone'!$D$63:$S$105,MATCH($B59,'Huntsman Standalone'!$C$63:$C$105,0),MATCH(C$46,'Huntsman Standalone'!$D$63:$S$63,0))),0)))</f>
        <v>1478.4</v>
      </c>
      <c r="D59" s="98">
        <f>IF(YEAR(D$46)='Main Page &amp; Assumptions'!$D$14-1,'Pro Forma Opening BS'!$G$16,IF(YEAR(D$46)&gt;='Main Page &amp; Assumptions'!$D$14,IFERROR(N(INDEX('Olin Standalone'!$D$62:$S$104,MATCH($B59,'Olin Standalone'!$C$62:$C$104,0),MATCH(D$46,'Olin Standalone'!$D$62:$S$62,0))),0)+'PPA &amp; Goodwill'!$C$19-SUM('Pro Forma D&amp;A'!$C$40:D$40),IFERROR(N(INDEX('Olin Standalone'!$D$62:$S$104,MATCH($B59,'Olin Standalone'!$C$62:$C$104,0),MATCH(D$46,'Olin Standalone'!$D$62:$S$62,0))),0)+IFERROR(N(INDEX('Huntsman Standalone'!$D$63:$S$105,MATCH($B59,'Huntsman Standalone'!$C$63:$C$105,0),MATCH(D$46,'Huntsman Standalone'!$D$63:$S$63,0))),0)))</f>
        <v>1236.6000000000001</v>
      </c>
      <c r="E59" s="39">
        <f>IF(YEAR(E$46)='Main Page &amp; Assumptions'!$D$14-1,'Pro Forma Opening BS'!$G$16,IF(YEAR(E$46)&gt;='Main Page &amp; Assumptions'!$D$14,IFERROR(N(INDEX('Olin Standalone'!$D$62:$S$104,MATCH($B59,'Olin Standalone'!$C$62:$C$104,0),MATCH(E$46,'Olin Standalone'!$D$62:$S$62,0))),0)+'PPA &amp; Goodwill'!$C$19-SUM('Pro Forma D&amp;A'!$C$40:E$40),IFERROR(N(INDEX('Olin Standalone'!$D$62:$S$104,MATCH($B59,'Olin Standalone'!$C$62:$C$104,0),MATCH(E$46,'Olin Standalone'!$D$62:$S$62,0))),0)+IFERROR(N(INDEX('Huntsman Standalone'!$D$63:$S$105,MATCH($B59,'Huntsman Standalone'!$C$63:$C$105,0),MATCH(E$46,'Huntsman Standalone'!$D$63:$S$63,0))),0)))</f>
        <v>1190.7</v>
      </c>
      <c r="F59" s="39">
        <f>IF(YEAR(F$46)='Main Page &amp; Assumptions'!$D$14-1,'Pro Forma Opening BS'!$G$16,IF(YEAR(F$46)&gt;='Main Page &amp; Assumptions'!$D$14,IFERROR(N(INDEX('Olin Standalone'!$D$62:$S$104,MATCH($B59,'Olin Standalone'!$C$62:$C$104,0),MATCH(F$46,'Olin Standalone'!$D$62:$S$62,0))),0)+'PPA &amp; Goodwill'!$C$19-SUM('Pro Forma D&amp;A'!$C$40:F$40),IFERROR(N(INDEX('Olin Standalone'!$D$62:$S$104,MATCH($B59,'Olin Standalone'!$C$62:$C$104,0),MATCH(F$46,'Olin Standalone'!$D$62:$S$62,0))),0)+IFERROR(N(INDEX('Huntsman Standalone'!$D$63:$S$105,MATCH($B59,'Huntsman Standalone'!$C$63:$C$105,0),MATCH(F$46,'Huntsman Standalone'!$D$63:$S$63,0))),0)))</f>
        <v>1145</v>
      </c>
      <c r="G59" s="39">
        <f>IF(YEAR(G$46)='Main Page &amp; Assumptions'!$D$14-1,'Pro Forma Opening BS'!$G$16,IF(YEAR(G$46)&gt;='Main Page &amp; Assumptions'!$D$14,IFERROR(N(INDEX('Olin Standalone'!$D$62:$S$104,MATCH($B59,'Olin Standalone'!$C$62:$C$104,0),MATCH(G$46,'Olin Standalone'!$D$62:$S$62,0))),0)+'PPA &amp; Goodwill'!$C$19-SUM('Pro Forma D&amp;A'!$C$40:G$40),IFERROR(N(INDEX('Olin Standalone'!$D$62:$S$104,MATCH($B59,'Olin Standalone'!$C$62:$C$104,0),MATCH(G$46,'Olin Standalone'!$D$62:$S$62,0))),0)+IFERROR(N(INDEX('Huntsman Standalone'!$D$63:$S$105,MATCH($B59,'Huntsman Standalone'!$C$63:$C$105,0),MATCH(G$46,'Huntsman Standalone'!$D$63:$S$63,0))),0)))</f>
        <v>1099.3000000000002</v>
      </c>
      <c r="H59" s="39">
        <f>IF(YEAR(H$46)='Main Page &amp; Assumptions'!$D$14-1,'Pro Forma Opening BS'!$G$16,IF(YEAR(H$46)&gt;='Main Page &amp; Assumptions'!$D$14,IFERROR(N(INDEX('Olin Standalone'!$D$62:$S$104,MATCH($B59,'Olin Standalone'!$C$62:$C$104,0),MATCH(H$46,'Olin Standalone'!$D$62:$S$62,0))),0)+'PPA &amp; Goodwill'!$C$19-SUM('Pro Forma D&amp;A'!$C$40:H$40),IFERROR(N(INDEX('Olin Standalone'!$D$62:$S$104,MATCH($B59,'Olin Standalone'!$C$62:$C$104,0),MATCH(H$46,'Olin Standalone'!$D$62:$S$62,0))),0)+IFERROR(N(INDEX('Huntsman Standalone'!$D$63:$S$105,MATCH($B59,'Huntsman Standalone'!$C$63:$C$105,0),MATCH(H$46,'Huntsman Standalone'!$D$63:$S$63,0))),0)))</f>
        <v>1062.5000000000002</v>
      </c>
      <c r="I59" s="99">
        <f>IF(YEAR(I$46)='Main Page &amp; Assumptions'!$D$14-1,'Pro Forma Opening BS'!$G$16,IF(YEAR(I$46)&gt;='Main Page &amp; Assumptions'!$D$14,IFERROR(N(INDEX('Olin Standalone'!$D$62:$S$104,MATCH($B59,'Olin Standalone'!$C$62:$C$104,0),MATCH(I$46,'Olin Standalone'!$D$62:$S$62,0))),0)+'PPA &amp; Goodwill'!$C$19-SUM('Pro Forma D&amp;A'!$C$40:I$40),IFERROR(N(INDEX('Olin Standalone'!$D$62:$S$104,MATCH($B59,'Olin Standalone'!$C$62:$C$104,0),MATCH(I$46,'Olin Standalone'!$D$62:$S$62,0))),0)+IFERROR(N(INDEX('Huntsman Standalone'!$D$63:$S$105,MATCH($B59,'Huntsman Standalone'!$C$63:$C$105,0),MATCH(I$46,'Huntsman Standalone'!$D$63:$S$63,0))),0)))</f>
        <v>1025.7</v>
      </c>
    </row>
    <row r="60" spans="1:10" x14ac:dyDescent="0.15">
      <c r="B60" t="s">
        <v>269</v>
      </c>
      <c r="C60" s="39">
        <f>IF(YEAR(C$46)='Main Page &amp; Assumptions'!$D$14-1,'Pro Forma Opening BS'!$G$17,IFERROR(N(INDEX('Olin Standalone'!$D$62:$S$104,MATCH($B60,'Olin Standalone'!$C$62:$C$104,0),MATCH(C$46,'Olin Standalone'!$D$62:$S$62,0))),0)+IFERROR(N(INDEX('Huntsman Standalone'!$D$63:$S$105,MATCH($B60,'Huntsman Standalone'!$C$63:$C$105,0),MATCH(C$46,'Huntsman Standalone'!$D$63:$S$63,0))),0))</f>
        <v>330.3</v>
      </c>
      <c r="D60" s="98">
        <f>IF(YEAR(D$46)='Main Page &amp; Assumptions'!$D$14-1,'Pro Forma Opening BS'!$G$17,IFERROR(N(INDEX('Olin Standalone'!$D$62:$S$104,MATCH($B60,'Olin Standalone'!$C$62:$C$104,0),MATCH(D$46,'Olin Standalone'!$D$62:$S$62,0))),0)+IFERROR(N(INDEX('Huntsman Standalone'!$D$63:$S$105,MATCH($B60,'Huntsman Standalone'!$C$63:$C$105,0),MATCH(D$46,'Huntsman Standalone'!$D$63:$S$63,0))),0))</f>
        <v>330.3</v>
      </c>
      <c r="E60" s="39">
        <f>IF(YEAR(E$46)='Main Page &amp; Assumptions'!$D$14-1,'Pro Forma Opening BS'!$G$17,IFERROR(N(INDEX('Olin Standalone'!$D$62:$S$104,MATCH($B60,'Olin Standalone'!$C$62:$C$104,0),MATCH(E$46,'Olin Standalone'!$D$62:$S$62,0))),0)+IFERROR(N(INDEX('Huntsman Standalone'!$D$63:$S$105,MATCH($B60,'Huntsman Standalone'!$C$63:$C$105,0),MATCH(E$46,'Huntsman Standalone'!$D$63:$S$63,0))),0))</f>
        <v>330.3</v>
      </c>
      <c r="F60" s="39">
        <f>IF(YEAR(F$46)='Main Page &amp; Assumptions'!$D$14-1,'Pro Forma Opening BS'!$G$17,IFERROR(N(INDEX('Olin Standalone'!$D$62:$S$104,MATCH($B60,'Olin Standalone'!$C$62:$C$104,0),MATCH(F$46,'Olin Standalone'!$D$62:$S$62,0))),0)+IFERROR(N(INDEX('Huntsman Standalone'!$D$63:$S$105,MATCH($B60,'Huntsman Standalone'!$C$63:$C$105,0),MATCH(F$46,'Huntsman Standalone'!$D$63:$S$63,0))),0))</f>
        <v>330.3</v>
      </c>
      <c r="G60" s="39">
        <f>IF(YEAR(G$46)='Main Page &amp; Assumptions'!$D$14-1,'Pro Forma Opening BS'!$G$17,IFERROR(N(INDEX('Olin Standalone'!$D$62:$S$104,MATCH($B60,'Olin Standalone'!$C$62:$C$104,0),MATCH(G$46,'Olin Standalone'!$D$62:$S$62,0))),0)+IFERROR(N(INDEX('Huntsman Standalone'!$D$63:$S$105,MATCH($B60,'Huntsman Standalone'!$C$63:$C$105,0),MATCH(G$46,'Huntsman Standalone'!$D$63:$S$63,0))),0))</f>
        <v>330.3</v>
      </c>
      <c r="H60" s="39">
        <f>IF(YEAR(H$46)='Main Page &amp; Assumptions'!$D$14-1,'Pro Forma Opening BS'!$G$17,IFERROR(N(INDEX('Olin Standalone'!$D$62:$S$104,MATCH($B60,'Olin Standalone'!$C$62:$C$104,0),MATCH(H$46,'Olin Standalone'!$D$62:$S$62,0))),0)+IFERROR(N(INDEX('Huntsman Standalone'!$D$63:$S$105,MATCH($B60,'Huntsman Standalone'!$C$63:$C$105,0),MATCH(H$46,'Huntsman Standalone'!$D$63:$S$63,0))),0))</f>
        <v>330.3</v>
      </c>
      <c r="I60" s="99">
        <f>IF(YEAR(I$46)='Main Page &amp; Assumptions'!$D$14-1,'Pro Forma Opening BS'!$G$17,IFERROR(N(INDEX('Olin Standalone'!$D$62:$S$104,MATCH($B60,'Olin Standalone'!$C$62:$C$104,0),MATCH(I$46,'Olin Standalone'!$D$62:$S$62,0))),0)+IFERROR(N(INDEX('Huntsman Standalone'!$D$63:$S$105,MATCH($B60,'Huntsman Standalone'!$C$63:$C$105,0),MATCH(I$46,'Huntsman Standalone'!$D$63:$S$63,0))),0))</f>
        <v>330.3</v>
      </c>
    </row>
    <row r="61" spans="1:10" x14ac:dyDescent="0.15">
      <c r="B61" t="s">
        <v>270</v>
      </c>
      <c r="C61" s="39">
        <f>IF(YEAR(C$46)='Main Page &amp; Assumptions'!$D$14-1,'Pro Forma Opening BS'!$G$18,IFERROR(N(INDEX('Olin Standalone'!$D$62:$S$104,MATCH($B61,'Olin Standalone'!$C$62:$C$104,0),MATCH(C$46,'Olin Standalone'!$D$62:$S$62,0))),0)+IFERROR(N(INDEX('Huntsman Standalone'!$D$63:$S$105,MATCH($B61,'Huntsman Standalone'!$C$63:$C$105,0),MATCH(C$46,'Huntsman Standalone'!$D$63:$S$63,0))),0))</f>
        <v>1092.9000000000001</v>
      </c>
      <c r="D61" s="98">
        <f>IF(YEAR(D$46)='Main Page &amp; Assumptions'!$D$14-1,'Pro Forma Opening BS'!$G$18,IFERROR(N(INDEX('Olin Standalone'!$D$62:$S$104,MATCH($B61,'Olin Standalone'!$C$62:$C$104,0),MATCH(D$46,'Olin Standalone'!$D$62:$S$62,0))),0)+IFERROR(N(INDEX('Huntsman Standalone'!$D$63:$S$105,MATCH($B61,'Huntsman Standalone'!$C$63:$C$105,0),MATCH(D$46,'Huntsman Standalone'!$D$63:$S$63,0))),0))</f>
        <v>1177.6676306000002</v>
      </c>
      <c r="E61" s="39">
        <f>IF(YEAR(E$46)='Main Page &amp; Assumptions'!$D$14-1,'Pro Forma Opening BS'!$G$18,IFERROR(N(INDEX('Olin Standalone'!$D$62:$S$104,MATCH($B61,'Olin Standalone'!$C$62:$C$104,0),MATCH(E$46,'Olin Standalone'!$D$62:$S$62,0))),0)+IFERROR(N(INDEX('Huntsman Standalone'!$D$63:$S$105,MATCH($B61,'Huntsman Standalone'!$C$63:$C$105,0),MATCH(E$46,'Huntsman Standalone'!$D$63:$S$63,0))),0))</f>
        <v>1245.8712583250001</v>
      </c>
      <c r="F61" s="39">
        <f>IF(YEAR(F$46)='Main Page &amp; Assumptions'!$D$14-1,'Pro Forma Opening BS'!$G$18,IFERROR(N(INDEX('Olin Standalone'!$D$62:$S$104,MATCH($B61,'Olin Standalone'!$C$62:$C$104,0),MATCH(F$46,'Olin Standalone'!$D$62:$S$62,0))),0)+IFERROR(N(INDEX('Huntsman Standalone'!$D$63:$S$105,MATCH($B61,'Huntsman Standalone'!$C$63:$C$105,0),MATCH(F$46,'Huntsman Standalone'!$D$63:$S$63,0))),0))</f>
        <v>1345.7241860012623</v>
      </c>
      <c r="G61" s="39">
        <f>IF(YEAR(G$46)='Main Page &amp; Assumptions'!$D$14-1,'Pro Forma Opening BS'!$G$18,IFERROR(N(INDEX('Olin Standalone'!$D$62:$S$104,MATCH($B61,'Olin Standalone'!$C$62:$C$104,0),MATCH(G$46,'Olin Standalone'!$D$62:$S$62,0))),0)+IFERROR(N(INDEX('Huntsman Standalone'!$D$63:$S$105,MATCH($B61,'Huntsman Standalone'!$C$63:$C$105,0),MATCH(G$46,'Huntsman Standalone'!$D$63:$S$63,0))),0))</f>
        <v>1416.3729875804279</v>
      </c>
      <c r="H61" s="39">
        <f>IF(YEAR(H$46)='Main Page &amp; Assumptions'!$D$14-1,'Pro Forma Opening BS'!$G$18,IFERROR(N(INDEX('Olin Standalone'!$D$62:$S$104,MATCH($B61,'Olin Standalone'!$C$62:$C$104,0),MATCH(H$46,'Olin Standalone'!$D$62:$S$62,0))),0)+IFERROR(N(INDEX('Huntsman Standalone'!$D$63:$S$105,MATCH($B61,'Huntsman Standalone'!$C$63:$C$105,0),MATCH(H$46,'Huntsman Standalone'!$D$63:$S$63,0))),0))</f>
        <v>1508.4508070022539</v>
      </c>
      <c r="I61" s="99">
        <f>IF(YEAR(I$46)='Main Page &amp; Assumptions'!$D$14-1,'Pro Forma Opening BS'!$G$18,IFERROR(N(INDEX('Olin Standalone'!$D$62:$S$104,MATCH($B61,'Olin Standalone'!$C$62:$C$104,0),MATCH(I$46,'Olin Standalone'!$D$62:$S$62,0))),0)+IFERROR(N(INDEX('Huntsman Standalone'!$D$63:$S$105,MATCH($B61,'Huntsman Standalone'!$C$63:$C$105,0),MATCH(I$46,'Huntsman Standalone'!$D$63:$S$63,0))),0))</f>
        <v>1593.0043817353917</v>
      </c>
    </row>
    <row r="62" spans="1:10" x14ac:dyDescent="0.15">
      <c r="B62" t="s">
        <v>237</v>
      </c>
      <c r="C62" s="39">
        <f>IF(YEAR(C$46)='Main Page &amp; Assumptions'!$D$14-1,'Pro Forma Opening BS'!$G$19,IFERROR(N(INDEX('Olin Standalone'!$D$62:$S$104,MATCH($B62,'Olin Standalone'!$C$62:$C$104,0),MATCH(C$46,'Olin Standalone'!$D$62:$S$62,0))),0)+IFERROR(N(INDEX('Huntsman Standalone'!$D$63:$S$105,MATCH($B62,'Huntsman Standalone'!$C$63:$C$105,0),MATCH(C$46,'Huntsman Standalone'!$D$63:$S$63,0))),0))</f>
        <v>0</v>
      </c>
      <c r="D62" s="98">
        <f>IF(YEAR(D$46)='Main Page &amp; Assumptions'!$D$14-1,'Pro Forma Opening BS'!$G$19,IFERROR(N(INDEX('Olin Standalone'!$D$62:$S$104,MATCH($B62,'Olin Standalone'!$C$62:$C$104,0),MATCH(D$46,'Olin Standalone'!$D$62:$S$62,0))),0)+IFERROR(N(INDEX('Huntsman Standalone'!$D$63:$S$105,MATCH($B62,'Huntsman Standalone'!$C$63:$C$105,0),MATCH(D$46,'Huntsman Standalone'!$D$63:$S$63,0))),0))</f>
        <v>0</v>
      </c>
      <c r="E62" s="39">
        <f>IF(YEAR(E$46)='Main Page &amp; Assumptions'!$D$14-1,'Pro Forma Opening BS'!$G$19,IFERROR(N(INDEX('Olin Standalone'!$D$62:$S$104,MATCH($B62,'Olin Standalone'!$C$62:$C$104,0),MATCH(E$46,'Olin Standalone'!$D$62:$S$62,0))),0)+IFERROR(N(INDEX('Huntsman Standalone'!$D$63:$S$105,MATCH($B62,'Huntsman Standalone'!$C$63:$C$105,0),MATCH(E$46,'Huntsman Standalone'!$D$63:$S$63,0))),0))</f>
        <v>0</v>
      </c>
      <c r="F62" s="39">
        <f>IF(YEAR(F$46)='Main Page &amp; Assumptions'!$D$14-1,'Pro Forma Opening BS'!$G$19,IFERROR(N(INDEX('Olin Standalone'!$D$62:$S$104,MATCH($B62,'Olin Standalone'!$C$62:$C$104,0),MATCH(F$46,'Olin Standalone'!$D$62:$S$62,0))),0)+IFERROR(N(INDEX('Huntsman Standalone'!$D$63:$S$105,MATCH($B62,'Huntsman Standalone'!$C$63:$C$105,0),MATCH(F$46,'Huntsman Standalone'!$D$63:$S$63,0))),0))</f>
        <v>0</v>
      </c>
      <c r="G62" s="39">
        <f>IF(YEAR(G$46)='Main Page &amp; Assumptions'!$D$14-1,'Pro Forma Opening BS'!$G$19,IFERROR(N(INDEX('Olin Standalone'!$D$62:$S$104,MATCH($B62,'Olin Standalone'!$C$62:$C$104,0),MATCH(G$46,'Olin Standalone'!$D$62:$S$62,0))),0)+IFERROR(N(INDEX('Huntsman Standalone'!$D$63:$S$105,MATCH($B62,'Huntsman Standalone'!$C$63:$C$105,0),MATCH(G$46,'Huntsman Standalone'!$D$63:$S$63,0))),0))</f>
        <v>0</v>
      </c>
      <c r="H62" s="39">
        <f>IF(YEAR(H$46)='Main Page &amp; Assumptions'!$D$14-1,'Pro Forma Opening BS'!$G$19,IFERROR(N(INDEX('Olin Standalone'!$D$62:$S$104,MATCH($B62,'Olin Standalone'!$C$62:$C$104,0),MATCH(H$46,'Olin Standalone'!$D$62:$S$62,0))),0)+IFERROR(N(INDEX('Huntsman Standalone'!$D$63:$S$105,MATCH($B62,'Huntsman Standalone'!$C$63:$C$105,0),MATCH(H$46,'Huntsman Standalone'!$D$63:$S$63,0))),0))</f>
        <v>0</v>
      </c>
      <c r="I62" s="99">
        <f>IF(YEAR(I$46)='Main Page &amp; Assumptions'!$D$14-1,'Pro Forma Opening BS'!$G$19,IFERROR(N(INDEX('Olin Standalone'!$D$62:$S$104,MATCH($B62,'Olin Standalone'!$C$62:$C$104,0),MATCH(I$46,'Olin Standalone'!$D$62:$S$62,0))),0)+IFERROR(N(INDEX('Huntsman Standalone'!$D$63:$S$105,MATCH($B62,'Huntsman Standalone'!$C$63:$C$105,0),MATCH(I$46,'Huntsman Standalone'!$D$63:$S$63,0))),0))</f>
        <v>0</v>
      </c>
    </row>
    <row r="63" spans="1:10" ht="14" thickBot="1" x14ac:dyDescent="0.2">
      <c r="B63" s="133" t="s">
        <v>135</v>
      </c>
      <c r="C63" s="135">
        <f t="shared" ref="C63:I63" si="12">SUM(C53,C57:C62)</f>
        <v>14340.8</v>
      </c>
      <c r="D63" s="134">
        <f t="shared" ca="1" si="12"/>
        <v>13838.473106487529</v>
      </c>
      <c r="E63" s="135">
        <f t="shared" ca="1" si="12"/>
        <v>13978.26917890448</v>
      </c>
      <c r="F63" s="135">
        <f t="shared" ca="1" si="12"/>
        <v>14916.762414198642</v>
      </c>
      <c r="G63" s="135">
        <f t="shared" ca="1" si="12"/>
        <v>16087.796277087738</v>
      </c>
      <c r="H63" s="135">
        <f t="shared" ca="1" si="12"/>
        <v>17246.691215940591</v>
      </c>
      <c r="I63" s="136">
        <f t="shared" ca="1" si="12"/>
        <v>19235.844961313975</v>
      </c>
    </row>
    <row r="64" spans="1:10" ht="14" thickTop="1" x14ac:dyDescent="0.15">
      <c r="B64" s="48"/>
      <c r="C64" s="57"/>
      <c r="D64" s="96"/>
      <c r="E64" s="57"/>
      <c r="F64" s="57"/>
      <c r="G64" s="57"/>
      <c r="H64" s="57"/>
      <c r="I64" s="97"/>
    </row>
    <row r="65" spans="1:10" x14ac:dyDescent="0.15">
      <c r="B65" t="s">
        <v>136</v>
      </c>
      <c r="C65" s="39">
        <f>IF(YEAR(C$46)='Main Page &amp; Assumptions'!$D$14-1,'Pro Forma Opening BS'!$G$22,IFERROR(N(INDEX('Olin Standalone'!$D$62:$S$104,MATCH($B65,'Olin Standalone'!$C$62:$C$104,0),MATCH(C$46,'Olin Standalone'!$D$62:$S$62,0))),0)+IFERROR(N(INDEX('Huntsman Standalone'!$D$63:$S$105,MATCH($B65,'Huntsman Standalone'!$C$63:$C$105,0),MATCH(C$46,'Huntsman Standalone'!$D$63:$S$63,0))),0))</f>
        <v>1527.1</v>
      </c>
      <c r="D65" s="98">
        <f>IF(YEAR(D$46)='Main Page &amp; Assumptions'!$D$14-1,'Pro Forma Opening BS'!$G$22,IFERROR(N(INDEX('Olin Standalone'!$D$62:$S$104,MATCH($B65,'Olin Standalone'!$C$62:$C$104,0),MATCH(D$46,'Olin Standalone'!$D$62:$S$62,0))),0)+IFERROR(N(INDEX('Huntsman Standalone'!$D$63:$S$105,MATCH($B65,'Huntsman Standalone'!$C$63:$C$105,0),MATCH(D$46,'Huntsman Standalone'!$D$63:$S$63,0))),0))</f>
        <v>1604.2078172916165</v>
      </c>
      <c r="E65" s="39">
        <f>IF(YEAR(E$46)='Main Page &amp; Assumptions'!$D$14-1,'Pro Forma Opening BS'!$G$22,IFERROR(N(INDEX('Olin Standalone'!$D$62:$S$104,MATCH($B65,'Olin Standalone'!$C$62:$C$104,0),MATCH(E$46,'Olin Standalone'!$D$62:$S$62,0))),0)+IFERROR(N(INDEX('Huntsman Standalone'!$D$63:$S$105,MATCH($B65,'Huntsman Standalone'!$C$63:$C$105,0),MATCH(E$46,'Huntsman Standalone'!$D$63:$S$63,0))),0))</f>
        <v>1625.8824644070535</v>
      </c>
      <c r="F65" s="39">
        <f>IF(YEAR(F$46)='Main Page &amp; Assumptions'!$D$14-1,'Pro Forma Opening BS'!$G$22,IFERROR(N(INDEX('Olin Standalone'!$D$62:$S$104,MATCH($B65,'Olin Standalone'!$C$62:$C$104,0),MATCH(F$46,'Olin Standalone'!$D$62:$S$62,0))),0)+IFERROR(N(INDEX('Huntsman Standalone'!$D$63:$S$105,MATCH($B65,'Huntsman Standalone'!$C$63:$C$105,0),MATCH(F$46,'Huntsman Standalone'!$D$63:$S$63,0))),0))</f>
        <v>1687.5513142695527</v>
      </c>
      <c r="G65" s="39">
        <f>IF(YEAR(G$46)='Main Page &amp; Assumptions'!$D$14-1,'Pro Forma Opening BS'!$G$22,IFERROR(N(INDEX('Olin Standalone'!$D$62:$S$104,MATCH($B65,'Olin Standalone'!$C$62:$C$104,0),MATCH(G$46,'Olin Standalone'!$D$62:$S$62,0))),0)+IFERROR(N(INDEX('Huntsman Standalone'!$D$63:$S$105,MATCH($B65,'Huntsman Standalone'!$C$63:$C$105,0),MATCH(G$46,'Huntsman Standalone'!$D$63:$S$63,0))),0))</f>
        <v>1709.9789163469004</v>
      </c>
      <c r="H65" s="39">
        <f>IF(YEAR(H$46)='Main Page &amp; Assumptions'!$D$14-1,'Pro Forma Opening BS'!$G$22,IFERROR(N(INDEX('Olin Standalone'!$D$62:$S$104,MATCH($B65,'Olin Standalone'!$C$62:$C$104,0),MATCH(H$46,'Olin Standalone'!$D$62:$S$62,0))),0)+IFERROR(N(INDEX('Huntsman Standalone'!$D$63:$S$105,MATCH($B65,'Huntsman Standalone'!$C$63:$C$105,0),MATCH(H$46,'Huntsman Standalone'!$D$63:$S$63,0))),0))</f>
        <v>1764.5416757124149</v>
      </c>
      <c r="I65" s="99">
        <f>IF(YEAR(I$46)='Main Page &amp; Assumptions'!$D$14-1,'Pro Forma Opening BS'!$G$22,IFERROR(N(INDEX('Olin Standalone'!$D$62:$S$104,MATCH($B65,'Olin Standalone'!$C$62:$C$104,0),MATCH(I$46,'Olin Standalone'!$D$62:$S$62,0))),0)+IFERROR(N(INDEX('Huntsman Standalone'!$D$63:$S$105,MATCH($B65,'Huntsman Standalone'!$C$63:$C$105,0),MATCH(I$46,'Huntsman Standalone'!$D$63:$S$63,0))),0))</f>
        <v>1822.0310300101087</v>
      </c>
    </row>
    <row r="66" spans="1:10" x14ac:dyDescent="0.15">
      <c r="B66" t="s">
        <v>138</v>
      </c>
      <c r="C66" s="39">
        <f>IF(YEAR(C$46)='Main Page &amp; Assumptions'!$D$14-1,'Pro Forma Opening BS'!$G$23,IFERROR(N(INDEX('Olin Standalone'!$D$62:$S$104,MATCH($B66,'Olin Standalone'!$C$62:$C$104,0),MATCH(C$46,'Olin Standalone'!$D$62:$S$62,0))),0)+IFERROR(N(INDEX('Huntsman Standalone'!$D$63:$S$105,MATCH($B66,'Huntsman Standalone'!$C$63:$C$105,0),MATCH(C$46,'Huntsman Standalone'!$D$63:$S$63,0))),0))</f>
        <v>1064</v>
      </c>
      <c r="D66" s="100">
        <f>IF(YEAR(D$46)='Main Page &amp; Assumptions'!$D$14-1,'Pro Forma Opening BS'!$G$23,IFERROR(N(INDEX('Olin Standalone'!$D$62:$S$104,MATCH($B66,'Olin Standalone'!$C$62:$C$104,0),MATCH(D$46,'Olin Standalone'!$D$62:$S$62,0))),0)+IFERROR(N(INDEX('Huntsman Standalone'!$D$63:$S$105,MATCH($B66,'Huntsman Standalone'!$C$63:$C$105,0),MATCH(D$46,'Huntsman Standalone'!$D$63:$S$63,0))),0))</f>
        <v>1139.5132100000001</v>
      </c>
      <c r="E66" s="53">
        <f>IF(YEAR(E$46)='Main Page &amp; Assumptions'!$D$14-1,'Pro Forma Opening BS'!$G$23,IFERROR(N(INDEX('Olin Standalone'!$D$62:$S$104,MATCH($B66,'Olin Standalone'!$C$62:$C$104,0),MATCH(E$46,'Olin Standalone'!$D$62:$S$62,0))),0)+IFERROR(N(INDEX('Huntsman Standalone'!$D$63:$S$105,MATCH($B66,'Huntsman Standalone'!$C$63:$C$105,0),MATCH(E$46,'Huntsman Standalone'!$D$63:$S$63,0))),0))</f>
        <v>1176.2457324500001</v>
      </c>
      <c r="F66" s="53">
        <f>IF(YEAR(F$46)='Main Page &amp; Assumptions'!$D$14-1,'Pro Forma Opening BS'!$G$23,IFERROR(N(INDEX('Olin Standalone'!$D$62:$S$104,MATCH($B66,'Olin Standalone'!$C$62:$C$104,0),MATCH(F$46,'Olin Standalone'!$D$62:$S$62,0))),0)+IFERROR(N(INDEX('Huntsman Standalone'!$D$63:$S$105,MATCH($B66,'Huntsman Standalone'!$C$63:$C$105,0),MATCH(F$46,'Huntsman Standalone'!$D$63:$S$63,0))),0))</f>
        <v>1267.1070216971802</v>
      </c>
      <c r="G66" s="53">
        <f>IF(YEAR(G$46)='Main Page &amp; Assumptions'!$D$14-1,'Pro Forma Opening BS'!$G$23,IFERROR(N(INDEX('Olin Standalone'!$D$62:$S$104,MATCH($B66,'Olin Standalone'!$C$62:$C$104,0),MATCH(G$46,'Olin Standalone'!$D$62:$S$62,0))),0)+IFERROR(N(INDEX('Huntsman Standalone'!$D$63:$S$105,MATCH($B66,'Huntsman Standalone'!$C$63:$C$105,0),MATCH(G$46,'Huntsman Standalone'!$D$63:$S$63,0))),0))</f>
        <v>1322.6698421178701</v>
      </c>
      <c r="H66" s="53">
        <f>IF(YEAR(H$46)='Main Page &amp; Assumptions'!$D$14-1,'Pro Forma Opening BS'!$G$23,IFERROR(N(INDEX('Olin Standalone'!$D$62:$S$104,MATCH($B66,'Olin Standalone'!$C$62:$C$104,0),MATCH(H$46,'Olin Standalone'!$D$62:$S$62,0))),0)+IFERROR(N(INDEX('Huntsman Standalone'!$D$63:$S$105,MATCH($B66,'Huntsman Standalone'!$C$63:$C$105,0),MATCH(H$46,'Huntsman Standalone'!$D$63:$S$63,0))),0))</f>
        <v>1406.56869655935</v>
      </c>
      <c r="I66" s="101">
        <f>IF(YEAR(I$46)='Main Page &amp; Assumptions'!$D$14-1,'Pro Forma Opening BS'!$G$23,IFERROR(N(INDEX('Olin Standalone'!$D$62:$S$104,MATCH($B66,'Olin Standalone'!$C$62:$C$104,0),MATCH(I$46,'Olin Standalone'!$D$62:$S$62,0))),0)+IFERROR(N(INDEX('Huntsman Standalone'!$D$63:$S$105,MATCH($B66,'Huntsman Standalone'!$C$63:$C$105,0),MATCH(I$46,'Huntsman Standalone'!$D$63:$S$63,0))),0))</f>
        <v>1476.5444431459682</v>
      </c>
    </row>
    <row r="67" spans="1:10" x14ac:dyDescent="0.15">
      <c r="B67" t="s">
        <v>271</v>
      </c>
      <c r="C67" s="39">
        <f>IF(YEAR(C$46)='Main Page &amp; Assumptions'!$D$14-1,'Pro Forma Opening BS'!$G$24,IF(YEAR(C$46)&lt;'Main Page &amp; Assumptions'!$D$14-1,IFERROR(N(INDEX('Olin Standalone'!$D$62:$S$104,MATCH($B67,'Olin Standalone'!$C$62:$C$104,0),MATCH(C$46,'Olin Standalone'!$D$62:$S$62,0))),0)+IFERROR(N(INDEX('Huntsman Standalone'!$D$63:$S$105,MATCH($B67,'Huntsman Standalone'!$C$63:$C$105,0),MATCH(C$46,'Huntsman Standalone'!$D$63:$S$63,0))),0),IF(COLUMN()=COLUMN($I$67),0,MAX(0,-D115))))</f>
        <v>462.7</v>
      </c>
      <c r="D67" s="100">
        <f ca="1">IF(YEAR(D$46)='Main Page &amp; Assumptions'!$D$14-1,'Pro Forma Opening BS'!$G$24,IF(YEAR(D$46)&lt;'Main Page &amp; Assumptions'!$D$14-1,IFERROR(N(INDEX('Olin Standalone'!$D$62:$S$104,MATCH($B67,'Olin Standalone'!$C$62:$C$104,0),MATCH(D$46,'Olin Standalone'!$D$62:$S$62,0))),0)+IFERROR(N(INDEX('Huntsman Standalone'!$D$63:$S$105,MATCH($B67,'Huntsman Standalone'!$C$63:$C$105,0),MATCH(D$46,'Huntsman Standalone'!$D$63:$S$63,0))),0),IF(COLUMN()=COLUMN($I$67),0,MAX(0,-E115))))</f>
        <v>247</v>
      </c>
      <c r="E67" s="53">
        <f>IF(YEAR(E$46)='Main Page &amp; Assumptions'!$D$14-1,'Pro Forma Opening BS'!$G$24,IF(YEAR(E$46)&lt;'Main Page &amp; Assumptions'!$D$14-1,IFERROR(N(INDEX('Olin Standalone'!$D$62:$S$104,MATCH($B67,'Olin Standalone'!$C$62:$C$104,0),MATCH(E$46,'Olin Standalone'!$D$62:$S$62,0))),0)+IFERROR(N(INDEX('Huntsman Standalone'!$D$63:$S$105,MATCH($B67,'Huntsman Standalone'!$C$63:$C$105,0),MATCH(E$46,'Huntsman Standalone'!$D$63:$S$63,0))),0),IF(COLUMN()=COLUMN($I$67),0,MAX(0,-F115))))</f>
        <v>0</v>
      </c>
      <c r="F67" s="53">
        <f>IF(YEAR(F$46)='Main Page &amp; Assumptions'!$D$14-1,'Pro Forma Opening BS'!$G$24,IF(YEAR(F$46)&lt;'Main Page &amp; Assumptions'!$D$14-1,IFERROR(N(INDEX('Olin Standalone'!$D$62:$S$104,MATCH($B67,'Olin Standalone'!$C$62:$C$104,0),MATCH(F$46,'Olin Standalone'!$D$62:$S$62,0))),0)+IFERROR(N(INDEX('Huntsman Standalone'!$D$63:$S$105,MATCH($B67,'Huntsman Standalone'!$C$63:$C$105,0),MATCH(F$46,'Huntsman Standalone'!$D$63:$S$63,0))),0),IF(COLUMN()=COLUMN($I$67),0,MAX(0,-G115))))</f>
        <v>0</v>
      </c>
      <c r="G67" s="53">
        <f>IF(YEAR(G$46)='Main Page &amp; Assumptions'!$D$14-1,'Pro Forma Opening BS'!$G$24,IF(YEAR(G$46)&lt;'Main Page &amp; Assumptions'!$D$14-1,IFERROR(N(INDEX('Olin Standalone'!$D$62:$S$104,MATCH($B67,'Olin Standalone'!$C$62:$C$104,0),MATCH(G$46,'Olin Standalone'!$D$62:$S$62,0))),0)+IFERROR(N(INDEX('Huntsman Standalone'!$D$63:$S$105,MATCH($B67,'Huntsman Standalone'!$C$63:$C$105,0),MATCH(G$46,'Huntsman Standalone'!$D$63:$S$63,0))),0),IF(COLUMN()=COLUMN($I$67),0,MAX(0,-H115))))</f>
        <v>528.09999999999991</v>
      </c>
      <c r="H67" s="53">
        <f>IF(YEAR(H$46)='Main Page &amp; Assumptions'!$D$14-1,'Pro Forma Opening BS'!$G$24,IF(YEAR(H$46)&lt;'Main Page &amp; Assumptions'!$D$14-1,IFERROR(N(INDEX('Olin Standalone'!$D$62:$S$104,MATCH($B67,'Olin Standalone'!$C$62:$C$104,0),MATCH(H$46,'Olin Standalone'!$D$62:$S$62,0))),0)+IFERROR(N(INDEX('Huntsman Standalone'!$D$63:$S$105,MATCH($B67,'Huntsman Standalone'!$C$63:$C$105,0),MATCH(H$46,'Huntsman Standalone'!$D$63:$S$63,0))),0),IF(COLUMN()=COLUMN($I$67),0,MAX(0,-I115))))</f>
        <v>0</v>
      </c>
      <c r="I67" s="101">
        <f>IF(YEAR(I$46)='Main Page &amp; Assumptions'!$D$14-1,'Pro Forma Opening BS'!$G$24,IF(YEAR(I$46)&lt;'Main Page &amp; Assumptions'!$D$14-1,IFERROR(N(INDEX('Olin Standalone'!$D$62:$S$104,MATCH($B67,'Olin Standalone'!$C$62:$C$104,0),MATCH(I$46,'Olin Standalone'!$D$62:$S$62,0))),0)+IFERROR(N(INDEX('Huntsman Standalone'!$D$63:$S$105,MATCH($B67,'Huntsman Standalone'!$C$63:$C$105,0),MATCH(I$46,'Huntsman Standalone'!$D$63:$S$63,0))),0),IF(COLUMN()=COLUMN($I$67),0,MAX(0,-J115))))</f>
        <v>0</v>
      </c>
    </row>
    <row r="68" spans="1:10" x14ac:dyDescent="0.15">
      <c r="A68" s="48"/>
      <c r="B68" t="s">
        <v>386</v>
      </c>
      <c r="C68" s="39">
        <f>IF(YEAR(C$46)='Main Page &amp; Assumptions'!$D$14-1,'Pro Forma Opening BS'!$G$25,IFERROR(N(INDEX('Olin Standalone'!$D$62:$S$104,MATCH($B68,'Olin Standalone'!$C$62:$C$104,0),MATCH(C$46,'Olin Standalone'!$D$62:$S$62,0))),0)+IFERROR(N(INDEX('Huntsman Standalone'!$D$63:$S$105,MATCH($B68,'Huntsman Standalone'!$C$63:$C$105,0),MATCH(C$46,'Huntsman Standalone'!$D$63:$S$63,0))),0))</f>
        <v>0</v>
      </c>
      <c r="D68" s="295">
        <f>IF(YEAR(D$46)='Main Page &amp; Assumptions'!$D$14-1,'Pro Forma Opening BS'!$G$25,IFERROR(N(INDEX('Olin Standalone'!$D$62:$S$104,MATCH($B68,'Olin Standalone'!$C$62:$C$104,0),MATCH(D$46,'Olin Standalone'!$D$62:$S$62,0))),0)+IFERROR(N(INDEX('Huntsman Standalone'!$D$63:$S$105,MATCH($B68,'Huntsman Standalone'!$C$63:$C$105,0),MATCH(D$46,'Huntsman Standalone'!$D$63:$S$63,0))),0))</f>
        <v>0</v>
      </c>
      <c r="E68" s="296">
        <f>IF(YEAR(E$46)='Main Page &amp; Assumptions'!$D$14-1,'Pro Forma Opening BS'!$G$25,IFERROR(N(INDEX('Olin Standalone'!$D$62:$S$104,MATCH($B68,'Olin Standalone'!$C$62:$C$104,0),MATCH(E$46,'Olin Standalone'!$D$62:$S$62,0))),0)+IFERROR(N(INDEX('Huntsman Standalone'!$D$63:$S$105,MATCH($B68,'Huntsman Standalone'!$C$63:$C$105,0),MATCH(E$46,'Huntsman Standalone'!$D$63:$S$63,0))),0))</f>
        <v>0</v>
      </c>
      <c r="F68" s="296">
        <f>IF(YEAR(F$46)='Main Page &amp; Assumptions'!$D$14-1,'Pro Forma Opening BS'!$G$25,IFERROR(N(INDEX('Olin Standalone'!$D$62:$S$104,MATCH($B68,'Olin Standalone'!$C$62:$C$104,0),MATCH(F$46,'Olin Standalone'!$D$62:$S$62,0))),0)+IFERROR(N(INDEX('Huntsman Standalone'!$D$63:$S$105,MATCH($B68,'Huntsman Standalone'!$C$63:$C$105,0),MATCH(F$46,'Huntsman Standalone'!$D$63:$S$63,0))),0))</f>
        <v>0</v>
      </c>
      <c r="G68" s="296">
        <f>IF(YEAR(G$46)='Main Page &amp; Assumptions'!$D$14-1,'Pro Forma Opening BS'!$G$25,IFERROR(N(INDEX('Olin Standalone'!$D$62:$S$104,MATCH($B68,'Olin Standalone'!$C$62:$C$104,0),MATCH(G$46,'Olin Standalone'!$D$62:$S$62,0))),0)+IFERROR(N(INDEX('Huntsman Standalone'!$D$63:$S$105,MATCH($B68,'Huntsman Standalone'!$C$63:$C$105,0),MATCH(G$46,'Huntsman Standalone'!$D$63:$S$63,0))),0))</f>
        <v>0</v>
      </c>
      <c r="H68" s="296">
        <f>IF(YEAR(H$46)='Main Page &amp; Assumptions'!$D$14-1,'Pro Forma Opening BS'!$G$25,IFERROR(N(INDEX('Olin Standalone'!$D$62:$S$104,MATCH($B68,'Olin Standalone'!$C$62:$C$104,0),MATCH(H$46,'Olin Standalone'!$D$62:$S$62,0))),0)+IFERROR(N(INDEX('Huntsman Standalone'!$D$63:$S$105,MATCH($B68,'Huntsman Standalone'!$C$63:$C$105,0),MATCH(H$46,'Huntsman Standalone'!$D$63:$S$63,0))),0))</f>
        <v>0</v>
      </c>
      <c r="I68" s="297">
        <f>IF(YEAR(I$46)='Main Page &amp; Assumptions'!$D$14-1,'Pro Forma Opening BS'!$G$25,IFERROR(N(INDEX('Olin Standalone'!$D$62:$S$104,MATCH($B68,'Olin Standalone'!$C$62:$C$104,0),MATCH(I$46,'Olin Standalone'!$D$62:$S$62,0))),0)+IFERROR(N(INDEX('Huntsman Standalone'!$D$63:$S$105,MATCH($B68,'Huntsman Standalone'!$C$63:$C$105,0),MATCH(I$46,'Huntsman Standalone'!$D$63:$S$63,0))),0))</f>
        <v>0</v>
      </c>
      <c r="J68" s="48"/>
    </row>
    <row r="69" spans="1:10" x14ac:dyDescent="0.15">
      <c r="A69" s="48"/>
      <c r="B69" t="s">
        <v>238</v>
      </c>
      <c r="C69" s="39">
        <f>IF(YEAR(C$46)='Main Page &amp; Assumptions'!$D$14-1,'Pro Forma Opening BS'!$G$26,IFERROR(N(INDEX('Olin Standalone'!$D$62:$S$104,MATCH($B69,'Olin Standalone'!$C$62:$C$104,0),MATCH(C$46,'Olin Standalone'!$D$62:$S$62,0))),0)+IFERROR(N(INDEX('Huntsman Standalone'!$D$63:$S$105,MATCH($B69,'Huntsman Standalone'!$C$63:$C$105,0),MATCH(C$46,'Huntsman Standalone'!$D$63:$S$63,0))),0))</f>
        <v>164.7</v>
      </c>
      <c r="D69" s="100">
        <f>IF(YEAR(D$46)='Main Page &amp; Assumptions'!$D$14-1,'Pro Forma Opening BS'!$G$26,IFERROR(N(INDEX('Olin Standalone'!$D$62:$S$104,MATCH($B69,'Olin Standalone'!$C$62:$C$104,0),MATCH(D$46,'Olin Standalone'!$D$62:$S$62,0))),0)+IFERROR(N(INDEX('Huntsman Standalone'!$D$63:$S$105,MATCH($B69,'Huntsman Standalone'!$C$63:$C$105,0),MATCH(D$46,'Huntsman Standalone'!$D$63:$S$63,0))),0))</f>
        <v>175.32202360000002</v>
      </c>
      <c r="E69" s="53">
        <f>IF(YEAR(E$46)='Main Page &amp; Assumptions'!$D$14-1,'Pro Forma Opening BS'!$G$26,IFERROR(N(INDEX('Olin Standalone'!$D$62:$S$104,MATCH($B69,'Olin Standalone'!$C$62:$C$104,0),MATCH(E$46,'Olin Standalone'!$D$62:$S$62,0))),0)+IFERROR(N(INDEX('Huntsman Standalone'!$D$63:$S$105,MATCH($B69,'Huntsman Standalone'!$C$63:$C$105,0),MATCH(E$46,'Huntsman Standalone'!$D$63:$S$63,0))),0))</f>
        <v>177.34105575999999</v>
      </c>
      <c r="F69" s="53">
        <f>IF(YEAR(F$46)='Main Page &amp; Assumptions'!$D$14-1,'Pro Forma Opening BS'!$G$26,IFERROR(N(INDEX('Olin Standalone'!$D$62:$S$104,MATCH($B69,'Olin Standalone'!$C$62:$C$104,0),MATCH(F$46,'Olin Standalone'!$D$62:$S$62,0))),0)+IFERROR(N(INDEX('Huntsman Standalone'!$D$63:$S$105,MATCH($B69,'Huntsman Standalone'!$C$63:$C$105,0),MATCH(F$46,'Huntsman Standalone'!$D$63:$S$63,0))),0))</f>
        <v>190.606073571596</v>
      </c>
      <c r="G69" s="53">
        <f>IF(YEAR(G$46)='Main Page &amp; Assumptions'!$D$14-1,'Pro Forma Opening BS'!$G$26,IFERROR(N(INDEX('Olin Standalone'!$D$62:$S$104,MATCH($B69,'Olin Standalone'!$C$62:$C$104,0),MATCH(G$46,'Olin Standalone'!$D$62:$S$62,0))),0)+IFERROR(N(INDEX('Huntsman Standalone'!$D$63:$S$105,MATCH($B69,'Huntsman Standalone'!$C$63:$C$105,0),MATCH(G$46,'Huntsman Standalone'!$D$63:$S$63,0))),0))</f>
        <v>197.56616622881921</v>
      </c>
      <c r="H69" s="53">
        <f>IF(YEAR(H$46)='Main Page &amp; Assumptions'!$D$14-1,'Pro Forma Opening BS'!$G$26,IFERROR(N(INDEX('Olin Standalone'!$D$62:$S$104,MATCH($B69,'Olin Standalone'!$C$62:$C$104,0),MATCH(H$46,'Olin Standalone'!$D$62:$S$62,0))),0)+IFERROR(N(INDEX('Huntsman Standalone'!$D$63:$S$105,MATCH($B69,'Huntsman Standalone'!$C$63:$C$105,0),MATCH(H$46,'Huntsman Standalone'!$D$63:$S$63,0))),0))</f>
        <v>209.82957962530452</v>
      </c>
      <c r="I69" s="101">
        <f>IF(YEAR(I$46)='Main Page &amp; Assumptions'!$D$14-1,'Pro Forma Opening BS'!$G$26,IFERROR(N(INDEX('Olin Standalone'!$D$62:$S$104,MATCH($B69,'Olin Standalone'!$C$62:$C$104,0),MATCH(I$46,'Olin Standalone'!$D$62:$S$62,0))),0)+IFERROR(N(INDEX('Huntsman Standalone'!$D$63:$S$105,MATCH($B69,'Huntsman Standalone'!$C$63:$C$105,0),MATCH(I$46,'Huntsman Standalone'!$D$63:$S$63,0))),0))</f>
        <v>219.12620743214927</v>
      </c>
      <c r="J69" s="48"/>
    </row>
    <row r="70" spans="1:10" x14ac:dyDescent="0.15">
      <c r="B70" s="88" t="s">
        <v>142</v>
      </c>
      <c r="C70" s="89">
        <f t="shared" ref="C70:I70" si="13">SUM(C65:C69)</f>
        <v>3218.4999999999995</v>
      </c>
      <c r="D70" s="289">
        <f t="shared" ca="1" si="13"/>
        <v>3166.0430508916165</v>
      </c>
      <c r="E70" s="290">
        <f t="shared" si="13"/>
        <v>2979.4692526170538</v>
      </c>
      <c r="F70" s="290">
        <f t="shared" si="13"/>
        <v>3145.2644095383289</v>
      </c>
      <c r="G70" s="290">
        <f t="shared" si="13"/>
        <v>3758.3149246935895</v>
      </c>
      <c r="H70" s="290">
        <f t="shared" si="13"/>
        <v>3380.9399518970695</v>
      </c>
      <c r="I70" s="291">
        <f t="shared" si="13"/>
        <v>3517.7016805882263</v>
      </c>
    </row>
    <row r="71" spans="1:10" x14ac:dyDescent="0.15">
      <c r="B71" s="48"/>
      <c r="C71" s="57"/>
      <c r="D71" s="292"/>
      <c r="E71" s="293"/>
      <c r="F71" s="293"/>
      <c r="G71" s="293"/>
      <c r="H71" s="293"/>
      <c r="I71" s="294"/>
    </row>
    <row r="72" spans="1:10" x14ac:dyDescent="0.15">
      <c r="B72" t="s">
        <v>273</v>
      </c>
      <c r="C72" s="39">
        <f>IF(YEAR(C$46)='Main Page &amp; Assumptions'!$D$14-1,'Pro Forma Opening BS'!$G$29,IF(YEAR(C$46)&lt;'Main Page &amp; Assumptions'!$D$14-1,IFERROR(N(INDEX('Olin Standalone'!$D$62:$S$104,MATCH($B72,'Olin Standalone'!$C$62:$C$104,0),MATCH(C$46,'Olin Standalone'!$D$62:$S$62,0))),0)+IFERROR(N(INDEX('Huntsman Standalone'!$D$63:$S$105,MATCH($B72,'Huntsman Standalone'!$C$63:$C$105,0),MATCH(C$46,'Huntsman Standalone'!$D$63:$S$63,0))),0),MAX(0,B67+B72+C115-C67)))</f>
        <v>4375.6000000000004</v>
      </c>
      <c r="D72" s="100">
        <f ca="1">IF(YEAR(D$46)='Main Page &amp; Assumptions'!$D$14-1,'Pro Forma Opening BS'!$G$29,IF(YEAR(D$46)&lt;'Main Page &amp; Assumptions'!$D$14-1,IFERROR(N(INDEX('Olin Standalone'!$D$62:$S$104,MATCH($B72,'Olin Standalone'!$C$62:$C$104,0),MATCH(D$46,'Olin Standalone'!$D$62:$S$62,0))),0)+IFERROR(N(INDEX('Huntsman Standalone'!$D$63:$S$105,MATCH($B72,'Huntsman Standalone'!$C$63:$C$105,0),MATCH(D$46,'Huntsman Standalone'!$D$63:$S$63,0))),0),MAX(0,C67+C72+D115-D67)))</f>
        <v>4016.7</v>
      </c>
      <c r="E72" s="53">
        <f ca="1">IF(YEAR(E$46)='Main Page &amp; Assumptions'!$D$14-1,'Pro Forma Opening BS'!$G$29,IF(YEAR(E$46)&lt;'Main Page &amp; Assumptions'!$D$14-1,IFERROR(N(INDEX('Olin Standalone'!$D$62:$S$104,MATCH($B72,'Olin Standalone'!$C$62:$C$104,0),MATCH(E$46,'Olin Standalone'!$D$62:$S$62,0))),0)+IFERROR(N(INDEX('Huntsman Standalone'!$D$63:$S$105,MATCH($B72,'Huntsman Standalone'!$C$63:$C$105,0),MATCH(E$46,'Huntsman Standalone'!$D$63:$S$63,0))),0),MAX(0,D67+D72+E115-E67)))</f>
        <v>4263.7</v>
      </c>
      <c r="F72" s="53">
        <f ca="1">IF(YEAR(F$46)='Main Page &amp; Assumptions'!$D$14-1,'Pro Forma Opening BS'!$G$29,IF(YEAR(F$46)&lt;'Main Page &amp; Assumptions'!$D$14-1,IFERROR(N(INDEX('Olin Standalone'!$D$62:$S$104,MATCH($B72,'Olin Standalone'!$C$62:$C$104,0),MATCH(F$46,'Olin Standalone'!$D$62:$S$62,0))),0)+IFERROR(N(INDEX('Huntsman Standalone'!$D$63:$S$105,MATCH($B72,'Huntsman Standalone'!$C$63:$C$105,0),MATCH(F$46,'Huntsman Standalone'!$D$63:$S$63,0))),0),MAX(0,E67+E72+F115-F67)))</f>
        <v>4263.7</v>
      </c>
      <c r="G72" s="53">
        <f ca="1">IF(YEAR(G$46)='Main Page &amp; Assumptions'!$D$14-1,'Pro Forma Opening BS'!$G$29,IF(YEAR(G$46)&lt;'Main Page &amp; Assumptions'!$D$14-1,IFERROR(N(INDEX('Olin Standalone'!$D$62:$S$104,MATCH($B72,'Olin Standalone'!$C$62:$C$104,0),MATCH(G$46,'Olin Standalone'!$D$62:$S$62,0))),0)+IFERROR(N(INDEX('Huntsman Standalone'!$D$63:$S$105,MATCH($B72,'Huntsman Standalone'!$C$63:$C$105,0),MATCH(G$46,'Huntsman Standalone'!$D$63:$S$63,0))),0),MAX(0,F67+F72+G115-G67)))</f>
        <v>3735.6</v>
      </c>
      <c r="H72" s="53">
        <f ca="1">IF(YEAR(H$46)='Main Page &amp; Assumptions'!$D$14-1,'Pro Forma Opening BS'!$G$29,IF(YEAR(H$46)&lt;'Main Page &amp; Assumptions'!$D$14-1,IFERROR(N(INDEX('Olin Standalone'!$D$62:$S$104,MATCH($B72,'Olin Standalone'!$C$62:$C$104,0),MATCH(H$46,'Olin Standalone'!$D$62:$S$62,0))),0)+IFERROR(N(INDEX('Huntsman Standalone'!$D$63:$S$105,MATCH($B72,'Huntsman Standalone'!$C$63:$C$105,0),MATCH(H$46,'Huntsman Standalone'!$D$63:$S$63,0))),0),MAX(0,G67+G72+H115-H67)))</f>
        <v>3735.6</v>
      </c>
      <c r="I72" s="101">
        <f ca="1">IF(YEAR(I$46)='Main Page &amp; Assumptions'!$D$14-1,'Pro Forma Opening BS'!$G$29,IF(YEAR(I$46)&lt;'Main Page &amp; Assumptions'!$D$14-1,IFERROR(N(INDEX('Olin Standalone'!$D$62:$S$104,MATCH($B72,'Olin Standalone'!$C$62:$C$104,0),MATCH(I$46,'Olin Standalone'!$D$62:$S$62,0))),0)+IFERROR(N(INDEX('Huntsman Standalone'!$D$63:$S$105,MATCH($B72,'Huntsman Standalone'!$C$63:$C$105,0),MATCH(I$46,'Huntsman Standalone'!$D$63:$S$63,0))),0),MAX(0,H67+H72+I115-I67)))</f>
        <v>3735.6</v>
      </c>
    </row>
    <row r="73" spans="1:10" x14ac:dyDescent="0.15">
      <c r="B73" s="41" t="s">
        <v>347</v>
      </c>
      <c r="C73" s="39">
        <f>IF(YEAR(C$46)='Main Page &amp; Assumptions'!$D$14-1,'Pro Forma Opening BS'!$G$30,IF(YEAR(C$46)&lt;'Main Page &amp; Assumptions'!$D$14-1,IFERROR(N(INDEX('Olin Standalone'!$D$62:$S$104,MATCH($B73,'Olin Standalone'!$C$62:$C$104,0),MATCH(C$46,'Olin Standalone'!$D$62:$S$62,0))),0)+IFERROR(N(INDEX('Huntsman Standalone'!$D$63:$S$105,MATCH($B73,'Huntsman Standalone'!$C$63:$C$105,0),MATCH(C$46,'Huntsman Standalone'!$D$63:$S$63,0))),0),B73+C100))</f>
        <v>0</v>
      </c>
      <c r="D73" s="100">
        <f>IF(YEAR(D$46)='Main Page &amp; Assumptions'!$D$14-1,'Pro Forma Opening BS'!$G$30,IF(YEAR(D$46)&lt;'Main Page &amp; Assumptions'!$D$14-1,IFERROR(N(INDEX('Olin Standalone'!$D$62:$S$104,MATCH($B73,'Olin Standalone'!$C$62:$C$104,0),MATCH(D$46,'Olin Standalone'!$D$62:$S$62,0))),0)+IFERROR(N(INDEX('Huntsman Standalone'!$D$63:$S$105,MATCH($B73,'Huntsman Standalone'!$C$63:$C$105,0),MATCH(D$46,'Huntsman Standalone'!$D$63:$S$63,0))),0),C73+D100))</f>
        <v>-24.173472222222223</v>
      </c>
      <c r="E73" s="53">
        <f ca="1">IF(YEAR(E$46)='Main Page &amp; Assumptions'!$D$14-1,'Pro Forma Opening BS'!$G$30,IF(YEAR(E$46)&lt;'Main Page &amp; Assumptions'!$D$14-1,IFERROR(N(INDEX('Olin Standalone'!$D$62:$S$104,MATCH($B73,'Olin Standalone'!$C$62:$C$104,0),MATCH(E$46,'Olin Standalone'!$D$62:$S$62,0))),0)+IFERROR(N(INDEX('Huntsman Standalone'!$D$63:$S$105,MATCH($B73,'Huntsman Standalone'!$C$63:$C$105,0),MATCH(E$46,'Huntsman Standalone'!$D$63:$S$63,0))),0),D73+E100))</f>
        <v>-18.246944444444445</v>
      </c>
      <c r="F73" s="53">
        <f ca="1">IF(YEAR(F$46)='Main Page &amp; Assumptions'!$D$14-1,'Pro Forma Opening BS'!$G$30,IF(YEAR(F$46)&lt;'Main Page &amp; Assumptions'!$D$14-1,IFERROR(N(INDEX('Olin Standalone'!$D$62:$S$104,MATCH($B73,'Olin Standalone'!$C$62:$C$104,0),MATCH(F$46,'Olin Standalone'!$D$62:$S$62,0))),0)+IFERROR(N(INDEX('Huntsman Standalone'!$D$63:$S$105,MATCH($B73,'Huntsman Standalone'!$C$63:$C$105,0),MATCH(F$46,'Huntsman Standalone'!$D$63:$S$63,0))),0),E73+F100))</f>
        <v>-12.695416666666667</v>
      </c>
      <c r="G73" s="53">
        <f ca="1">IF(YEAR(G$46)='Main Page &amp; Assumptions'!$D$14-1,'Pro Forma Opening BS'!$G$30,IF(YEAR(G$46)&lt;'Main Page &amp; Assumptions'!$D$14-1,IFERROR(N(INDEX('Olin Standalone'!$D$62:$S$104,MATCH($B73,'Olin Standalone'!$C$62:$C$104,0),MATCH(G$46,'Olin Standalone'!$D$62:$S$62,0))),0)+IFERROR(N(INDEX('Huntsman Standalone'!$D$63:$S$105,MATCH($B73,'Huntsman Standalone'!$C$63:$C$105,0),MATCH(G$46,'Huntsman Standalone'!$D$63:$S$63,0))),0),F73+G100))</f>
        <v>-7.1438888888888901</v>
      </c>
      <c r="H73" s="53">
        <f ca="1">IF(YEAR(H$46)='Main Page &amp; Assumptions'!$D$14-1,'Pro Forma Opening BS'!$G$30,IF(YEAR(H$46)&lt;'Main Page &amp; Assumptions'!$D$14-1,IFERROR(N(INDEX('Olin Standalone'!$D$62:$S$104,MATCH($B73,'Olin Standalone'!$C$62:$C$104,0),MATCH(H$46,'Olin Standalone'!$D$62:$S$62,0))),0)+IFERROR(N(INDEX('Huntsman Standalone'!$D$63:$S$105,MATCH($B73,'Huntsman Standalone'!$C$63:$C$105,0),MATCH(H$46,'Huntsman Standalone'!$D$63:$S$63,0))),0),G73+H100))</f>
        <v>-4.1173611111111121</v>
      </c>
      <c r="I73" s="101">
        <f ca="1">IF(YEAR(I$46)='Main Page &amp; Assumptions'!$D$14-1,'Pro Forma Opening BS'!$G$30,IF(YEAR(I$46)&lt;'Main Page &amp; Assumptions'!$D$14-1,IFERROR(N(INDEX('Olin Standalone'!$D$62:$S$104,MATCH($B73,'Olin Standalone'!$C$62:$C$104,0),MATCH(I$46,'Olin Standalone'!$D$62:$S$62,0))),0)+IFERROR(N(INDEX('Huntsman Standalone'!$D$63:$S$105,MATCH($B73,'Huntsman Standalone'!$C$63:$C$105,0),MATCH(I$46,'Huntsman Standalone'!$D$63:$S$63,0))),0),H73+I100))</f>
        <v>-2.6708333333333343</v>
      </c>
    </row>
    <row r="74" spans="1:10" x14ac:dyDescent="0.15">
      <c r="B74" s="2" t="s">
        <v>275</v>
      </c>
      <c r="C74" s="39">
        <f>IF(YEAR(C$46)='Main Page &amp; Assumptions'!$D$14-1,'Pro Forma Opening BS'!$G$31,IFERROR(N(INDEX('Olin Standalone'!$D$62:$S$104,MATCH($B74,'Olin Standalone'!$C$62:$C$104,0),MATCH(C$46,'Olin Standalone'!$D$62:$S$62,0))),0)+IFERROR(N(INDEX('Huntsman Standalone'!$D$63:$S$105,MATCH($B74,'Huntsman Standalone'!$C$63:$C$105,0),MATCH(C$46,'Huntsman Standalone'!$D$63:$S$63,0))),0))</f>
        <v>0</v>
      </c>
      <c r="D74" s="295">
        <f>IF(YEAR(D$46)='Main Page &amp; Assumptions'!$D$14-1,'Pro Forma Opening BS'!$G$31,IFERROR(N(INDEX('Olin Standalone'!$D$62:$S$104,MATCH($B74,'Olin Standalone'!$C$62:$C$104,0),MATCH(D$46,'Olin Standalone'!$D$62:$S$62,0))),0)+IFERROR(N(INDEX('Huntsman Standalone'!$D$63:$S$105,MATCH($B74,'Huntsman Standalone'!$C$63:$C$105,0),MATCH(D$46,'Huntsman Standalone'!$D$63:$S$63,0))),0))</f>
        <v>0</v>
      </c>
      <c r="E74" s="296">
        <f>IF(YEAR(E$46)='Main Page &amp; Assumptions'!$D$14-1,'Pro Forma Opening BS'!$G$31,IFERROR(N(INDEX('Olin Standalone'!$D$62:$S$104,MATCH($B74,'Olin Standalone'!$C$62:$C$104,0),MATCH(E$46,'Olin Standalone'!$D$62:$S$62,0))),0)+IFERROR(N(INDEX('Huntsman Standalone'!$D$63:$S$105,MATCH($B74,'Huntsman Standalone'!$C$63:$C$105,0),MATCH(E$46,'Huntsman Standalone'!$D$63:$S$63,0))),0))</f>
        <v>0</v>
      </c>
      <c r="F74" s="296">
        <f>IF(YEAR(F$46)='Main Page &amp; Assumptions'!$D$14-1,'Pro Forma Opening BS'!$G$31,IFERROR(N(INDEX('Olin Standalone'!$D$62:$S$104,MATCH($B74,'Olin Standalone'!$C$62:$C$104,0),MATCH(F$46,'Olin Standalone'!$D$62:$S$62,0))),0)+IFERROR(N(INDEX('Huntsman Standalone'!$D$63:$S$105,MATCH($B74,'Huntsman Standalone'!$C$63:$C$105,0),MATCH(F$46,'Huntsman Standalone'!$D$63:$S$63,0))),0))</f>
        <v>0</v>
      </c>
      <c r="G74" s="296">
        <f>IF(YEAR(G$46)='Main Page &amp; Assumptions'!$D$14-1,'Pro Forma Opening BS'!$G$31,IFERROR(N(INDEX('Olin Standalone'!$D$62:$S$104,MATCH($B74,'Olin Standalone'!$C$62:$C$104,0),MATCH(G$46,'Olin Standalone'!$D$62:$S$62,0))),0)+IFERROR(N(INDEX('Huntsman Standalone'!$D$63:$S$105,MATCH($B74,'Huntsman Standalone'!$C$63:$C$105,0),MATCH(G$46,'Huntsman Standalone'!$D$63:$S$63,0))),0))</f>
        <v>0</v>
      </c>
      <c r="H74" s="296">
        <f>IF(YEAR(H$46)='Main Page &amp; Assumptions'!$D$14-1,'Pro Forma Opening BS'!$G$31,IFERROR(N(INDEX('Olin Standalone'!$D$62:$S$104,MATCH($B74,'Olin Standalone'!$C$62:$C$104,0),MATCH(H$46,'Olin Standalone'!$D$62:$S$62,0))),0)+IFERROR(N(INDEX('Huntsman Standalone'!$D$63:$S$105,MATCH($B74,'Huntsman Standalone'!$C$63:$C$105,0),MATCH(H$46,'Huntsman Standalone'!$D$63:$S$63,0))),0))</f>
        <v>0</v>
      </c>
      <c r="I74" s="297">
        <f>IF(YEAR(I$46)='Main Page &amp; Assumptions'!$D$14-1,'Pro Forma Opening BS'!$G$31,IFERROR(N(INDEX('Olin Standalone'!$D$62:$S$104,MATCH($B74,'Olin Standalone'!$C$62:$C$104,0),MATCH(I$46,'Olin Standalone'!$D$62:$S$62,0))),0)+IFERROR(N(INDEX('Huntsman Standalone'!$D$63:$S$105,MATCH($B74,'Huntsman Standalone'!$C$63:$C$105,0),MATCH(I$46,'Huntsman Standalone'!$D$63:$S$63,0))),0))</f>
        <v>0</v>
      </c>
    </row>
    <row r="75" spans="1:10" x14ac:dyDescent="0.15">
      <c r="B75" s="48" t="s">
        <v>276</v>
      </c>
      <c r="C75" s="57">
        <f t="shared" ref="C75:I75" si="14">SUM(C72:C74)</f>
        <v>4375.6000000000004</v>
      </c>
      <c r="D75" s="292">
        <f t="shared" ca="1" si="14"/>
        <v>3992.5265277777776</v>
      </c>
      <c r="E75" s="293">
        <f t="shared" ca="1" si="14"/>
        <v>4245.4530555555557</v>
      </c>
      <c r="F75" s="293">
        <f t="shared" ca="1" si="14"/>
        <v>4251.0045833333334</v>
      </c>
      <c r="G75" s="293">
        <f t="shared" ca="1" si="14"/>
        <v>3728.4561111111111</v>
      </c>
      <c r="H75" s="293">
        <f t="shared" ca="1" si="14"/>
        <v>3731.4826388888887</v>
      </c>
      <c r="I75" s="294">
        <f t="shared" ca="1" si="14"/>
        <v>3732.9291666666668</v>
      </c>
    </row>
    <row r="76" spans="1:10" x14ac:dyDescent="0.15">
      <c r="B76" t="s">
        <v>239</v>
      </c>
      <c r="C76" s="39">
        <f>IF(YEAR(C$46)='Main Page &amp; Assumptions'!$D$14-1,'Pro Forma Opening BS'!$G$33,IF(YEAR(C$46)&gt;='Main Page &amp; Assumptions'!$D$14,'Pro Forma Opening BS'!$G$33-'Main Page &amp; Assumptions'!$J$18*SUM('Pro Forma D&amp;A'!$C$41:C$41),IFERROR(N(INDEX('Olin Standalone'!$D$62:$S$104,MATCH($B76,'Olin Standalone'!$C$62:$C$104,0),MATCH(C$46,'Olin Standalone'!$D$62:$S$62,0))),0)+IFERROR(N(INDEX('Huntsman Standalone'!$D$63:$S$105,MATCH($B76,'Huntsman Standalone'!$C$63:$C$105,0),MATCH(C$46,'Huntsman Standalone'!$D$63:$S$63,0))),0)))</f>
        <v>473.6</v>
      </c>
      <c r="D76" s="100">
        <f>IF(YEAR(D$46)='Main Page &amp; Assumptions'!$D$14-1,'Pro Forma Opening BS'!$G$33,IF(YEAR(D$46)&gt;='Main Page &amp; Assumptions'!$D$14,'Pro Forma Opening BS'!$G$33-'Main Page &amp; Assumptions'!$J$18*SUM('Pro Forma D&amp;A'!$C$41:D$41),IFERROR(N(INDEX('Olin Standalone'!$D$62:$S$104,MATCH($B76,'Olin Standalone'!$C$62:$C$104,0),MATCH(D$46,'Olin Standalone'!$D$62:$S$62,0))),0)+IFERROR(N(INDEX('Huntsman Standalone'!$D$63:$S$105,MATCH($B76,'Huntsman Standalone'!$C$63:$C$105,0),MATCH(D$46,'Huntsman Standalone'!$D$63:$S$63,0))),0)))</f>
        <v>540.08000000000004</v>
      </c>
      <c r="E76" s="53">
        <f>IF(YEAR(E$46)='Main Page &amp; Assumptions'!$D$14-1,'Pro Forma Opening BS'!$G$33,IF(YEAR(E$46)&gt;='Main Page &amp; Assumptions'!$D$14,'Pro Forma Opening BS'!$G$33-'Main Page &amp; Assumptions'!$J$18*SUM('Pro Forma D&amp;A'!$C$41:E$41),IFERROR(N(INDEX('Olin Standalone'!$D$62:$S$104,MATCH($B76,'Olin Standalone'!$C$62:$C$104,0),MATCH(E$46,'Olin Standalone'!$D$62:$S$62,0))),0)+IFERROR(N(INDEX('Huntsman Standalone'!$D$63:$S$105,MATCH($B76,'Huntsman Standalone'!$C$63:$C$105,0),MATCH(E$46,'Huntsman Standalone'!$D$63:$S$63,0))),0)))</f>
        <v>530.28800000000001</v>
      </c>
      <c r="F76" s="53">
        <f>IF(YEAR(F$46)='Main Page &amp; Assumptions'!$D$14-1,'Pro Forma Opening BS'!$G$33,IF(YEAR(F$46)&gt;='Main Page &amp; Assumptions'!$D$14,'Pro Forma Opening BS'!$G$33-'Main Page &amp; Assumptions'!$J$18*SUM('Pro Forma D&amp;A'!$C$41:F$41),IFERROR(N(INDEX('Olin Standalone'!$D$62:$S$104,MATCH($B76,'Olin Standalone'!$C$62:$C$104,0),MATCH(F$46,'Olin Standalone'!$D$62:$S$62,0))),0)+IFERROR(N(INDEX('Huntsman Standalone'!$D$63:$S$105,MATCH($B76,'Huntsman Standalone'!$C$63:$C$105,0),MATCH(F$46,'Huntsman Standalone'!$D$63:$S$63,0))),0)))</f>
        <v>520.49600000000009</v>
      </c>
      <c r="G76" s="53">
        <f>IF(YEAR(G$46)='Main Page &amp; Assumptions'!$D$14-1,'Pro Forma Opening BS'!$G$33,IF(YEAR(G$46)&gt;='Main Page &amp; Assumptions'!$D$14,'Pro Forma Opening BS'!$G$33-'Main Page &amp; Assumptions'!$J$18*SUM('Pro Forma D&amp;A'!$C$41:G$41),IFERROR(N(INDEX('Olin Standalone'!$D$62:$S$104,MATCH($B76,'Olin Standalone'!$C$62:$C$104,0),MATCH(G$46,'Olin Standalone'!$D$62:$S$62,0))),0)+IFERROR(N(INDEX('Huntsman Standalone'!$D$63:$S$105,MATCH($B76,'Huntsman Standalone'!$C$63:$C$105,0),MATCH(G$46,'Huntsman Standalone'!$D$63:$S$63,0))),0)))</f>
        <v>510.70400000000006</v>
      </c>
      <c r="H76" s="53">
        <f>IF(YEAR(H$46)='Main Page &amp; Assumptions'!$D$14-1,'Pro Forma Opening BS'!$G$33,IF(YEAR(H$46)&gt;='Main Page &amp; Assumptions'!$D$14,'Pro Forma Opening BS'!$G$33-'Main Page &amp; Assumptions'!$J$18*SUM('Pro Forma D&amp;A'!$C$41:H$41),IFERROR(N(INDEX('Olin Standalone'!$D$62:$S$104,MATCH($B76,'Olin Standalone'!$C$62:$C$104,0),MATCH(H$46,'Olin Standalone'!$D$62:$S$62,0))),0)+IFERROR(N(INDEX('Huntsman Standalone'!$D$63:$S$105,MATCH($B76,'Huntsman Standalone'!$C$63:$C$105,0),MATCH(H$46,'Huntsman Standalone'!$D$63:$S$63,0))),0)))</f>
        <v>500.91200000000003</v>
      </c>
      <c r="I76" s="101">
        <f>IF(YEAR(I$46)='Main Page &amp; Assumptions'!$D$14-1,'Pro Forma Opening BS'!$G$33,IF(YEAR(I$46)&gt;='Main Page &amp; Assumptions'!$D$14,'Pro Forma Opening BS'!$G$33-'Main Page &amp; Assumptions'!$J$18*SUM('Pro Forma D&amp;A'!$C$41:I$41),IFERROR(N(INDEX('Olin Standalone'!$D$62:$S$104,MATCH($B76,'Olin Standalone'!$C$62:$C$104,0),MATCH(I$46,'Olin Standalone'!$D$62:$S$62,0))),0)+IFERROR(N(INDEX('Huntsman Standalone'!$D$63:$S$105,MATCH($B76,'Huntsman Standalone'!$C$63:$C$105,0),MATCH(I$46,'Huntsman Standalone'!$D$63:$S$63,0))),0)))</f>
        <v>491.12000000000006</v>
      </c>
    </row>
    <row r="77" spans="1:10" x14ac:dyDescent="0.15">
      <c r="B77" t="s">
        <v>277</v>
      </c>
      <c r="C77" s="39">
        <f>IF(YEAR(C$46)='Main Page &amp; Assumptions'!$D$14-1,'Pro Forma Opening BS'!$G$34,IFERROR(N(INDEX('Olin Standalone'!$D$62:$S$104,MATCH($B77,'Olin Standalone'!$C$62:$C$104,0),MATCH(C$46,'Olin Standalone'!$D$62:$S$62,0))),0)+IFERROR(N(INDEX('Huntsman Standalone'!$D$63:$S$105,MATCH($B77,'Huntsman Standalone'!$C$63:$C$105,0),MATCH(C$46,'Huntsman Standalone'!$D$63:$S$63,0))),0))</f>
        <v>1445.5</v>
      </c>
      <c r="D77" s="100">
        <f>IF(YEAR(D$46)='Main Page &amp; Assumptions'!$D$14-1,'Pro Forma Opening BS'!$G$34,IFERROR(N(INDEX('Olin Standalone'!$D$62:$S$104,MATCH($B77,'Olin Standalone'!$C$62:$C$104,0),MATCH(D$46,'Olin Standalone'!$D$62:$S$62,0))),0)+IFERROR(N(INDEX('Huntsman Standalone'!$D$63:$S$105,MATCH($B77,'Huntsman Standalone'!$C$63:$C$105,0),MATCH(D$46,'Huntsman Standalone'!$D$63:$S$63,0))),0))</f>
        <v>1679.2542418000003</v>
      </c>
      <c r="E77" s="53">
        <f>IF(YEAR(E$46)='Main Page &amp; Assumptions'!$D$14-1,'Pro Forma Opening BS'!$G$34,IFERROR(N(INDEX('Olin Standalone'!$D$62:$S$104,MATCH($B77,'Olin Standalone'!$C$62:$C$104,0),MATCH(E$46,'Olin Standalone'!$D$62:$S$62,0))),0)+IFERROR(N(INDEX('Huntsman Standalone'!$D$63:$S$105,MATCH($B77,'Huntsman Standalone'!$C$63:$C$105,0),MATCH(E$46,'Huntsman Standalone'!$D$63:$S$63,0))),0))</f>
        <v>1598.0706757850003</v>
      </c>
      <c r="F77" s="53">
        <f>IF(YEAR(F$46)='Main Page &amp; Assumptions'!$D$14-1,'Pro Forma Opening BS'!$G$34,IFERROR(N(INDEX('Olin Standalone'!$D$62:$S$104,MATCH($B77,'Olin Standalone'!$C$62:$C$104,0),MATCH(F$46,'Olin Standalone'!$D$62:$S$62,0))),0)+IFERROR(N(INDEX('Huntsman Standalone'!$D$63:$S$105,MATCH($B77,'Huntsman Standalone'!$C$63:$C$105,0),MATCH(F$46,'Huntsman Standalone'!$D$63:$S$63,0))),0))</f>
        <v>1721.5056287325101</v>
      </c>
      <c r="G77" s="53">
        <f>IF(YEAR(G$46)='Main Page &amp; Assumptions'!$D$14-1,'Pro Forma Opening BS'!$G$34,IFERROR(N(INDEX('Olin Standalone'!$D$62:$S$104,MATCH($B77,'Olin Standalone'!$C$62:$C$104,0),MATCH(G$46,'Olin Standalone'!$D$62:$S$62,0))),0)+IFERROR(N(INDEX('Huntsman Standalone'!$D$63:$S$105,MATCH($B77,'Huntsman Standalone'!$C$63:$C$105,0),MATCH(G$46,'Huntsman Standalone'!$D$63:$S$63,0))),0))</f>
        <v>1796.9584968595145</v>
      </c>
      <c r="H77" s="53">
        <f>IF(YEAR(H$46)='Main Page &amp; Assumptions'!$D$14-1,'Pro Forma Opening BS'!$G$34,IFERROR(N(INDEX('Olin Standalone'!$D$62:$S$104,MATCH($B77,'Olin Standalone'!$C$62:$C$104,0),MATCH(H$46,'Olin Standalone'!$D$62:$S$62,0))),0)+IFERROR(N(INDEX('Huntsman Standalone'!$D$63:$S$105,MATCH($B77,'Huntsman Standalone'!$C$63:$C$105,0),MATCH(H$46,'Huntsman Standalone'!$D$63:$S$63,0))),0))</f>
        <v>1910.9353665389453</v>
      </c>
      <c r="I77" s="101">
        <f>IF(YEAR(I$46)='Main Page &amp; Assumptions'!$D$14-1,'Pro Forma Opening BS'!$G$34,IFERROR(N(INDEX('Olin Standalone'!$D$62:$S$104,MATCH($B77,'Olin Standalone'!$C$62:$C$104,0),MATCH(I$46,'Olin Standalone'!$D$62:$S$62,0))),0)+IFERROR(N(INDEX('Huntsman Standalone'!$D$63:$S$105,MATCH($B77,'Huntsman Standalone'!$C$63:$C$105,0),MATCH(I$46,'Huntsman Standalone'!$D$63:$S$63,0))),0))</f>
        <v>2005.9740606464484</v>
      </c>
    </row>
    <row r="78" spans="1:10" x14ac:dyDescent="0.15">
      <c r="B78" t="s">
        <v>278</v>
      </c>
      <c r="C78" s="39">
        <f>IF(YEAR(C$46)&gt;='Main Page &amp; Assumptions'!$D$14-1,'Pro Forma Opening BS'!$G$35,IFERROR(N(INDEX('Olin Standalone'!$D$62:$S$104,MATCH($B78,'Olin Standalone'!$C$62:$C$104,0),MATCH(C$46,'Olin Standalone'!$D$62:$S$62,0))),0)+IFERROR(N(INDEX('Huntsman Standalone'!$D$63:$S$105,MATCH($B78,'Huntsman Standalone'!$C$63:$C$105,0),MATCH(C$46,'Huntsman Standalone'!$D$63:$S$63,0))),0))</f>
        <v>261.7</v>
      </c>
      <c r="D78" s="100">
        <f>IF(
    YEAR(D$46)='Main Page &amp; Assumptions'!$D$14-1,
    'Pro Forma Opening BS'!$G$35,
    IF(
        YEAR(D$46)&gt;='Main Page &amp; Assumptions'!$D$14,
        C78+D$34,
        IFERROR(
            N(INDEX(
                'Olin Standalone'!$D$62:$S$104,
                MATCH($B78,'Olin Standalone'!$C$62:$C$104,0),
                MATCH(D$46,'Olin Standalone'!$D$62:$S$62,0)
            )),
            0
        )
        +
        IFERROR(
            N(INDEX(
                'Huntsman Standalone'!$D$63:$S$105,
                MATCH($B78,'Huntsman Standalone'!$C$63:$C$105,0),
                MATCH(D$46,'Huntsman Standalone'!$D$63:$S$63,0)
            )),
            0
        )
    )
)</f>
        <v>258.7</v>
      </c>
      <c r="E78" s="53">
        <f>IF(
    YEAR(E$46)='Main Page &amp; Assumptions'!$D$14-1,
    'Pro Forma Opening BS'!$G$35,
    IF(
        YEAR(E$46)&gt;='Main Page &amp; Assumptions'!$D$14,
        D78+E$34,
        IFERROR(
            N(INDEX(
                'Olin Standalone'!$D$62:$S$104,
                MATCH($B78,'Olin Standalone'!$C$62:$C$104,0),
                MATCH(E$46,'Olin Standalone'!$D$62:$S$62,0)
            )),
            0
        )
        +
        IFERROR(
            N(INDEX(
                'Huntsman Standalone'!$D$63:$S$105,
                MATCH($B78,'Huntsman Standalone'!$C$63:$C$105,0),
                MATCH(E$46,'Huntsman Standalone'!$D$63:$S$63,0)
            )),
            0
        )
    )
)</f>
        <v>261.7</v>
      </c>
      <c r="F78" s="53">
        <f>IF(
    YEAR(F$46)='Main Page &amp; Assumptions'!$D$14-1,
    'Pro Forma Opening BS'!$G$35,
    IF(
        YEAR(F$46)&gt;='Main Page &amp; Assumptions'!$D$14,
        E78+F$34,
        IFERROR(
            N(INDEX(
                'Olin Standalone'!$D$62:$S$104,
                MATCH($B78,'Olin Standalone'!$C$62:$C$104,0),
                MATCH(F$46,'Olin Standalone'!$D$62:$S$62,0)
            )),
            0
        )
        +
        IFERROR(
            N(INDEX(
                'Huntsman Standalone'!$D$63:$S$105,
                MATCH($B78,'Huntsman Standalone'!$C$63:$C$105,0),
                MATCH(F$46,'Huntsman Standalone'!$D$63:$S$63,0)
            )),
            0
        )
    )
)</f>
        <v>264.7</v>
      </c>
      <c r="G78" s="53">
        <f>IF(
    YEAR(G$46)='Main Page &amp; Assumptions'!$D$14-1,
    'Pro Forma Opening BS'!$G$35,
    IF(
        YEAR(G$46)&gt;='Main Page &amp; Assumptions'!$D$14,
        F78+G$34,
        IFERROR(
            N(INDEX(
                'Olin Standalone'!$D$62:$S$104,
                MATCH($B78,'Olin Standalone'!$C$62:$C$104,0),
                MATCH(G$46,'Olin Standalone'!$D$62:$S$62,0)
            )),
            0
        )
        +
        IFERROR(
            N(INDEX(
                'Huntsman Standalone'!$D$63:$S$105,
                MATCH($B78,'Huntsman Standalone'!$C$63:$C$105,0),
                MATCH(G$46,'Huntsman Standalone'!$D$63:$S$63,0)
            )),
            0
        )
    )
)</f>
        <v>267.7</v>
      </c>
      <c r="H78" s="53">
        <f>IF(
    YEAR(H$46)='Main Page &amp; Assumptions'!$D$14-1,
    'Pro Forma Opening BS'!$G$35,
    IF(
        YEAR(H$46)&gt;='Main Page &amp; Assumptions'!$D$14,
        G78+H$34,
        IFERROR(
            N(INDEX(
                'Olin Standalone'!$D$62:$S$104,
                MATCH($B78,'Olin Standalone'!$C$62:$C$104,0),
                MATCH(H$46,'Olin Standalone'!$D$62:$S$62,0)
            )),
            0
        )
        +
        IFERROR(
            N(INDEX(
                'Huntsman Standalone'!$D$63:$S$105,
                MATCH($B78,'Huntsman Standalone'!$C$63:$C$105,0),
                MATCH(H$46,'Huntsman Standalone'!$D$63:$S$63,0)
            )),
            0
        )
    )
)</f>
        <v>270.7</v>
      </c>
      <c r="I78" s="101">
        <f>IF(
    YEAR(I$46)='Main Page &amp; Assumptions'!$D$14-1,
    'Pro Forma Opening BS'!$G$35,
    IF(
        YEAR(I$46)&gt;='Main Page &amp; Assumptions'!$D$14,
        H78+I$34,
        IFERROR(
            N(INDEX(
                'Olin Standalone'!$D$62:$S$104,
                MATCH($B78,'Olin Standalone'!$C$62:$C$104,0),
                MATCH(I$46,'Olin Standalone'!$D$62:$S$62,0)
            )),
            0
        )
        +
        IFERROR(
            N(INDEX(
                'Huntsman Standalone'!$D$63:$S$105,
                MATCH($B78,'Huntsman Standalone'!$C$63:$C$105,0),
                MATCH(I$46,'Huntsman Standalone'!$D$63:$S$63,0)
            )),
            0
        )
    )
)</f>
        <v>273.7</v>
      </c>
    </row>
    <row r="79" spans="1:10" x14ac:dyDescent="0.15">
      <c r="B79" s="88" t="s">
        <v>149</v>
      </c>
      <c r="C79" s="89">
        <f t="shared" ref="C79:I79" si="15">SUM(C70,C75:C78)</f>
        <v>9774.9000000000015</v>
      </c>
      <c r="D79" s="289">
        <f t="shared" ca="1" si="15"/>
        <v>9636.6038204693941</v>
      </c>
      <c r="E79" s="290">
        <f t="shared" ca="1" si="15"/>
        <v>9614.9809839576101</v>
      </c>
      <c r="F79" s="290">
        <f t="shared" ca="1" si="15"/>
        <v>9902.9706216041741</v>
      </c>
      <c r="G79" s="290">
        <f t="shared" ca="1" si="15"/>
        <v>10062.133532664215</v>
      </c>
      <c r="H79" s="290">
        <f t="shared" ca="1" si="15"/>
        <v>9794.9699573249054</v>
      </c>
      <c r="I79" s="291">
        <f t="shared" ca="1" si="15"/>
        <v>10021.424907901343</v>
      </c>
    </row>
    <row r="80" spans="1:10" x14ac:dyDescent="0.15">
      <c r="C80" s="39"/>
      <c r="D80" s="100"/>
      <c r="E80" s="53"/>
      <c r="F80" s="53"/>
      <c r="G80" s="53"/>
      <c r="H80" s="53"/>
      <c r="I80" s="101"/>
    </row>
    <row r="81" spans="1:10" x14ac:dyDescent="0.15">
      <c r="B81" t="s">
        <v>60</v>
      </c>
      <c r="C81" s="39">
        <f>IF(YEAR(C$46)='Main Page &amp; Assumptions'!$D$14-1,'Pro Forma Opening BS'!$G$38,IF(YEAR(C$46)&gt;='Main Page &amp; Assumptions'!$D$14,IFERROR(N(INDEX('Olin Standalone'!$D$62:$S$104,MATCH($B81,'Olin Standalone'!$C$62:$C$104,0),MATCH(C$46,'Olin Standalone'!$D$62:$S$62,0))),0)+'Main Page &amp; Assumptions'!$J$7,IFERROR(N(INDEX('Olin Standalone'!$D$62:$S$104,MATCH($B81,'Olin Standalone'!$C$62:$C$104,0),MATCH(C$46,'Olin Standalone'!$D$62:$S$62,0))),0)+IFERROR(N(INDEX('Huntsman Standalone'!$D$63:$S$105,MATCH($B81,'Huntsman Standalone'!$C$63:$C$105,0),MATCH(C$46,'Huntsman Standalone'!$D$63:$S$63,0))),0)))</f>
        <v>116.6</v>
      </c>
      <c r="D81" s="100">
        <f>IF(YEAR(D$46)='Main Page &amp; Assumptions'!$D$14-1,'Pro Forma Opening BS'!$G$38,IF(YEAR(D$46)&gt;='Main Page &amp; Assumptions'!$D$14,IFERROR(N(INDEX('Olin Standalone'!$D$62:$S$104,MATCH($B81,'Olin Standalone'!$C$62:$C$104,0),MATCH(D$46,'Olin Standalone'!$D$62:$S$62,0))),0)+'Main Page &amp; Assumptions'!$J$7,IFERROR(N(INDEX('Olin Standalone'!$D$62:$S$104,MATCH($B81,'Olin Standalone'!$C$62:$C$104,0),MATCH(D$46,'Olin Standalone'!$D$62:$S$62,0))),0)+IFERROR(N(INDEX('Huntsman Standalone'!$D$63:$S$105,MATCH($B81,'Huntsman Standalone'!$C$63:$C$105,0),MATCH(D$46,'Huntsman Standalone'!$D$63:$S$63,0))),0)))</f>
        <v>211.72755999999998</v>
      </c>
      <c r="E81" s="53">
        <f>IF(YEAR(E$46)='Main Page &amp; Assumptions'!$D$14-1,'Pro Forma Opening BS'!$G$38,IF(YEAR(E$46)&gt;='Main Page &amp; Assumptions'!$D$14,IFERROR(N(INDEX('Olin Standalone'!$D$62:$S$104,MATCH($B81,'Olin Standalone'!$C$62:$C$104,0),MATCH(E$46,'Olin Standalone'!$D$62:$S$62,0))),0)+'Main Page &amp; Assumptions'!$J$7,IFERROR(N(INDEX('Olin Standalone'!$D$62:$S$104,MATCH($B81,'Olin Standalone'!$C$62:$C$104,0),MATCH(E$46,'Olin Standalone'!$D$62:$S$62,0))),0)+IFERROR(N(INDEX('Huntsman Standalone'!$D$63:$S$105,MATCH($B81,'Huntsman Standalone'!$C$63:$C$105,0),MATCH(E$46,'Huntsman Standalone'!$D$63:$S$63,0))),0)))</f>
        <v>212.22755999999998</v>
      </c>
      <c r="F81" s="53">
        <f>IF(YEAR(F$46)='Main Page &amp; Assumptions'!$D$14-1,'Pro Forma Opening BS'!$G$38,IF(YEAR(F$46)&gt;='Main Page &amp; Assumptions'!$D$14,IFERROR(N(INDEX('Olin Standalone'!$D$62:$S$104,MATCH($B81,'Olin Standalone'!$C$62:$C$104,0),MATCH(F$46,'Olin Standalone'!$D$62:$S$62,0))),0)+'Main Page &amp; Assumptions'!$J$7,IFERROR(N(INDEX('Olin Standalone'!$D$62:$S$104,MATCH($B81,'Olin Standalone'!$C$62:$C$104,0),MATCH(F$46,'Olin Standalone'!$D$62:$S$62,0))),0)+IFERROR(N(INDEX('Huntsman Standalone'!$D$63:$S$105,MATCH($B81,'Huntsman Standalone'!$C$63:$C$105,0),MATCH(F$46,'Huntsman Standalone'!$D$63:$S$63,0))),0)))</f>
        <v>212.72755999999998</v>
      </c>
      <c r="G81" s="53">
        <f>IF(YEAR(G$46)='Main Page &amp; Assumptions'!$D$14-1,'Pro Forma Opening BS'!$G$38,IF(YEAR(G$46)&gt;='Main Page &amp; Assumptions'!$D$14,IFERROR(N(INDEX('Olin Standalone'!$D$62:$S$104,MATCH($B81,'Olin Standalone'!$C$62:$C$104,0),MATCH(G$46,'Olin Standalone'!$D$62:$S$62,0))),0)+'Main Page &amp; Assumptions'!$J$7,IFERROR(N(INDEX('Olin Standalone'!$D$62:$S$104,MATCH($B81,'Olin Standalone'!$C$62:$C$104,0),MATCH(G$46,'Olin Standalone'!$D$62:$S$62,0))),0)+IFERROR(N(INDEX('Huntsman Standalone'!$D$63:$S$105,MATCH($B81,'Huntsman Standalone'!$C$63:$C$105,0),MATCH(G$46,'Huntsman Standalone'!$D$63:$S$63,0))),0)))</f>
        <v>213.22755999999998</v>
      </c>
      <c r="H81" s="53">
        <f>IF(YEAR(H$46)='Main Page &amp; Assumptions'!$D$14-1,'Pro Forma Opening BS'!$G$38,IF(YEAR(H$46)&gt;='Main Page &amp; Assumptions'!$D$14,IFERROR(N(INDEX('Olin Standalone'!$D$62:$S$104,MATCH($B81,'Olin Standalone'!$C$62:$C$104,0),MATCH(H$46,'Olin Standalone'!$D$62:$S$62,0))),0)+'Main Page &amp; Assumptions'!$J$7,IFERROR(N(INDEX('Olin Standalone'!$D$62:$S$104,MATCH($B81,'Olin Standalone'!$C$62:$C$104,0),MATCH(H$46,'Olin Standalone'!$D$62:$S$62,0))),0)+IFERROR(N(INDEX('Huntsman Standalone'!$D$63:$S$105,MATCH($B81,'Huntsman Standalone'!$C$63:$C$105,0),MATCH(H$46,'Huntsman Standalone'!$D$63:$S$63,0))),0)))</f>
        <v>213.72755999999998</v>
      </c>
      <c r="I81" s="101">
        <f>IF(YEAR(I$46)='Main Page &amp; Assumptions'!$D$14-1,'Pro Forma Opening BS'!$G$38,IF(YEAR(I$46)&gt;='Main Page &amp; Assumptions'!$D$14,IFERROR(N(INDEX('Olin Standalone'!$D$62:$S$104,MATCH($B81,'Olin Standalone'!$C$62:$C$104,0),MATCH(I$46,'Olin Standalone'!$D$62:$S$62,0))),0)+'Main Page &amp; Assumptions'!$J$7,IFERROR(N(INDEX('Olin Standalone'!$D$62:$S$104,MATCH($B81,'Olin Standalone'!$C$62:$C$104,0),MATCH(I$46,'Olin Standalone'!$D$62:$S$62,0))),0)+IFERROR(N(INDEX('Huntsman Standalone'!$D$63:$S$105,MATCH($B81,'Huntsman Standalone'!$C$63:$C$105,0),MATCH(I$46,'Huntsman Standalone'!$D$63:$S$63,0))),0)))</f>
        <v>214.22755999999998</v>
      </c>
    </row>
    <row r="82" spans="1:10" x14ac:dyDescent="0.15">
      <c r="B82" t="s">
        <v>153</v>
      </c>
      <c r="C82" s="39">
        <f>IF(YEAR(C$46)='Main Page &amp; Assumptions'!$D$14-1,'Pro Forma Opening BS'!$G$39,IF(YEAR(C$46)&gt;='Main Page &amp; Assumptions'!$D$14,B82+C99-(C81-B81),IFERROR(N(INDEX('Olin Standalone'!$D$62:$S$104,MATCH($B82,'Olin Standalone'!$C$62:$C$104,0),MATCH(C$46,'Olin Standalone'!$D$62:$S$62,0))),0)+IFERROR(N(INDEX('Huntsman Standalone'!$D$63:$S$105,MATCH($B82,'Huntsman Standalone'!$C$63:$C$105,0),MATCH(C$46,'Huntsman Standalone'!$D$63:$S$63,0))),0)))</f>
        <v>4261</v>
      </c>
      <c r="D82" s="100">
        <f>IF(
    YEAR(D$46)='Main Page &amp; Assumptions'!$D$14-1,
    'Pro Forma Opening BS'!$G$39,
    IF(
        YEAR(D$46)&gt;='Main Page &amp; Assumptions'!$D$14,
        C82+D99+D116-(D81-C81),
        IFERROR(
            N(INDEX(
                'Olin Standalone'!$D$62:$S$104,
                MATCH($B82,'Olin Standalone'!$C$62:$C$104,0),
                MATCH(D$46,'Olin Standalone'!$D$62:$S$62,0)
            )),
            0
        )
        +
        IFERROR(
            N(INDEX(
                'Huntsman Standalone'!$D$63:$S$105,
                MATCH($B82,'Huntsman Standalone'!$C$63:$C$105,0),
                MATCH(D$46,'Huntsman Standalone'!$D$63:$S$63,0)
            )),
            0
        )
    )
)</f>
        <v>2379.2592351999997</v>
      </c>
      <c r="E82" s="53">
        <f>IF(
    YEAR(E$46)='Main Page &amp; Assumptions'!$D$14-1,
    'Pro Forma Opening BS'!$G$39,
    IF(
        YEAR(E$46)&gt;='Main Page &amp; Assumptions'!$D$14,
        D82+E99+E116-(E81-D81),
        IFERROR(
            N(INDEX(
                'Olin Standalone'!$D$62:$S$104,
                MATCH($B82,'Olin Standalone'!$C$62:$C$104,0),
                MATCH(E$46,'Olin Standalone'!$D$62:$S$62,0)
            )),
            0
        )
        +
        IFERROR(
            N(INDEX(
                'Huntsman Standalone'!$D$63:$S$105,
                MATCH($B82,'Huntsman Standalone'!$C$63:$C$105,0),
                MATCH(E$46,'Huntsman Standalone'!$D$63:$S$63,0)
            )),
            0
        )
    )
)</f>
        <v>2440.7592351999997</v>
      </c>
      <c r="F82" s="53">
        <f>IF(
    YEAR(F$46)='Main Page &amp; Assumptions'!$D$14-1,
    'Pro Forma Opening BS'!$G$39,
    IF(
        YEAR(F$46)&gt;='Main Page &amp; Assumptions'!$D$14,
        E82+F99+F116-(F81-E81),
        IFERROR(
            N(INDEX(
                'Olin Standalone'!$D$62:$S$104,
                MATCH($B82,'Olin Standalone'!$C$62:$C$104,0),
                MATCH(F$46,'Olin Standalone'!$D$62:$S$62,0)
            )),
            0
        )
        +
        IFERROR(
            N(INDEX(
                'Huntsman Standalone'!$D$63:$S$105,
                MATCH($B82,'Huntsman Standalone'!$C$63:$C$105,0),
                MATCH(F$46,'Huntsman Standalone'!$D$63:$S$63,0)
            )),
            0
        )
    )
)</f>
        <v>2504.2592351999997</v>
      </c>
      <c r="G82" s="53">
        <f>IF(
    YEAR(G$46)='Main Page &amp; Assumptions'!$D$14-1,
    'Pro Forma Opening BS'!$G$39,
    IF(
        YEAR(G$46)&gt;='Main Page &amp; Assumptions'!$D$14,
        F82+G99+G116-(G81-F81),
        IFERROR(
            N(INDEX(
                'Olin Standalone'!$D$62:$S$104,
                MATCH($B82,'Olin Standalone'!$C$62:$C$104,0),
                MATCH(G$46,'Olin Standalone'!$D$62:$S$62,0)
            )),
            0
        )
        +
        IFERROR(
            N(INDEX(
                'Huntsman Standalone'!$D$63:$S$105,
                MATCH($B82,'Huntsman Standalone'!$C$63:$C$105,0),
                MATCH(G$46,'Huntsman Standalone'!$D$63:$S$63,0)
            )),
            0
        )
    )
)</f>
        <v>2568.7592351999997</v>
      </c>
      <c r="H82" s="53">
        <f>IF(
    YEAR(H$46)='Main Page &amp; Assumptions'!$D$14-1,
    'Pro Forma Opening BS'!$G$39,
    IF(
        YEAR(H$46)&gt;='Main Page &amp; Assumptions'!$D$14,
        G82+H99+H116-(H81-G81),
        IFERROR(
            N(INDEX(
                'Olin Standalone'!$D$62:$S$104,
                MATCH($B82,'Olin Standalone'!$C$62:$C$104,0),
                MATCH(H$46,'Olin Standalone'!$D$62:$S$62,0)
            )),
            0
        )
        +
        IFERROR(
            N(INDEX(
                'Huntsman Standalone'!$D$63:$S$105,
                MATCH($B82,'Huntsman Standalone'!$C$63:$C$105,0),
                MATCH(H$46,'Huntsman Standalone'!$D$63:$S$63,0)
            )),
            0
        )
    )
)</f>
        <v>2634.2592351999997</v>
      </c>
      <c r="I82" s="101">
        <f>IF(
    YEAR(I$46)='Main Page &amp; Assumptions'!$D$14-1,
    'Pro Forma Opening BS'!$G$39,
    IF(
        YEAR(I$46)&gt;='Main Page &amp; Assumptions'!$D$14,
        H82+I99+I116-(I81-H81),
        IFERROR(
            N(INDEX(
                'Olin Standalone'!$D$62:$S$104,
                MATCH($B82,'Olin Standalone'!$C$62:$C$104,0),
                MATCH(I$46,'Olin Standalone'!$D$62:$S$62,0)
            )),
            0
        )
        +
        IFERROR(
            N(INDEX(
                'Huntsman Standalone'!$D$63:$S$105,
                MATCH($B82,'Huntsman Standalone'!$C$63:$C$105,0),
                MATCH(I$46,'Huntsman Standalone'!$D$63:$S$63,0)
            )),
            0
        )
    )
)</f>
        <v>2699.7592351999997</v>
      </c>
    </row>
    <row r="83" spans="1:10" x14ac:dyDescent="0.15">
      <c r="B83" t="s">
        <v>279</v>
      </c>
      <c r="C83" s="39">
        <f>IF(YEAR(C$46)='Main Page &amp; Assumptions'!$D$14-1,'Pro Forma Opening BS'!$G$40,IF(YEAR(C$46)&gt;='Main Page &amp; Assumptions'!$D$14,B83+C35+C117,IFERROR(N(INDEX('Olin Standalone'!$D$62:$S$104,MATCH($B83,'Olin Standalone'!$C$62:$C$104,0),MATCH(C$46,'Olin Standalone'!$D$62:$S$62,0))),0)+IFERROR(N(INDEX('Huntsman Standalone'!$D$63:$S$105,MATCH($B83,'Huntsman Standalone'!$C$63:$C$105,0),MATCH(C$46,'Huntsman Standalone'!$D$63:$S$63,0))),0)))</f>
        <v>3949.8</v>
      </c>
      <c r="D83" s="100">
        <f ca="1">IF(YEAR(D$46)='Main Page &amp; Assumptions'!$D$14-1,'Pro Forma Opening BS'!$G$40,IF(YEAR(D$46)&gt;='Main Page &amp; Assumptions'!$D$14,C83+D35+D117,IFERROR(N(INDEX('Olin Standalone'!$D$62:$S$104,MATCH($B83,'Olin Standalone'!$C$62:$C$104,0),MATCH(D$46,'Olin Standalone'!$D$62:$S$62,0))),0)+IFERROR(N(INDEX('Huntsman Standalone'!$D$63:$S$105,MATCH($B83,'Huntsman Standalone'!$C$63:$C$105,0),MATCH(D$46,'Huntsman Standalone'!$D$63:$S$63,0))),0)))</f>
        <v>2025.3824908181336</v>
      </c>
      <c r="E83" s="53">
        <f ca="1">IF(YEAR(E$46)='Main Page &amp; Assumptions'!$D$14-1,'Pro Forma Opening BS'!$G$40,IF(YEAR(E$46)&gt;='Main Page &amp; Assumptions'!$D$14,D83+E35+E117,IFERROR(N(INDEX('Olin Standalone'!$D$62:$S$104,MATCH($B83,'Olin Standalone'!$C$62:$C$104,0),MATCH(E$46,'Olin Standalone'!$D$62:$S$62,0))),0)+IFERROR(N(INDEX('Huntsman Standalone'!$D$63:$S$105,MATCH($B83,'Huntsman Standalone'!$C$63:$C$105,0),MATCH(E$46,'Huntsman Standalone'!$D$63:$S$63,0))),0)))</f>
        <v>2124.8013997468684</v>
      </c>
      <c r="F83" s="53">
        <f ca="1">IF(YEAR(F$46)='Main Page &amp; Assumptions'!$D$14-1,'Pro Forma Opening BS'!$G$40,IF(YEAR(F$46)&gt;='Main Page &amp; Assumptions'!$D$14,E83+F35+F117,IFERROR(N(INDEX('Olin Standalone'!$D$62:$S$104,MATCH($B83,'Olin Standalone'!$C$62:$C$104,0),MATCH(F$46,'Olin Standalone'!$D$62:$S$62,0))),0)+IFERROR(N(INDEX('Huntsman Standalone'!$D$63:$S$105,MATCH($B83,'Huntsman Standalone'!$C$63:$C$105,0),MATCH(F$46,'Huntsman Standalone'!$D$63:$S$63,0))),0)))</f>
        <v>2711.3049973944676</v>
      </c>
      <c r="G83" s="53">
        <f ca="1">IF(YEAR(G$46)='Main Page &amp; Assumptions'!$D$14-1,'Pro Forma Opening BS'!$G$40,IF(YEAR(G$46)&gt;='Main Page &amp; Assumptions'!$D$14,F83+G35+G117,IFERROR(N(INDEX('Olin Standalone'!$D$62:$S$104,MATCH($B83,'Olin Standalone'!$C$62:$C$104,0),MATCH(G$46,'Olin Standalone'!$D$62:$S$62,0))),0)+IFERROR(N(INDEX('Huntsman Standalone'!$D$63:$S$105,MATCH($B83,'Huntsman Standalone'!$C$63:$C$105,0),MATCH(G$46,'Huntsman Standalone'!$D$63:$S$63,0))),0)))</f>
        <v>3658.1759492235205</v>
      </c>
      <c r="H83" s="53">
        <f ca="1">IF(YEAR(H$46)='Main Page &amp; Assumptions'!$D$14-1,'Pro Forma Opening BS'!$G$40,IF(YEAR(H$46)&gt;='Main Page &amp; Assumptions'!$D$14,G83+H35+H117,IFERROR(N(INDEX('Olin Standalone'!$D$62:$S$104,MATCH($B83,'Olin Standalone'!$C$62:$C$104,0),MATCH(H$46,'Olin Standalone'!$D$62:$S$62,0))),0)+IFERROR(N(INDEX('Huntsman Standalone'!$D$63:$S$105,MATCH($B83,'Huntsman Standalone'!$C$63:$C$105,0),MATCH(H$46,'Huntsman Standalone'!$D$63:$S$63,0))),0)))</f>
        <v>5018.2344634156871</v>
      </c>
      <c r="I83" s="101">
        <f ca="1">IF(YEAR(I$46)='Main Page &amp; Assumptions'!$D$14-1,'Pro Forma Opening BS'!$G$40,IF(YEAR(I$46)&gt;='Main Page &amp; Assumptions'!$D$14,H83+I35+I117,IFERROR(N(INDEX('Olin Standalone'!$D$62:$S$104,MATCH($B83,'Olin Standalone'!$C$62:$C$104,0),MATCH(I$46,'Olin Standalone'!$D$62:$S$62,0))),0)+IFERROR(N(INDEX('Huntsman Standalone'!$D$63:$S$105,MATCH($B83,'Huntsman Standalone'!$C$63:$C$105,0),MATCH(I$46,'Huntsman Standalone'!$D$63:$S$63,0))),0)))</f>
        <v>6714.9332582126308</v>
      </c>
    </row>
    <row r="84" spans="1:10" x14ac:dyDescent="0.15">
      <c r="A84" s="48"/>
      <c r="B84" t="s">
        <v>280</v>
      </c>
      <c r="C84" s="39">
        <f>IF(YEAR(C$46)&gt;='Main Page &amp; Assumptions'!$D$14-1,'Pro Forma Opening BS'!$G$41,IFERROR(N(INDEX('Olin Standalone'!$D$62:$S$104,MATCH($B84,'Olin Standalone'!$C$62:$C$104,0),MATCH(C$46,'Olin Standalone'!$D$62:$S$62,0))),0)+IFERROR(N(INDEX('Huntsman Standalone'!$D$63:$S$105,MATCH($B84,'Huntsman Standalone'!$C$63:$C$105,0),MATCH(C$46,'Huntsman Standalone'!$D$63:$S$63,0))),0))</f>
        <v>-2290</v>
      </c>
      <c r="D84" s="100">
        <f>IF(YEAR(D$46)&gt;='Main Page &amp; Assumptions'!$D$14-1,'Pro Forma Opening BS'!$G$41,IFERROR(N(INDEX('Olin Standalone'!$D$62:$S$104,MATCH($B84,'Olin Standalone'!$C$62:$C$104,0),MATCH(D$46,'Olin Standalone'!$D$62:$S$62,0))),0)+IFERROR(N(INDEX('Huntsman Standalone'!$D$63:$S$105,MATCH($B84,'Huntsman Standalone'!$C$63:$C$105,0),MATCH(D$46,'Huntsman Standalone'!$D$63:$S$63,0))),0))</f>
        <v>0</v>
      </c>
      <c r="E84" s="53">
        <f>IF(YEAR(E$46)&gt;='Main Page &amp; Assumptions'!$D$14-1,'Pro Forma Opening BS'!$G$41,IFERROR(N(INDEX('Olin Standalone'!$D$62:$S$104,MATCH($B84,'Olin Standalone'!$C$62:$C$104,0),MATCH(E$46,'Olin Standalone'!$D$62:$S$62,0))),0)+IFERROR(N(INDEX('Huntsman Standalone'!$D$63:$S$105,MATCH($B84,'Huntsman Standalone'!$C$63:$C$105,0),MATCH(E$46,'Huntsman Standalone'!$D$63:$S$63,0))),0))</f>
        <v>0</v>
      </c>
      <c r="F84" s="53">
        <f>IF(YEAR(F$46)&gt;='Main Page &amp; Assumptions'!$D$14-1,'Pro Forma Opening BS'!$G$41,IFERROR(N(INDEX('Olin Standalone'!$D$62:$S$104,MATCH($B84,'Olin Standalone'!$C$62:$C$104,0),MATCH(F$46,'Olin Standalone'!$D$62:$S$62,0))),0)+IFERROR(N(INDEX('Huntsman Standalone'!$D$63:$S$105,MATCH($B84,'Huntsman Standalone'!$C$63:$C$105,0),MATCH(F$46,'Huntsman Standalone'!$D$63:$S$63,0))),0))</f>
        <v>0</v>
      </c>
      <c r="G84" s="53">
        <f>IF(YEAR(G$46)&gt;='Main Page &amp; Assumptions'!$D$14-1,'Pro Forma Opening BS'!$G$41,IFERROR(N(INDEX('Olin Standalone'!$D$62:$S$104,MATCH($B84,'Olin Standalone'!$C$62:$C$104,0),MATCH(G$46,'Olin Standalone'!$D$62:$S$62,0))),0)+IFERROR(N(INDEX('Huntsman Standalone'!$D$63:$S$105,MATCH($B84,'Huntsman Standalone'!$C$63:$C$105,0),MATCH(G$46,'Huntsman Standalone'!$D$63:$S$63,0))),0))</f>
        <v>0</v>
      </c>
      <c r="H84" s="53">
        <f>IF(YEAR(H$46)&gt;='Main Page &amp; Assumptions'!$D$14-1,'Pro Forma Opening BS'!$G$41,IFERROR(N(INDEX('Olin Standalone'!$D$62:$S$104,MATCH($B84,'Olin Standalone'!$C$62:$C$104,0),MATCH(H$46,'Olin Standalone'!$D$62:$S$62,0))),0)+IFERROR(N(INDEX('Huntsman Standalone'!$D$63:$S$105,MATCH($B84,'Huntsman Standalone'!$C$63:$C$105,0),MATCH(H$46,'Huntsman Standalone'!$D$63:$S$63,0))),0))</f>
        <v>0</v>
      </c>
      <c r="I84" s="101">
        <f>IF(YEAR(I$46)&gt;='Main Page &amp; Assumptions'!$D$14-1,'Pro Forma Opening BS'!$G$41,IFERROR(N(INDEX('Olin Standalone'!$D$62:$S$104,MATCH($B84,'Olin Standalone'!$C$62:$C$104,0),MATCH(I$46,'Olin Standalone'!$D$62:$S$62,0))),0)+IFERROR(N(INDEX('Huntsman Standalone'!$D$63:$S$105,MATCH($B84,'Huntsman Standalone'!$C$63:$C$105,0),MATCH(I$46,'Huntsman Standalone'!$D$63:$S$63,0))),0))</f>
        <v>0</v>
      </c>
      <c r="J84" s="48"/>
    </row>
    <row r="85" spans="1:10" x14ac:dyDescent="0.15">
      <c r="B85" t="s">
        <v>281</v>
      </c>
      <c r="C85" s="39">
        <f>IF(YEAR(C$46)&gt;='Main Page &amp; Assumptions'!$D$14-1,'Pro Forma Opening BS'!$G$42,IFERROR(N(INDEX('Olin Standalone'!$D$62:$S$104,MATCH($B85,'Olin Standalone'!$C$62:$C$104,0),MATCH(C$46,'Olin Standalone'!$D$62:$S$62,0))),0)+IFERROR(N(INDEX('Huntsman Standalone'!$D$63:$S$105,MATCH($B85,'Huntsman Standalone'!$C$63:$C$105,0),MATCH(C$46,'Huntsman Standalone'!$D$63:$S$63,0))),0))</f>
        <v>-1471.5</v>
      </c>
      <c r="D85" s="100">
        <f>IF(YEAR(D$46)&gt;='Main Page &amp; Assumptions'!$D$14-1,'Pro Forma Opening BS'!$G$42,IFERROR(N(INDEX('Olin Standalone'!$D$62:$S$104,MATCH($B85,'Olin Standalone'!$C$62:$C$104,0),MATCH(D$46,'Olin Standalone'!$D$62:$S$62,0))),0)+IFERROR(N(INDEX('Huntsman Standalone'!$D$63:$S$105,MATCH($B85,'Huntsman Standalone'!$C$63:$C$105,0),MATCH(D$46,'Huntsman Standalone'!$D$63:$S$63,0))),0))</f>
        <v>-414.5</v>
      </c>
      <c r="E85" s="53">
        <f>IF(YEAR(E$46)&gt;='Main Page &amp; Assumptions'!$D$14-1,'Pro Forma Opening BS'!$G$42,IFERROR(N(INDEX('Olin Standalone'!$D$62:$S$104,MATCH($B85,'Olin Standalone'!$C$62:$C$104,0),MATCH(E$46,'Olin Standalone'!$D$62:$S$62,0))),0)+IFERROR(N(INDEX('Huntsman Standalone'!$D$63:$S$105,MATCH($B85,'Huntsman Standalone'!$C$63:$C$105,0),MATCH(E$46,'Huntsman Standalone'!$D$63:$S$63,0))),0))</f>
        <v>-414.5</v>
      </c>
      <c r="F85" s="53">
        <f>IF(YEAR(F$46)&gt;='Main Page &amp; Assumptions'!$D$14-1,'Pro Forma Opening BS'!$G$42,IFERROR(N(INDEX('Olin Standalone'!$D$62:$S$104,MATCH($B85,'Olin Standalone'!$C$62:$C$104,0),MATCH(F$46,'Olin Standalone'!$D$62:$S$62,0))),0)+IFERROR(N(INDEX('Huntsman Standalone'!$D$63:$S$105,MATCH($B85,'Huntsman Standalone'!$C$63:$C$105,0),MATCH(F$46,'Huntsman Standalone'!$D$63:$S$63,0))),0))</f>
        <v>-414.5</v>
      </c>
      <c r="G85" s="53">
        <f>IF(YEAR(G$46)&gt;='Main Page &amp; Assumptions'!$D$14-1,'Pro Forma Opening BS'!$G$42,IFERROR(N(INDEX('Olin Standalone'!$D$62:$S$104,MATCH($B85,'Olin Standalone'!$C$62:$C$104,0),MATCH(G$46,'Olin Standalone'!$D$62:$S$62,0))),0)+IFERROR(N(INDEX('Huntsman Standalone'!$D$63:$S$105,MATCH($B85,'Huntsman Standalone'!$C$63:$C$105,0),MATCH(G$46,'Huntsman Standalone'!$D$63:$S$63,0))),0))</f>
        <v>-414.5</v>
      </c>
      <c r="H85" s="53">
        <f>IF(YEAR(H$46)&gt;='Main Page &amp; Assumptions'!$D$14-1,'Pro Forma Opening BS'!$G$42,IFERROR(N(INDEX('Olin Standalone'!$D$62:$S$104,MATCH($B85,'Olin Standalone'!$C$62:$C$104,0),MATCH(H$46,'Olin Standalone'!$D$62:$S$62,0))),0)+IFERROR(N(INDEX('Huntsman Standalone'!$D$63:$S$105,MATCH($B85,'Huntsman Standalone'!$C$63:$C$105,0),MATCH(H$46,'Huntsman Standalone'!$D$63:$S$63,0))),0))</f>
        <v>-414.5</v>
      </c>
      <c r="I85" s="101">
        <f>IF(YEAR(I$46)&gt;='Main Page &amp; Assumptions'!$D$14-1,'Pro Forma Opening BS'!$G$42,IFERROR(N(INDEX('Olin Standalone'!$D$62:$S$104,MATCH($B85,'Olin Standalone'!$C$62:$C$104,0),MATCH(I$46,'Olin Standalone'!$D$62:$S$62,0))),0)+IFERROR(N(INDEX('Huntsman Standalone'!$D$63:$S$105,MATCH($B85,'Huntsman Standalone'!$C$63:$C$105,0),MATCH(I$46,'Huntsman Standalone'!$D$63:$S$63,0))),0))</f>
        <v>-414.5</v>
      </c>
    </row>
    <row r="86" spans="1:10" x14ac:dyDescent="0.15">
      <c r="B86" s="88" t="s">
        <v>159</v>
      </c>
      <c r="C86" s="89">
        <f t="shared" ref="C86:I86" si="16">SUM(C81:C85)</f>
        <v>4565.9000000000015</v>
      </c>
      <c r="D86" s="289">
        <f t="shared" ca="1" si="16"/>
        <v>4201.8692860181327</v>
      </c>
      <c r="E86" s="290">
        <f t="shared" ca="1" si="16"/>
        <v>4363.2881949468683</v>
      </c>
      <c r="F86" s="290">
        <f t="shared" ca="1" si="16"/>
        <v>5013.7917925944676</v>
      </c>
      <c r="G86" s="290">
        <f t="shared" ca="1" si="16"/>
        <v>6025.6627444235201</v>
      </c>
      <c r="H86" s="290">
        <f t="shared" ca="1" si="16"/>
        <v>7451.7212586156866</v>
      </c>
      <c r="I86" s="291">
        <f t="shared" ca="1" si="16"/>
        <v>9214.4200534126303</v>
      </c>
    </row>
    <row r="87" spans="1:10" x14ac:dyDescent="0.15">
      <c r="C87" s="39"/>
      <c r="D87" s="98"/>
      <c r="E87" s="39"/>
      <c r="F87" s="39"/>
      <c r="G87" s="39"/>
      <c r="H87" s="39"/>
      <c r="I87" s="99"/>
    </row>
    <row r="88" spans="1:10" ht="14" thickBot="1" x14ac:dyDescent="0.2">
      <c r="B88" s="133" t="s">
        <v>282</v>
      </c>
      <c r="C88" s="135">
        <f t="shared" ref="C88:I88" si="17">C79+C86</f>
        <v>14340.800000000003</v>
      </c>
      <c r="D88" s="134">
        <f t="shared" ca="1" si="17"/>
        <v>13838.473106487527</v>
      </c>
      <c r="E88" s="135">
        <f t="shared" ca="1" si="17"/>
        <v>13978.269178904478</v>
      </c>
      <c r="F88" s="135">
        <f t="shared" ca="1" si="17"/>
        <v>14916.762414198642</v>
      </c>
      <c r="G88" s="135">
        <f t="shared" ca="1" si="17"/>
        <v>16087.796277087735</v>
      </c>
      <c r="H88" s="135">
        <f t="shared" ca="1" si="17"/>
        <v>17246.691215940591</v>
      </c>
      <c r="I88" s="136">
        <f t="shared" ca="1" si="17"/>
        <v>19235.844961313975</v>
      </c>
    </row>
    <row r="89" spans="1:10" ht="14" thickTop="1" x14ac:dyDescent="0.15">
      <c r="B89" s="48"/>
      <c r="C89" s="48"/>
      <c r="D89" s="96"/>
      <c r="E89" s="57"/>
      <c r="F89" s="57"/>
      <c r="G89" s="57"/>
      <c r="H89" s="57"/>
      <c r="I89" s="97"/>
    </row>
    <row r="90" spans="1:10" x14ac:dyDescent="0.15">
      <c r="B90" s="41" t="s">
        <v>397</v>
      </c>
      <c r="C90" s="12">
        <f t="shared" ref="C90:I90" si="18">C63-C88</f>
        <v>0</v>
      </c>
      <c r="D90" s="137">
        <f t="shared" ca="1" si="18"/>
        <v>0</v>
      </c>
      <c r="E90" s="52">
        <f t="shared" ca="1" si="18"/>
        <v>0</v>
      </c>
      <c r="F90" s="52">
        <f t="shared" ca="1" si="18"/>
        <v>0</v>
      </c>
      <c r="G90" s="52">
        <f t="shared" ca="1" si="18"/>
        <v>0</v>
      </c>
      <c r="H90" s="52">
        <f t="shared" ca="1" si="18"/>
        <v>0</v>
      </c>
      <c r="I90" s="138">
        <f t="shared" ca="1" si="18"/>
        <v>0</v>
      </c>
    </row>
    <row r="91" spans="1:10" x14ac:dyDescent="0.15">
      <c r="B91" t="s">
        <v>283</v>
      </c>
      <c r="C91">
        <f>IF(YEAR(C$46)&gt;='Main Page &amp; Assumptions'!$D$14-1,IFERROR(N(INDEX('Olin Standalone'!$D$62:$S$110,MATCH($B91,'Olin Standalone'!$C$62:$C$110,0),MATCH(C$46,'Olin Standalone'!$D$62:$S$62,0))),0)+'Main Page &amp; Assumptions'!$J$7,IFERROR(N(INDEX('Olin Standalone'!$D$62:$S$110,MATCH($B91,'Olin Standalone'!$C$62:$C$110,0),MATCH(C$46,'Olin Standalone'!$D$62:$S$62,0))),0)+IFERROR(N(INDEX('Huntsman Standalone'!$D$63:$S$111,MATCH($B91,'Huntsman Standalone'!$C$63:$C$111,0),MATCH(C$46,'Huntsman Standalone'!$D$63:$S$63,0))),0))</f>
        <v>287</v>
      </c>
      <c r="D91" s="123">
        <f>IF(YEAR(D$46)&gt;='Main Page &amp; Assumptions'!$D$14-1,IFERROR(N(INDEX('Olin Standalone'!$D$62:$S$110,MATCH($B91,'Olin Standalone'!$C$62:$C$110,0),MATCH(D$46,'Olin Standalone'!$D$62:$S$62,0))),0)+'Main Page &amp; Assumptions'!$J$7,IFERROR(N(INDEX('Olin Standalone'!$D$62:$S$110,MATCH($B91,'Olin Standalone'!$C$62:$C$110,0),MATCH(D$46,'Olin Standalone'!$D$62:$S$62,0))),0)+IFERROR(N(INDEX('Huntsman Standalone'!$D$63:$S$111,MATCH($B91,'Huntsman Standalone'!$C$63:$C$111,0),MATCH(D$46,'Huntsman Standalone'!$D$63:$S$63,0))),0))</f>
        <v>212.12755999999999</v>
      </c>
      <c r="E91" s="124">
        <f>IF(YEAR(E$46)&gt;='Main Page &amp; Assumptions'!$D$14-1,IFERROR(N(INDEX('Olin Standalone'!$D$62:$S$110,MATCH($B91,'Olin Standalone'!$C$62:$C$110,0),MATCH(E$46,'Olin Standalone'!$D$62:$S$62,0))),0)+'Main Page &amp; Assumptions'!$J$7,IFERROR(N(INDEX('Olin Standalone'!$D$62:$S$110,MATCH($B91,'Olin Standalone'!$C$62:$C$110,0),MATCH(E$46,'Olin Standalone'!$D$62:$S$62,0))),0)+IFERROR(N(INDEX('Huntsman Standalone'!$D$63:$S$111,MATCH($B91,'Huntsman Standalone'!$C$63:$C$111,0),MATCH(E$46,'Huntsman Standalone'!$D$63:$S$63,0))),0))</f>
        <v>212.62755999999999</v>
      </c>
      <c r="F91" s="124">
        <f>IF(YEAR(F$46)&gt;='Main Page &amp; Assumptions'!$D$14-1,IFERROR(N(INDEX('Olin Standalone'!$D$62:$S$110,MATCH($B91,'Olin Standalone'!$C$62:$C$110,0),MATCH(F$46,'Olin Standalone'!$D$62:$S$62,0))),0)+'Main Page &amp; Assumptions'!$J$7,IFERROR(N(INDEX('Olin Standalone'!$D$62:$S$110,MATCH($B91,'Olin Standalone'!$C$62:$C$110,0),MATCH(F$46,'Olin Standalone'!$D$62:$S$62,0))),0)+IFERROR(N(INDEX('Huntsman Standalone'!$D$63:$S$111,MATCH($B91,'Huntsman Standalone'!$C$63:$C$111,0),MATCH(F$46,'Huntsman Standalone'!$D$63:$S$63,0))),0))</f>
        <v>213.12755999999999</v>
      </c>
      <c r="G91" s="124">
        <f>IF(YEAR(G$46)&gt;='Main Page &amp; Assumptions'!$D$14-1,IFERROR(N(INDEX('Olin Standalone'!$D$62:$S$110,MATCH($B91,'Olin Standalone'!$C$62:$C$110,0),MATCH(G$46,'Olin Standalone'!$D$62:$S$62,0))),0)+'Main Page &amp; Assumptions'!$J$7,IFERROR(N(INDEX('Olin Standalone'!$D$62:$S$110,MATCH($B91,'Olin Standalone'!$C$62:$C$110,0),MATCH(G$46,'Olin Standalone'!$D$62:$S$62,0))),0)+IFERROR(N(INDEX('Huntsman Standalone'!$D$63:$S$111,MATCH($B91,'Huntsman Standalone'!$C$63:$C$111,0),MATCH(G$46,'Huntsman Standalone'!$D$63:$S$63,0))),0))</f>
        <v>213.62755999999999</v>
      </c>
      <c r="H91" s="124">
        <f>IF(YEAR(H$46)&gt;='Main Page &amp; Assumptions'!$D$14-1,IFERROR(N(INDEX('Olin Standalone'!$D$62:$S$110,MATCH($B91,'Olin Standalone'!$C$62:$C$110,0),MATCH(H$46,'Olin Standalone'!$D$62:$S$62,0))),0)+'Main Page &amp; Assumptions'!$J$7,IFERROR(N(INDEX('Olin Standalone'!$D$62:$S$110,MATCH($B91,'Olin Standalone'!$C$62:$C$110,0),MATCH(H$46,'Olin Standalone'!$D$62:$S$62,0))),0)+IFERROR(N(INDEX('Huntsman Standalone'!$D$63:$S$111,MATCH($B91,'Huntsman Standalone'!$C$63:$C$111,0),MATCH(H$46,'Huntsman Standalone'!$D$63:$S$63,0))),0))</f>
        <v>214.12755999999999</v>
      </c>
      <c r="I91" s="125">
        <f>IF(YEAR(I$46)&gt;='Main Page &amp; Assumptions'!$D$14-1,IFERROR(N(INDEX('Olin Standalone'!$D$62:$S$110,MATCH($B91,'Olin Standalone'!$C$62:$C$110,0),MATCH(I$46,'Olin Standalone'!$D$62:$S$62,0))),0)+'Main Page &amp; Assumptions'!$J$7,IFERROR(N(INDEX('Olin Standalone'!$D$62:$S$110,MATCH($B91,'Olin Standalone'!$C$62:$C$110,0),MATCH(I$46,'Olin Standalone'!$D$62:$S$62,0))),0)+IFERROR(N(INDEX('Huntsman Standalone'!$D$63:$S$111,MATCH($B91,'Huntsman Standalone'!$C$63:$C$111,0),MATCH(I$46,'Huntsman Standalone'!$D$63:$S$63,0))),0))</f>
        <v>214.62755999999999</v>
      </c>
    </row>
    <row r="92" spans="1:10" ht="34" customHeight="1" x14ac:dyDescent="0.15">
      <c r="C92" s="320"/>
      <c r="D92" s="321" t="str">
        <f>IF(YEAR(D$6)='Main Page &amp; Assumptions'!$D$14,"Pro Forma Year","")</f>
        <v/>
      </c>
      <c r="E92" s="321" t="str">
        <f>IF(YEAR(E$6)='Main Page &amp; Assumptions'!$D$14,"Pro Forma Year","")</f>
        <v>Pro Forma Year</v>
      </c>
      <c r="F92" s="321" t="str">
        <f>IF(YEAR(F$6)='Main Page &amp; Assumptions'!$D$14,"Pro Forma Year","")</f>
        <v/>
      </c>
      <c r="G92" s="321" t="str">
        <f>IF(YEAR(G$6)='Main Page &amp; Assumptions'!$D$14,"Pro Forma Year","")</f>
        <v/>
      </c>
      <c r="H92" s="321" t="str">
        <f>IF(YEAR(H$6)='Main Page &amp; Assumptions'!$D$14,"Pro Forma Year","")</f>
        <v/>
      </c>
      <c r="I92" s="321" t="str">
        <f>IF(YEAR(I$6)='Main Page &amp; Assumptions'!$D$14,"Pro Forma Year","")</f>
        <v/>
      </c>
    </row>
    <row r="93" spans="1:10" ht="16" x14ac:dyDescent="0.15">
      <c r="B93" s="343" t="s">
        <v>405</v>
      </c>
      <c r="C93" s="343"/>
      <c r="D93" s="343"/>
      <c r="E93" s="343"/>
      <c r="F93" s="343"/>
      <c r="G93" s="343"/>
      <c r="H93" s="343"/>
      <c r="I93" s="343"/>
    </row>
    <row r="94" spans="1:10" x14ac:dyDescent="0.15">
      <c r="B94" s="90"/>
      <c r="C94" s="186"/>
      <c r="D94" s="338" t="s">
        <v>400</v>
      </c>
      <c r="E94" s="339"/>
      <c r="F94" s="339"/>
      <c r="G94" s="339"/>
      <c r="H94" s="339"/>
      <c r="I94" s="340"/>
    </row>
    <row r="95" spans="1:10" x14ac:dyDescent="0.15">
      <c r="B95" s="59" t="s">
        <v>86</v>
      </c>
      <c r="C95" s="60">
        <f t="shared" ref="C95:I95" si="19">C$6</f>
        <v>46022</v>
      </c>
      <c r="D95" s="91">
        <f t="shared" si="19"/>
        <v>46387</v>
      </c>
      <c r="E95" s="60">
        <f t="shared" si="19"/>
        <v>46752</v>
      </c>
      <c r="F95" s="60">
        <f t="shared" si="19"/>
        <v>47118</v>
      </c>
      <c r="G95" s="60">
        <f t="shared" si="19"/>
        <v>47483</v>
      </c>
      <c r="H95" s="60">
        <f t="shared" si="19"/>
        <v>47848</v>
      </c>
      <c r="I95" s="92">
        <f t="shared" si="19"/>
        <v>48213</v>
      </c>
    </row>
    <row r="96" spans="1:10" x14ac:dyDescent="0.15">
      <c r="B96" s="128"/>
      <c r="C96" s="129" t="s">
        <v>88</v>
      </c>
      <c r="D96" s="130" t="s">
        <v>88</v>
      </c>
      <c r="E96" s="129" t="s">
        <v>88</v>
      </c>
      <c r="F96" s="129" t="s">
        <v>88</v>
      </c>
      <c r="G96" s="129" t="s">
        <v>88</v>
      </c>
      <c r="H96" s="129" t="s">
        <v>88</v>
      </c>
      <c r="I96" s="131" t="s">
        <v>88</v>
      </c>
    </row>
    <row r="97" spans="1:9" x14ac:dyDescent="0.15">
      <c r="B97" t="s">
        <v>107</v>
      </c>
      <c r="C97" s="39">
        <f t="shared" ref="C97:I97" si="20">C32</f>
        <v>-384.5</v>
      </c>
      <c r="D97" s="98">
        <f t="shared" ca="1" si="20"/>
        <v>12.892834080355904</v>
      </c>
      <c r="E97" s="39">
        <f t="shared" ca="1" si="20"/>
        <v>272.5209569287349</v>
      </c>
      <c r="F97" s="39">
        <f t="shared" ca="1" si="20"/>
        <v>760.00564564759884</v>
      </c>
      <c r="G97" s="39">
        <f t="shared" ca="1" si="20"/>
        <v>1120.7729998290529</v>
      </c>
      <c r="H97" s="39">
        <f t="shared" ca="1" si="20"/>
        <v>1534.3605621921665</v>
      </c>
      <c r="I97" s="99">
        <f t="shared" ca="1" si="20"/>
        <v>1871.4008427969438</v>
      </c>
    </row>
    <row r="98" spans="1:9" x14ac:dyDescent="0.15">
      <c r="B98" s="2" t="s">
        <v>240</v>
      </c>
      <c r="C98" s="39">
        <f>'Pro Forma D&amp;A'!C31</f>
        <v>521.59999999999991</v>
      </c>
      <c r="D98" s="98">
        <f>'Pro Forma D&amp;A'!D31</f>
        <v>506.30688256320002</v>
      </c>
      <c r="E98" s="39">
        <f>'Pro Forma D&amp;A'!E31</f>
        <v>828.73250958431936</v>
      </c>
      <c r="F98" s="39">
        <f>'Pro Forma D&amp;A'!F31</f>
        <v>849.01234151547294</v>
      </c>
      <c r="G98" s="39">
        <f>'Pro Forma D&amp;A'!G31</f>
        <v>870.67791944896339</v>
      </c>
      <c r="H98" s="39">
        <f>'Pro Forma D&amp;A'!H31</f>
        <v>884.57195271280307</v>
      </c>
      <c r="I98" s="99">
        <f>'Pro Forma D&amp;A'!I31</f>
        <v>908.61903026551784</v>
      </c>
    </row>
    <row r="99" spans="1:9" x14ac:dyDescent="0.15">
      <c r="A99" s="41"/>
      <c r="B99" s="132" t="s">
        <v>393</v>
      </c>
      <c r="C99" s="187">
        <f>IFERROR(N(INDEX('Olin Standalone'!$D$112:$S$144,MATCH($B99,'Olin Standalone'!$C$112:$C$144,0),MATCH(C$95,'Olin Standalone'!$D$111:$S$111,0))),0)+IFERROR(N(INDEX('Huntsman Standalone'!$D$113:$S$145,MATCH($B99,'Huntsman Standalone'!$C$113:$C$145,0),MATCH(C$95,'Huntsman Standalone'!$D$112:$S$112,0))),0)</f>
        <v>0</v>
      </c>
      <c r="D99" s="137">
        <f>IFERROR(N(INDEX('Olin Standalone'!$D$112:$S$144,MATCH($B99,'Olin Standalone'!$C$112:$C$144,0),MATCH(D$95,'Olin Standalone'!$D$111:$S$111,0))),0)+IFERROR(N(INDEX('Huntsman Standalone'!$D$113:$S$145,MATCH($B99,'Huntsman Standalone'!$C$113:$C$145,0),MATCH(D$95,'Huntsman Standalone'!$D$112:$S$112,0))),0)</f>
        <v>50</v>
      </c>
      <c r="E99" s="52">
        <f>IFERROR(N(INDEX('Olin Standalone'!$D$112:$S$144,MATCH($B99,'Olin Standalone'!$C$112:$C$144,0),MATCH(E$95,'Olin Standalone'!$D$111:$S$111,0))),0)+IFERROR(N(INDEX('Huntsman Standalone'!$D$113:$S$145,MATCH($B99,'Huntsman Standalone'!$C$113:$C$145,0),MATCH(E$95,'Huntsman Standalone'!$D$112:$S$112,0))),0)</f>
        <v>50</v>
      </c>
      <c r="F99" s="52">
        <f>IFERROR(N(INDEX('Olin Standalone'!$D$112:$S$144,MATCH($B99,'Olin Standalone'!$C$112:$C$144,0),MATCH(F$95,'Olin Standalone'!$D$111:$S$111,0))),0)+IFERROR(N(INDEX('Huntsman Standalone'!$D$113:$S$145,MATCH($B99,'Huntsman Standalone'!$C$113:$C$145,0),MATCH(F$95,'Huntsman Standalone'!$D$112:$S$112,0))),0)</f>
        <v>50</v>
      </c>
      <c r="G99" s="52">
        <f>IFERROR(N(INDEX('Olin Standalone'!$D$112:$S$144,MATCH($B99,'Olin Standalone'!$C$112:$C$144,0),MATCH(G$95,'Olin Standalone'!$D$111:$S$111,0))),0)+IFERROR(N(INDEX('Huntsman Standalone'!$D$113:$S$145,MATCH($B99,'Huntsman Standalone'!$C$113:$C$145,0),MATCH(G$95,'Huntsman Standalone'!$D$112:$S$112,0))),0)</f>
        <v>50</v>
      </c>
      <c r="H99" s="52">
        <f>IFERROR(N(INDEX('Olin Standalone'!$D$112:$S$144,MATCH($B99,'Olin Standalone'!$C$112:$C$144,0),MATCH(H$95,'Olin Standalone'!$D$111:$S$111,0))),0)+IFERROR(N(INDEX('Huntsman Standalone'!$D$113:$S$145,MATCH($B99,'Huntsman Standalone'!$C$113:$C$145,0),MATCH(H$95,'Huntsman Standalone'!$D$112:$S$112,0))),0)</f>
        <v>50</v>
      </c>
      <c r="I99" s="138">
        <f>IFERROR(N(INDEX('Olin Standalone'!$D$112:$S$144,MATCH($B99,'Olin Standalone'!$C$112:$C$144,0),MATCH(I$95,'Olin Standalone'!$D$111:$S$111,0))),0)+IFERROR(N(INDEX('Huntsman Standalone'!$D$113:$S$145,MATCH($B99,'Huntsman Standalone'!$C$113:$C$145,0),MATCH(I$95,'Huntsman Standalone'!$D$112:$S$112,0))),0)</f>
        <v>50</v>
      </c>
    </row>
    <row r="100" spans="1:9" x14ac:dyDescent="0.15">
      <c r="B100" s="2" t="s">
        <v>358</v>
      </c>
      <c r="C100" s="187">
        <f>IF(YEAR(C$95)&lt;'Main Page &amp; Assumptions'!$D$14,IFERROR(N(INDEX('Olin Standalone'!$D$112:$S$144,MATCH($B100,'Olin Standalone'!$C$112:$C$144,0),MATCH(C$95,'Olin Standalone'!$D$111:$S$111,0))),0)+IFERROR(N(INDEX('Huntsman Standalone'!$D$113:$S$145,MATCH($B100,'Huntsman Standalone'!$C$113:$C$145,0),MATCH(C$95,'Huntsman Standalone'!$D$112:$S$112,0))),0),-'Transaction &amp; Refinancing Debt'!C72)</f>
        <v>0</v>
      </c>
      <c r="D100" s="98">
        <f>IF(YEAR(D$95)&lt;'Main Page &amp; Assumptions'!$D$14,IFERROR(N(INDEX('Olin Standalone'!$D$112:$S$144,MATCH($B100,'Olin Standalone'!$C$112:$C$144,0),MATCH(D$95,'Olin Standalone'!$D$111:$S$111,0))),0)+IFERROR(N(INDEX('Huntsman Standalone'!$D$113:$S$145,MATCH($B100,'Huntsman Standalone'!$C$113:$C$145,0),MATCH(D$95,'Huntsman Standalone'!$D$112:$S$112,0))),0),-'Transaction &amp; Refinancing Debt'!D72)</f>
        <v>5.9265277777777801</v>
      </c>
      <c r="E100" s="39">
        <f ca="1">IF(YEAR(E$95)&lt;'Main Page &amp; Assumptions'!$D$14,IFERROR(N(INDEX('Olin Standalone'!$D$112:$S$144,MATCH($B100,'Olin Standalone'!$C$112:$C$144,0),MATCH(E$95,'Olin Standalone'!$D$111:$S$111,0))),0)+IFERROR(N(INDEX('Huntsman Standalone'!$D$113:$S$145,MATCH($B100,'Huntsman Standalone'!$C$113:$C$145,0),MATCH(E$95,'Huntsman Standalone'!$D$112:$S$112,0))),0),-'Transaction &amp; Refinancing Debt'!E72)</f>
        <v>5.9265277777777783</v>
      </c>
      <c r="F100" s="39">
        <f ca="1">IF(YEAR(F$95)&lt;'Main Page &amp; Assumptions'!$D$14,IFERROR(N(INDEX('Olin Standalone'!$D$112:$S$144,MATCH($B100,'Olin Standalone'!$C$112:$C$144,0),MATCH(F$95,'Olin Standalone'!$D$111:$S$111,0))),0)+IFERROR(N(INDEX('Huntsman Standalone'!$D$113:$S$145,MATCH($B100,'Huntsman Standalone'!$C$113:$C$145,0),MATCH(F$95,'Huntsman Standalone'!$D$112:$S$112,0))),0),-'Transaction &amp; Refinancing Debt'!F72)</f>
        <v>5.5515277777777774</v>
      </c>
      <c r="G100" s="39">
        <f ca="1">IF(YEAR(G$95)&lt;'Main Page &amp; Assumptions'!$D$14,IFERROR(N(INDEX('Olin Standalone'!$D$112:$S$144,MATCH($B100,'Olin Standalone'!$C$112:$C$144,0),MATCH(G$95,'Olin Standalone'!$D$111:$S$111,0))),0)+IFERROR(N(INDEX('Huntsman Standalone'!$D$113:$S$145,MATCH($B100,'Huntsman Standalone'!$C$113:$C$145,0),MATCH(G$95,'Huntsman Standalone'!$D$112:$S$112,0))),0),-'Transaction &amp; Refinancing Debt'!G72)</f>
        <v>5.5515277777777765</v>
      </c>
      <c r="H100" s="39">
        <f ca="1">IF(YEAR(H$95)&lt;'Main Page &amp; Assumptions'!$D$14,IFERROR(N(INDEX('Olin Standalone'!$D$112:$S$144,MATCH($B100,'Olin Standalone'!$C$112:$C$144,0),MATCH(H$95,'Olin Standalone'!$D$111:$S$111,0))),0)+IFERROR(N(INDEX('Huntsman Standalone'!$D$113:$S$145,MATCH($B100,'Huntsman Standalone'!$C$113:$C$145,0),MATCH(H$95,'Huntsman Standalone'!$D$112:$S$112,0))),0),-'Transaction &amp; Refinancing Debt'!H72)</f>
        <v>3.0265277777777775</v>
      </c>
      <c r="I100" s="99">
        <f ca="1">IF(YEAR(I$95)&lt;'Main Page &amp; Assumptions'!$D$14,IFERROR(N(INDEX('Olin Standalone'!$D$112:$S$144,MATCH($B100,'Olin Standalone'!$C$112:$C$144,0),MATCH(I$95,'Olin Standalone'!$D$111:$S$111,0))),0)+IFERROR(N(INDEX('Huntsman Standalone'!$D$113:$S$145,MATCH($B100,'Huntsman Standalone'!$C$113:$C$145,0),MATCH(I$95,'Huntsman Standalone'!$D$112:$S$112,0))),0),-'Transaction &amp; Refinancing Debt'!I72)</f>
        <v>1.4465277777777781</v>
      </c>
    </row>
    <row r="101" spans="1:9" x14ac:dyDescent="0.15">
      <c r="B101" s="132" t="s">
        <v>313</v>
      </c>
      <c r="C101" s="52">
        <f t="shared" ref="C101:I101" si="21">C49+C50+C51+C52-C65-C66-C69</f>
        <v>682.7</v>
      </c>
      <c r="D101" s="137">
        <f t="shared" si="21"/>
        <v>783.16666259857607</v>
      </c>
      <c r="E101" s="52">
        <f t="shared" si="21"/>
        <v>764.85429986621602</v>
      </c>
      <c r="F101" s="52">
        <f t="shared" si="21"/>
        <v>831.71830828698285</v>
      </c>
      <c r="G101" s="52">
        <f t="shared" si="21"/>
        <v>877.84803314185956</v>
      </c>
      <c r="H101" s="52">
        <f t="shared" si="21"/>
        <v>938.49674414620142</v>
      </c>
      <c r="I101" s="138">
        <f t="shared" si="21"/>
        <v>990.84110148447201</v>
      </c>
    </row>
    <row r="102" spans="1:9" x14ac:dyDescent="0.15">
      <c r="B102" s="2" t="s">
        <v>460</v>
      </c>
      <c r="C102" s="39">
        <f t="shared" ref="C102:I102" si="22">IF(COLUMN()=COLUMN($C$102),0,B101-C101)</f>
        <v>0</v>
      </c>
      <c r="D102" s="98">
        <f t="shared" si="22"/>
        <v>-100.46666259857602</v>
      </c>
      <c r="E102" s="39">
        <f t="shared" si="22"/>
        <v>18.312362732360043</v>
      </c>
      <c r="F102" s="39">
        <f t="shared" si="22"/>
        <v>-66.864008420766822</v>
      </c>
      <c r="G102" s="39">
        <f t="shared" si="22"/>
        <v>-46.129724854876713</v>
      </c>
      <c r="H102" s="39">
        <f t="shared" si="22"/>
        <v>-60.648711004341862</v>
      </c>
      <c r="I102" s="99">
        <f t="shared" si="22"/>
        <v>-52.344357338270584</v>
      </c>
    </row>
    <row r="103" spans="1:9" x14ac:dyDescent="0.15">
      <c r="B103" s="2" t="s">
        <v>424</v>
      </c>
      <c r="C103" s="39">
        <f>IFERROR(N(INDEX('Olin Standalone'!$D$112:$S$144,MATCH($B103,'Olin Standalone'!$C$112:$C$144,0),MATCH(C$95,'Olin Standalone'!$D$111:$S$111,0))),0)+IFERROR(N(INDEX('Huntsman Standalone'!$D$113:$S$145,MATCH($B103,'Huntsman Standalone'!$C$113:$C$145,0),MATCH(C$95,'Huntsman Standalone'!$D$112:$S$112,0))),0)</f>
        <v>0</v>
      </c>
      <c r="D103" s="98">
        <f>IFERROR(N(INDEX('Olin Standalone'!$D$112:$S$144,MATCH($B103,'Olin Standalone'!$C$112:$C$144,0),MATCH(D$95,'Olin Standalone'!$D$111:$S$111,0))),0)+IFERROR(N(INDEX('Huntsman Standalone'!$D$113:$S$145,MATCH($B103,'Huntsman Standalone'!$C$113:$C$145,0),MATCH(D$95,'Huntsman Standalone'!$D$112:$S$112,0))),0)</f>
        <v>0</v>
      </c>
      <c r="E103" s="39">
        <f>IFERROR(N(INDEX('Olin Standalone'!$D$112:$S$144,MATCH($B103,'Olin Standalone'!$C$112:$C$144,0),MATCH(E$95,'Olin Standalone'!$D$111:$S$111,0))),0)+IFERROR(N(INDEX('Huntsman Standalone'!$D$113:$S$145,MATCH($B103,'Huntsman Standalone'!$C$113:$C$145,0),MATCH(E$95,'Huntsman Standalone'!$D$112:$S$112,0))),0)</f>
        <v>0</v>
      </c>
      <c r="F103" s="39">
        <f>IFERROR(N(INDEX('Olin Standalone'!$D$112:$S$144,MATCH($B103,'Olin Standalone'!$C$112:$C$144,0),MATCH(F$95,'Olin Standalone'!$D$111:$S$111,0))),0)+IFERROR(N(INDEX('Huntsman Standalone'!$D$113:$S$145,MATCH($B103,'Huntsman Standalone'!$C$113:$C$145,0),MATCH(F$95,'Huntsman Standalone'!$D$112:$S$112,0))),0)</f>
        <v>0</v>
      </c>
      <c r="G103" s="39">
        <f>IFERROR(N(INDEX('Olin Standalone'!$D$112:$S$144,MATCH($B103,'Olin Standalone'!$C$112:$C$144,0),MATCH(G$95,'Olin Standalone'!$D$111:$S$111,0))),0)+IFERROR(N(INDEX('Huntsman Standalone'!$D$113:$S$145,MATCH($B103,'Huntsman Standalone'!$C$113:$C$145,0),MATCH(G$95,'Huntsman Standalone'!$D$112:$S$112,0))),0)</f>
        <v>0</v>
      </c>
      <c r="H103" s="39">
        <f>IFERROR(N(INDEX('Olin Standalone'!$D$112:$S$144,MATCH($B103,'Olin Standalone'!$C$112:$C$144,0),MATCH(H$95,'Olin Standalone'!$D$111:$S$111,0))),0)+IFERROR(N(INDEX('Huntsman Standalone'!$D$113:$S$145,MATCH($B103,'Huntsman Standalone'!$C$113:$C$145,0),MATCH(H$95,'Huntsman Standalone'!$D$112:$S$112,0))),0)</f>
        <v>0</v>
      </c>
      <c r="I103" s="99">
        <f>IFERROR(N(INDEX('Olin Standalone'!$D$112:$S$144,MATCH($B103,'Olin Standalone'!$C$112:$C$144,0),MATCH(I$95,'Olin Standalone'!$D$111:$S$111,0))),0)+IFERROR(N(INDEX('Huntsman Standalone'!$D$113:$S$145,MATCH($B103,'Huntsman Standalone'!$C$113:$C$145,0),MATCH(I$95,'Huntsman Standalone'!$D$112:$S$112,0))),0)</f>
        <v>0</v>
      </c>
    </row>
    <row r="104" spans="1:9" x14ac:dyDescent="0.15">
      <c r="B104" s="2" t="s">
        <v>396</v>
      </c>
      <c r="C104" s="188">
        <f>IF(YEAR(C$95)&lt;'Main Page &amp; Assumptions'!$D$14,IFERROR(N(INDEX('Olin Standalone'!$D$112:$S$144,MATCH($B104,'Olin Standalone'!$C$112:$C$144,0),MATCH(C$95,'Olin Standalone'!$D$111:$S$111,0))),0)+IFERROR(N(INDEX('Huntsman Standalone'!$D$113:$S$145,MATCH($B104,'Huntsman Standalone'!$C$113:$C$145,0),MATCH(C$95,'Huntsman Standalone'!$D$112:$S$112,0))),0),-(C61-B61)-(C62-B62)+(C76-B76)+(C77-B77))</f>
        <v>0</v>
      </c>
      <c r="D104" s="137">
        <f>IF(YEAR(D$95)&lt;'Main Page &amp; Assumptions'!$D$14,IFERROR(N(INDEX('Olin Standalone'!$D$112:$S$144,MATCH($B104,'Olin Standalone'!$C$112:$C$144,0),MATCH(D$95,'Olin Standalone'!$D$111:$S$111,0))),0)+IFERROR(N(INDEX('Huntsman Standalone'!$D$113:$S$145,MATCH($B104,'Huntsman Standalone'!$C$113:$C$145,0),MATCH(D$95,'Huntsman Standalone'!$D$112:$S$112,0))),0),-(D61-C61)-(D62-C62)+(D76-C76)+(D77-C77))</f>
        <v>17.986611200000027</v>
      </c>
      <c r="E104" s="52">
        <f>IF(YEAR(E$95)&lt;'Main Page &amp; Assumptions'!$D$14,IFERROR(N(INDEX('Olin Standalone'!$D$112:$S$144,MATCH($B104,'Olin Standalone'!$C$112:$C$144,0),MATCH(E$95,'Olin Standalone'!$D$111:$S$111,0))),0)+IFERROR(N(INDEX('Huntsman Standalone'!$D$113:$S$145,MATCH($B104,'Huntsman Standalone'!$C$113:$C$145,0),MATCH(E$95,'Huntsman Standalone'!$D$112:$S$112,0))),0),-(E61-D61)-(E62-D62)+(E76-D76)+(E77-D77))</f>
        <v>-159.17919373999996</v>
      </c>
      <c r="F104" s="52">
        <f>IF(YEAR(F$95)&lt;'Main Page &amp; Assumptions'!$D$14,IFERROR(N(INDEX('Olin Standalone'!$D$112:$S$144,MATCH($B104,'Olin Standalone'!$C$112:$C$144,0),MATCH(F$95,'Olin Standalone'!$D$111:$S$111,0))),0)+IFERROR(N(INDEX('Huntsman Standalone'!$D$113:$S$145,MATCH($B104,'Huntsman Standalone'!$C$113:$C$145,0),MATCH(F$95,'Huntsman Standalone'!$D$112:$S$112,0))),0),-(F61-E61)-(F62-E62)+(F76-E76)+(F77-E77))</f>
        <v>13.790025271247714</v>
      </c>
      <c r="G104" s="52">
        <f>IF(YEAR(G$95)&lt;'Main Page &amp; Assumptions'!$D$14,IFERROR(N(INDEX('Olin Standalone'!$D$112:$S$144,MATCH($B104,'Olin Standalone'!$C$112:$C$144,0),MATCH(G$95,'Olin Standalone'!$D$111:$S$111,0))),0)+IFERROR(N(INDEX('Huntsman Standalone'!$D$113:$S$145,MATCH($B104,'Huntsman Standalone'!$C$113:$C$145,0),MATCH(G$95,'Huntsman Standalone'!$D$112:$S$112,0))),0),-(G61-F61)-(G62-F62)+(G76-F76)+(G77-F77))</f>
        <v>-4.9879334521612009</v>
      </c>
      <c r="H104" s="52">
        <f>IF(YEAR(H$95)&lt;'Main Page &amp; Assumptions'!$D$14,IFERROR(N(INDEX('Olin Standalone'!$D$112:$S$144,MATCH($B104,'Olin Standalone'!$C$112:$C$144,0),MATCH(H$95,'Olin Standalone'!$D$111:$S$111,0))),0)+IFERROR(N(INDEX('Huntsman Standalone'!$D$113:$S$145,MATCH($B104,'Huntsman Standalone'!$C$113:$C$145,0),MATCH(H$95,'Huntsman Standalone'!$D$112:$S$112,0))),0),-(H61-G61)-(H62-G62)+(H76-G76)+(H77-G77))</f>
        <v>12.107050257604783</v>
      </c>
      <c r="I104" s="138">
        <f>IF(YEAR(I$95)&lt;'Main Page &amp; Assumptions'!$D$14,IFERROR(N(INDEX('Olin Standalone'!$D$112:$S$144,MATCH($B104,'Olin Standalone'!$C$112:$C$144,0),MATCH(I$95,'Olin Standalone'!$D$111:$S$111,0))),0)+IFERROR(N(INDEX('Huntsman Standalone'!$D$113:$S$145,MATCH($B104,'Huntsman Standalone'!$C$113:$C$145,0),MATCH(I$95,'Huntsman Standalone'!$D$112:$S$112,0))),0),-(I61-H61)-(I62-H62)+(I76-H76)+(I77-H77))</f>
        <v>0.69311937436526705</v>
      </c>
    </row>
    <row r="105" spans="1:9" x14ac:dyDescent="0.15">
      <c r="B105" s="88" t="s">
        <v>284</v>
      </c>
      <c r="C105" s="89">
        <f t="shared" ref="C105:I105" si="23">SUM(C97:C100,C102:C104)</f>
        <v>137.09999999999991</v>
      </c>
      <c r="D105" s="289">
        <f t="shared" ca="1" si="23"/>
        <v>492.6461930227577</v>
      </c>
      <c r="E105" s="290">
        <f t="shared" ca="1" si="23"/>
        <v>1016.313163283192</v>
      </c>
      <c r="F105" s="290">
        <f t="shared" ca="1" si="23"/>
        <v>1611.4955317913302</v>
      </c>
      <c r="G105" s="290">
        <f t="shared" ca="1" si="23"/>
        <v>1995.8847887487559</v>
      </c>
      <c r="H105" s="290">
        <f t="shared" ca="1" si="23"/>
        <v>2423.4173819360103</v>
      </c>
      <c r="I105" s="291">
        <f t="shared" ca="1" si="23"/>
        <v>2779.8151628763339</v>
      </c>
    </row>
    <row r="106" spans="1:9" x14ac:dyDescent="0.15">
      <c r="C106" s="39"/>
      <c r="D106" s="100"/>
      <c r="E106" s="53"/>
      <c r="F106" s="53"/>
      <c r="G106" s="53"/>
      <c r="H106" s="53"/>
      <c r="I106" s="101"/>
    </row>
    <row r="107" spans="1:9" x14ac:dyDescent="0.15">
      <c r="B107" s="48" t="s">
        <v>164</v>
      </c>
      <c r="C107" s="57">
        <f>IFERROR(N(INDEX('Olin Standalone'!$D$112:$S$144,MATCH($B107,'Olin Standalone'!$C$112:$C$144,0),MATCH(C$95,'Olin Standalone'!$D$111:$S$111,0))),0)+IFERROR(N(INDEX('Huntsman Standalone'!$D$113:$S$145,MATCH($B107,'Huntsman Standalone'!$C$113:$C$145,0),MATCH(C$95,'Huntsman Standalone'!$D$112:$S$112,0))),0)</f>
        <v>-399.3</v>
      </c>
      <c r="D107" s="292">
        <f>IFERROR(N(INDEX('Olin Standalone'!$D$112:$S$144,MATCH($B107,'Olin Standalone'!$C$112:$C$144,0),MATCH(D$95,'Olin Standalone'!$D$111:$S$111,0))),0)+IFERROR(N(INDEX('Huntsman Standalone'!$D$113:$S$145,MATCH($B107,'Huntsman Standalone'!$C$113:$C$145,0),MATCH(D$95,'Huntsman Standalone'!$D$112:$S$112,0))),0)</f>
        <v>-400.44544080000003</v>
      </c>
      <c r="E107" s="293">
        <f>IFERROR(N(INDEX('Olin Standalone'!$D$112:$S$144,MATCH($B107,'Olin Standalone'!$C$112:$C$144,0),MATCH(E$95,'Olin Standalone'!$D$111:$S$111,0))),0)+IFERROR(N(INDEX('Huntsman Standalone'!$D$113:$S$145,MATCH($B107,'Huntsman Standalone'!$C$113:$C$145,0),MATCH(E$95,'Huntsman Standalone'!$D$112:$S$112,0))),0)</f>
        <v>-413.41680325679999</v>
      </c>
      <c r="F107" s="293">
        <f>IFERROR(N(INDEX('Olin Standalone'!$D$112:$S$144,MATCH($B107,'Olin Standalone'!$C$112:$C$144,0),MATCH(F$95,'Olin Standalone'!$D$111:$S$111,0))),0)+IFERROR(N(INDEX('Huntsman Standalone'!$D$113:$S$145,MATCH($B107,'Huntsman Standalone'!$C$113:$C$145,0),MATCH(F$95,'Huntsman Standalone'!$D$112:$S$112,0))),0)</f>
        <v>-445.35946775007073</v>
      </c>
      <c r="G107" s="293">
        <f>IFERROR(N(INDEX('Olin Standalone'!$D$112:$S$144,MATCH($B107,'Olin Standalone'!$C$112:$C$144,0),MATCH(G$95,'Olin Standalone'!$D$111:$S$111,0))),0)+IFERROR(N(INDEX('Huntsman Standalone'!$D$113:$S$145,MATCH($B107,'Huntsman Standalone'!$C$113:$C$145,0),MATCH(G$95,'Huntsman Standalone'!$D$112:$S$112,0))),0)</f>
        <v>-464.91274788115533</v>
      </c>
      <c r="H107" s="293">
        <f>IFERROR(N(INDEX('Olin Standalone'!$D$112:$S$144,MATCH($B107,'Olin Standalone'!$C$112:$C$144,0),MATCH(H$95,'Olin Standalone'!$D$111:$S$111,0))),0)+IFERROR(N(INDEX('Huntsman Standalone'!$D$113:$S$145,MATCH($B107,'Huntsman Standalone'!$C$113:$C$145,0),MATCH(H$95,'Huntsman Standalone'!$D$112:$S$112,0))),0)</f>
        <v>-494.40748223330218</v>
      </c>
      <c r="I107" s="294">
        <f>IFERROR(N(INDEX('Olin Standalone'!$D$112:$S$144,MATCH($B107,'Olin Standalone'!$C$112:$C$144,0),MATCH(I$95,'Olin Standalone'!$D$111:$S$111,0))),0)+IFERROR(N(INDEX('Huntsman Standalone'!$D$113:$S$145,MATCH($B107,'Huntsman Standalone'!$C$113:$C$145,0),MATCH(I$95,'Huntsman Standalone'!$D$112:$S$112,0))),0)</f>
        <v>-519.02366342530877</v>
      </c>
    </row>
    <row r="108" spans="1:9" x14ac:dyDescent="0.15">
      <c r="B108" s="2" t="s">
        <v>285</v>
      </c>
      <c r="C108" s="39">
        <f>IFERROR(N(INDEX('Olin Standalone'!$D$112:$S$144,MATCH($B108,'Olin Standalone'!$C$112:$C$144,0),MATCH(C$95,'Olin Standalone'!$D$111:$S$111,0))),0)+IFERROR(N(INDEX('Huntsman Standalone'!$D$113:$S$145,MATCH($B108,'Huntsman Standalone'!$C$113:$C$145,0),MATCH(C$95,'Huntsman Standalone'!$D$112:$S$112,0))),0)</f>
        <v>0</v>
      </c>
      <c r="D108" s="100">
        <f>IFERROR(N(INDEX('Olin Standalone'!$D$112:$S$144,MATCH($B108,'Olin Standalone'!$C$112:$C$144,0),MATCH(D$95,'Olin Standalone'!$D$111:$S$111,0))),0)+IFERROR(N(INDEX('Huntsman Standalone'!$D$113:$S$145,MATCH($B108,'Huntsman Standalone'!$C$113:$C$145,0),MATCH(D$95,'Huntsman Standalone'!$D$112:$S$112,0))),0)</f>
        <v>0</v>
      </c>
      <c r="E108" s="53">
        <f>IFERROR(N(INDEX('Olin Standalone'!$D$112:$S$144,MATCH($B108,'Olin Standalone'!$C$112:$C$144,0),MATCH(E$95,'Olin Standalone'!$D$111:$S$111,0))),0)+IFERROR(N(INDEX('Huntsman Standalone'!$D$113:$S$145,MATCH($B108,'Huntsman Standalone'!$C$113:$C$145,0),MATCH(E$95,'Huntsman Standalone'!$D$112:$S$112,0))),0)</f>
        <v>0</v>
      </c>
      <c r="F108" s="53">
        <f>IFERROR(N(INDEX('Olin Standalone'!$D$112:$S$144,MATCH($B108,'Olin Standalone'!$C$112:$C$144,0),MATCH(F$95,'Olin Standalone'!$D$111:$S$111,0))),0)+IFERROR(N(INDEX('Huntsman Standalone'!$D$113:$S$145,MATCH($B108,'Huntsman Standalone'!$C$113:$C$145,0),MATCH(F$95,'Huntsman Standalone'!$D$112:$S$112,0))),0)</f>
        <v>0</v>
      </c>
      <c r="G108" s="53">
        <f>IFERROR(N(INDEX('Olin Standalone'!$D$112:$S$144,MATCH($B108,'Olin Standalone'!$C$112:$C$144,0),MATCH(G$95,'Olin Standalone'!$D$111:$S$111,0))),0)+IFERROR(N(INDEX('Huntsman Standalone'!$D$113:$S$145,MATCH($B108,'Huntsman Standalone'!$C$113:$C$145,0),MATCH(G$95,'Huntsman Standalone'!$D$112:$S$112,0))),0)</f>
        <v>0</v>
      </c>
      <c r="H108" s="53">
        <f>IFERROR(N(INDEX('Olin Standalone'!$D$112:$S$144,MATCH($B108,'Olin Standalone'!$C$112:$C$144,0),MATCH(H$95,'Olin Standalone'!$D$111:$S$111,0))),0)+IFERROR(N(INDEX('Huntsman Standalone'!$D$113:$S$145,MATCH($B108,'Huntsman Standalone'!$C$113:$C$145,0),MATCH(H$95,'Huntsman Standalone'!$D$112:$S$112,0))),0)</f>
        <v>0</v>
      </c>
      <c r="I108" s="101">
        <f>IFERROR(N(INDEX('Olin Standalone'!$D$112:$S$144,MATCH($B108,'Olin Standalone'!$C$112:$C$144,0),MATCH(I$95,'Olin Standalone'!$D$111:$S$111,0))),0)+IFERROR(N(INDEX('Huntsman Standalone'!$D$113:$S$145,MATCH($B108,'Huntsman Standalone'!$C$113:$C$145,0),MATCH(I$95,'Huntsman Standalone'!$D$112:$S$112,0))),0)</f>
        <v>0</v>
      </c>
    </row>
    <row r="109" spans="1:9" x14ac:dyDescent="0.15">
      <c r="B109" s="2" t="s">
        <v>286</v>
      </c>
      <c r="C109" s="39">
        <f>IFERROR(N(INDEX('Olin Standalone'!$D$112:$S$144,MATCH($B109,'Olin Standalone'!$C$112:$C$144,0),MATCH(C$95,'Olin Standalone'!$D$111:$S$111,0))),0)+IFERROR(N(INDEX('Huntsman Standalone'!$D$113:$S$145,MATCH($B109,'Huntsman Standalone'!$C$113:$C$145,0),MATCH(C$95,'Huntsman Standalone'!$D$112:$S$112,0))),0)</f>
        <v>0</v>
      </c>
      <c r="D109" s="100">
        <f>IFERROR(N(INDEX('Olin Standalone'!$D$112:$S$144,MATCH($B109,'Olin Standalone'!$C$112:$C$144,0),MATCH(D$95,'Olin Standalone'!$D$111:$S$111,0))),0)+IFERROR(N(INDEX('Huntsman Standalone'!$D$113:$S$145,MATCH($B109,'Huntsman Standalone'!$C$113:$C$145,0),MATCH(D$95,'Huntsman Standalone'!$D$112:$S$112,0))),0)</f>
        <v>0</v>
      </c>
      <c r="E109" s="53">
        <f>IFERROR(N(INDEX('Olin Standalone'!$D$112:$S$144,MATCH($B109,'Olin Standalone'!$C$112:$C$144,0),MATCH(E$95,'Olin Standalone'!$D$111:$S$111,0))),0)+IFERROR(N(INDEX('Huntsman Standalone'!$D$113:$S$145,MATCH($B109,'Huntsman Standalone'!$C$113:$C$145,0),MATCH(E$95,'Huntsman Standalone'!$D$112:$S$112,0))),0)</f>
        <v>0</v>
      </c>
      <c r="F109" s="53">
        <f>IFERROR(N(INDEX('Olin Standalone'!$D$112:$S$144,MATCH($B109,'Olin Standalone'!$C$112:$C$144,0),MATCH(F$95,'Olin Standalone'!$D$111:$S$111,0))),0)+IFERROR(N(INDEX('Huntsman Standalone'!$D$113:$S$145,MATCH($B109,'Huntsman Standalone'!$C$113:$C$145,0),MATCH(F$95,'Huntsman Standalone'!$D$112:$S$112,0))),0)</f>
        <v>0</v>
      </c>
      <c r="G109" s="53">
        <f>IFERROR(N(INDEX('Olin Standalone'!$D$112:$S$144,MATCH($B109,'Olin Standalone'!$C$112:$C$144,0),MATCH(G$95,'Olin Standalone'!$D$111:$S$111,0))),0)+IFERROR(N(INDEX('Huntsman Standalone'!$D$113:$S$145,MATCH($B109,'Huntsman Standalone'!$C$113:$C$145,0),MATCH(G$95,'Huntsman Standalone'!$D$112:$S$112,0))),0)</f>
        <v>0</v>
      </c>
      <c r="H109" s="53">
        <f>IFERROR(N(INDEX('Olin Standalone'!$D$112:$S$144,MATCH($B109,'Olin Standalone'!$C$112:$C$144,0),MATCH(H$95,'Olin Standalone'!$D$111:$S$111,0))),0)+IFERROR(N(INDEX('Huntsman Standalone'!$D$113:$S$145,MATCH($B109,'Huntsman Standalone'!$C$113:$C$145,0),MATCH(H$95,'Huntsman Standalone'!$D$112:$S$112,0))),0)</f>
        <v>0</v>
      </c>
      <c r="I109" s="101">
        <f>IFERROR(N(INDEX('Olin Standalone'!$D$112:$S$144,MATCH($B109,'Olin Standalone'!$C$112:$C$144,0),MATCH(I$95,'Olin Standalone'!$D$111:$S$111,0))),0)+IFERROR(N(INDEX('Huntsman Standalone'!$D$113:$S$145,MATCH($B109,'Huntsman Standalone'!$C$113:$C$145,0),MATCH(I$95,'Huntsman Standalone'!$D$112:$S$112,0))),0)</f>
        <v>0</v>
      </c>
    </row>
    <row r="110" spans="1:9" x14ac:dyDescent="0.15">
      <c r="B110" s="2" t="s">
        <v>287</v>
      </c>
      <c r="C110" s="39">
        <f>IFERROR(N(INDEX('Olin Standalone'!$D$112:$S$144,MATCH($B110,'Olin Standalone'!$C$112:$C$144,0),MATCH(C$95,'Olin Standalone'!$D$111:$S$111,0))),0)+IFERROR(N(INDEX('Huntsman Standalone'!$D$113:$S$145,MATCH($B110,'Huntsman Standalone'!$C$113:$C$145,0),MATCH(C$95,'Huntsman Standalone'!$D$112:$S$112,0))),0)</f>
        <v>-55.8</v>
      </c>
      <c r="D110" s="100">
        <f>IFERROR(N(INDEX('Olin Standalone'!$D$112:$S$144,MATCH($B110,'Olin Standalone'!$C$112:$C$144,0),MATCH(D$95,'Olin Standalone'!$D$111:$S$111,0))),0)+IFERROR(N(INDEX('Huntsman Standalone'!$D$113:$S$145,MATCH($B110,'Huntsman Standalone'!$C$113:$C$145,0),MATCH(D$95,'Huntsman Standalone'!$D$112:$S$112,0))),0)</f>
        <v>0</v>
      </c>
      <c r="E110" s="53">
        <f>IFERROR(N(INDEX('Olin Standalone'!$D$112:$S$144,MATCH($B110,'Olin Standalone'!$C$112:$C$144,0),MATCH(E$95,'Olin Standalone'!$D$111:$S$111,0))),0)+IFERROR(N(INDEX('Huntsman Standalone'!$D$113:$S$145,MATCH($B110,'Huntsman Standalone'!$C$113:$C$145,0),MATCH(E$95,'Huntsman Standalone'!$D$112:$S$112,0))),0)</f>
        <v>0</v>
      </c>
      <c r="F110" s="53">
        <f>IFERROR(N(INDEX('Olin Standalone'!$D$112:$S$144,MATCH($B110,'Olin Standalone'!$C$112:$C$144,0),MATCH(F$95,'Olin Standalone'!$D$111:$S$111,0))),0)+IFERROR(N(INDEX('Huntsman Standalone'!$D$113:$S$145,MATCH($B110,'Huntsman Standalone'!$C$113:$C$145,0),MATCH(F$95,'Huntsman Standalone'!$D$112:$S$112,0))),0)</f>
        <v>0</v>
      </c>
      <c r="G110" s="53">
        <f>IFERROR(N(INDEX('Olin Standalone'!$D$112:$S$144,MATCH($B110,'Olin Standalone'!$C$112:$C$144,0),MATCH(G$95,'Olin Standalone'!$D$111:$S$111,0))),0)+IFERROR(N(INDEX('Huntsman Standalone'!$D$113:$S$145,MATCH($B110,'Huntsman Standalone'!$C$113:$C$145,0),MATCH(G$95,'Huntsman Standalone'!$D$112:$S$112,0))),0)</f>
        <v>0</v>
      </c>
      <c r="H110" s="53">
        <f>IFERROR(N(INDEX('Olin Standalone'!$D$112:$S$144,MATCH($B110,'Olin Standalone'!$C$112:$C$144,0),MATCH(H$95,'Olin Standalone'!$D$111:$S$111,0))),0)+IFERROR(N(INDEX('Huntsman Standalone'!$D$113:$S$145,MATCH($B110,'Huntsman Standalone'!$C$113:$C$145,0),MATCH(H$95,'Huntsman Standalone'!$D$112:$S$112,0))),0)</f>
        <v>0</v>
      </c>
      <c r="I110" s="101">
        <f>IFERROR(N(INDEX('Olin Standalone'!$D$112:$S$144,MATCH($B110,'Olin Standalone'!$C$112:$C$144,0),MATCH(I$95,'Olin Standalone'!$D$111:$S$111,0))),0)+IFERROR(N(INDEX('Huntsman Standalone'!$D$113:$S$145,MATCH($B110,'Huntsman Standalone'!$C$113:$C$145,0),MATCH(I$95,'Huntsman Standalone'!$D$112:$S$112,0))),0)</f>
        <v>0</v>
      </c>
    </row>
    <row r="111" spans="1:9" x14ac:dyDescent="0.15">
      <c r="B111" s="2" t="s">
        <v>288</v>
      </c>
      <c r="C111" s="39">
        <f>IFERROR(N(INDEX('Olin Standalone'!$D$112:$S$144,MATCH($B111,'Olin Standalone'!$C$112:$C$144,0),MATCH(C$95,'Olin Standalone'!$D$111:$S$111,0))),0)+IFERROR(N(INDEX('Huntsman Standalone'!$D$113:$S$145,MATCH($B111,'Huntsman Standalone'!$C$113:$C$145,0),MATCH(C$95,'Huntsman Standalone'!$D$112:$S$112,0))),0)</f>
        <v>-52.3</v>
      </c>
      <c r="D111" s="100">
        <f>IFERROR(N(INDEX('Olin Standalone'!$D$112:$S$144,MATCH($B111,'Olin Standalone'!$C$112:$C$144,0),MATCH(D$95,'Olin Standalone'!$D$111:$S$111,0))),0)+IFERROR(N(INDEX('Huntsman Standalone'!$D$113:$S$145,MATCH($B111,'Huntsman Standalone'!$C$113:$C$145,0),MATCH(D$95,'Huntsman Standalone'!$D$112:$S$112,0))),0)</f>
        <v>0</v>
      </c>
      <c r="E111" s="53">
        <f>IFERROR(N(INDEX('Olin Standalone'!$D$112:$S$144,MATCH($B111,'Olin Standalone'!$C$112:$C$144,0),MATCH(E$95,'Olin Standalone'!$D$111:$S$111,0))),0)+IFERROR(N(INDEX('Huntsman Standalone'!$D$113:$S$145,MATCH($B111,'Huntsman Standalone'!$C$113:$C$145,0),MATCH(E$95,'Huntsman Standalone'!$D$112:$S$112,0))),0)</f>
        <v>0</v>
      </c>
      <c r="F111" s="53">
        <f>IFERROR(N(INDEX('Olin Standalone'!$D$112:$S$144,MATCH($B111,'Olin Standalone'!$C$112:$C$144,0),MATCH(F$95,'Olin Standalone'!$D$111:$S$111,0))),0)+IFERROR(N(INDEX('Huntsman Standalone'!$D$113:$S$145,MATCH($B111,'Huntsman Standalone'!$C$113:$C$145,0),MATCH(F$95,'Huntsman Standalone'!$D$112:$S$112,0))),0)</f>
        <v>0</v>
      </c>
      <c r="G111" s="53">
        <f>IFERROR(N(INDEX('Olin Standalone'!$D$112:$S$144,MATCH($B111,'Olin Standalone'!$C$112:$C$144,0),MATCH(G$95,'Olin Standalone'!$D$111:$S$111,0))),0)+IFERROR(N(INDEX('Huntsman Standalone'!$D$113:$S$145,MATCH($B111,'Huntsman Standalone'!$C$113:$C$145,0),MATCH(G$95,'Huntsman Standalone'!$D$112:$S$112,0))),0)</f>
        <v>0</v>
      </c>
      <c r="H111" s="53">
        <f>IFERROR(N(INDEX('Olin Standalone'!$D$112:$S$144,MATCH($B111,'Olin Standalone'!$C$112:$C$144,0),MATCH(H$95,'Olin Standalone'!$D$111:$S$111,0))),0)+IFERROR(N(INDEX('Huntsman Standalone'!$D$113:$S$145,MATCH($B111,'Huntsman Standalone'!$C$113:$C$145,0),MATCH(H$95,'Huntsman Standalone'!$D$112:$S$112,0))),0)</f>
        <v>0</v>
      </c>
      <c r="I111" s="101">
        <f>IFERROR(N(INDEX('Olin Standalone'!$D$112:$S$144,MATCH($B111,'Olin Standalone'!$C$112:$C$144,0),MATCH(I$95,'Olin Standalone'!$D$111:$S$111,0))),0)+IFERROR(N(INDEX('Huntsman Standalone'!$D$113:$S$145,MATCH($B111,'Huntsman Standalone'!$C$113:$C$145,0),MATCH(I$95,'Huntsman Standalone'!$D$112:$S$112,0))),0)</f>
        <v>0</v>
      </c>
    </row>
    <row r="112" spans="1:9" x14ac:dyDescent="0.15">
      <c r="B112" s="88" t="s">
        <v>289</v>
      </c>
      <c r="C112" s="112">
        <f t="shared" ref="C112:I112" si="24">SUM(C107:C111)</f>
        <v>-507.40000000000003</v>
      </c>
      <c r="D112" s="302">
        <f t="shared" si="24"/>
        <v>-400.44544080000003</v>
      </c>
      <c r="E112" s="303">
        <f t="shared" si="24"/>
        <v>-413.41680325679999</v>
      </c>
      <c r="F112" s="303">
        <f t="shared" si="24"/>
        <v>-445.35946775007073</v>
      </c>
      <c r="G112" s="303">
        <f t="shared" si="24"/>
        <v>-464.91274788115533</v>
      </c>
      <c r="H112" s="303">
        <f t="shared" si="24"/>
        <v>-494.40748223330218</v>
      </c>
      <c r="I112" s="304">
        <f t="shared" si="24"/>
        <v>-519.02366342530877</v>
      </c>
    </row>
    <row r="113" spans="2:9" x14ac:dyDescent="0.15">
      <c r="B113" s="48"/>
      <c r="C113" s="39"/>
      <c r="D113" s="100"/>
      <c r="E113" s="53"/>
      <c r="F113" s="53"/>
      <c r="G113" s="53"/>
      <c r="H113" s="53"/>
      <c r="I113" s="101"/>
    </row>
    <row r="114" spans="2:9" x14ac:dyDescent="0.15">
      <c r="B114" s="2" t="s">
        <v>290</v>
      </c>
      <c r="C114" s="39">
        <f>IF(YEAR(C$95)&lt;'Main Page &amp; Assumptions'!$D$14,IFERROR(N(INDEX('Olin Standalone'!$D$112:$S$144,MATCH($B114,'Olin Standalone'!$C$112:$C$144,0),MATCH(C$95,'Olin Standalone'!$D$111:$S$111,0))),0)+IFERROR(N(INDEX('Huntsman Standalone'!$D$113:$S$145,MATCH($B114,'Huntsman Standalone'!$C$113:$C$145,0),MATCH(C$95,'Huntsman Standalone'!$D$112:$S$112,0))),0),0)</f>
        <v>460</v>
      </c>
      <c r="D114" s="100">
        <f ca="1">IF(YEAR(D$95)&lt;'Main Page &amp; Assumptions'!$D$14,IFERROR(N(INDEX('Olin Standalone'!$D$112:$S$144,MATCH($B114,'Olin Standalone'!$C$112:$C$144,0),MATCH(D$95,'Olin Standalone'!$D$111:$S$111,0))),0)+IFERROR(N(INDEX('Huntsman Standalone'!$D$113:$S$145,MATCH($B114,'Huntsman Standalone'!$C$113:$C$145,0),MATCH(D$95,'Huntsman Standalone'!$D$112:$S$112,0))),0),0)</f>
        <v>0</v>
      </c>
      <c r="E114" s="53">
        <f>IF(YEAR(E$95)&lt;'Main Page &amp; Assumptions'!$D$14,IFERROR(N(INDEX('Olin Standalone'!$D$112:$S$144,MATCH($B114,'Olin Standalone'!$C$112:$C$144,0),MATCH(E$95,'Olin Standalone'!$D$111:$S$111,0))),0)+IFERROR(N(INDEX('Huntsman Standalone'!$D$113:$S$145,MATCH($B114,'Huntsman Standalone'!$C$113:$C$145,0),MATCH(E$95,'Huntsman Standalone'!$D$112:$S$112,0))),0),0)</f>
        <v>0</v>
      </c>
      <c r="F114" s="53">
        <f>IF(YEAR(F$95)&lt;'Main Page &amp; Assumptions'!$D$14,IFERROR(N(INDEX('Olin Standalone'!$D$112:$S$144,MATCH($B114,'Olin Standalone'!$C$112:$C$144,0),MATCH(F$95,'Olin Standalone'!$D$111:$S$111,0))),0)+IFERROR(N(INDEX('Huntsman Standalone'!$D$113:$S$145,MATCH($B114,'Huntsman Standalone'!$C$113:$C$145,0),MATCH(F$95,'Huntsman Standalone'!$D$112:$S$112,0))),0),0)</f>
        <v>0</v>
      </c>
      <c r="G114" s="53">
        <f>IF(YEAR(G$95)&lt;'Main Page &amp; Assumptions'!$D$14,IFERROR(N(INDEX('Olin Standalone'!$D$112:$S$144,MATCH($B114,'Olin Standalone'!$C$112:$C$144,0),MATCH(G$95,'Olin Standalone'!$D$111:$S$111,0))),0)+IFERROR(N(INDEX('Huntsman Standalone'!$D$113:$S$145,MATCH($B114,'Huntsman Standalone'!$C$113:$C$145,0),MATCH(G$95,'Huntsman Standalone'!$D$112:$S$112,0))),0),0)</f>
        <v>0</v>
      </c>
      <c r="H114" s="53">
        <f>IF(YEAR(H$95)&lt;'Main Page &amp; Assumptions'!$D$14,IFERROR(N(INDEX('Olin Standalone'!$D$112:$S$144,MATCH($B114,'Olin Standalone'!$C$112:$C$144,0),MATCH(H$95,'Olin Standalone'!$D$111:$S$111,0))),0)+IFERROR(N(INDEX('Huntsman Standalone'!$D$113:$S$145,MATCH($B114,'Huntsman Standalone'!$C$113:$C$145,0),MATCH(H$95,'Huntsman Standalone'!$D$112:$S$112,0))),0),0)</f>
        <v>0</v>
      </c>
      <c r="I114" s="101">
        <f>IF(YEAR(I$95)&lt;'Main Page &amp; Assumptions'!$D$14,IFERROR(N(INDEX('Olin Standalone'!$D$112:$S$144,MATCH($B114,'Olin Standalone'!$C$112:$C$144,0),MATCH(I$95,'Olin Standalone'!$D$111:$S$111,0))),0)+IFERROR(N(INDEX('Huntsman Standalone'!$D$113:$S$145,MATCH($B114,'Huntsman Standalone'!$C$113:$C$145,0),MATCH(I$95,'Huntsman Standalone'!$D$112:$S$112,0))),0),0)</f>
        <v>0</v>
      </c>
    </row>
    <row r="115" spans="2:9" x14ac:dyDescent="0.15">
      <c r="B115" s="2" t="s">
        <v>291</v>
      </c>
      <c r="C115" s="39">
        <f>IFERROR(N(INDEX('Olin Standalone'!$D$112:$S$144,MATCH($B115,'Olin Standalone'!$C$112:$C$144,0),MATCH(C$95,'Olin Standalone'!$D$111:$S$111,0))),0)+IFERROR(N(INDEX('Huntsman Standalone'!$D$113:$S$145,MATCH($B115,'Huntsman Standalone'!$C$113:$C$145,0),MATCH(C$95,'Huntsman Standalone'!$D$112:$S$112,0))),0)</f>
        <v>120.8</v>
      </c>
      <c r="D115" s="100">
        <f>IFERROR(N(INDEX('Olin Standalone'!$D$112:$S$144,MATCH($B115,'Olin Standalone'!$C$112:$C$144,0),MATCH(D$95,'Olin Standalone'!$D$111:$S$111,0))),0)+IFERROR(N(INDEX('Huntsman Standalone'!$D$113:$S$145,MATCH($B115,'Huntsman Standalone'!$C$113:$C$145,0),MATCH(D$95,'Huntsman Standalone'!$D$112:$S$112,0))),0)</f>
        <v>-109.7</v>
      </c>
      <c r="E115" s="53">
        <f>IFERROR(N(INDEX('Olin Standalone'!$D$112:$S$144,MATCH($B115,'Olin Standalone'!$C$112:$C$144,0),MATCH(E$95,'Olin Standalone'!$D$111:$S$111,0))),0)+IFERROR(N(INDEX('Huntsman Standalone'!$D$113:$S$145,MATCH($B115,'Huntsman Standalone'!$C$113:$C$145,0),MATCH(E$95,'Huntsman Standalone'!$D$112:$S$112,0))),0)</f>
        <v>0</v>
      </c>
      <c r="F115" s="53">
        <f>IFERROR(N(INDEX('Olin Standalone'!$D$112:$S$144,MATCH($B115,'Olin Standalone'!$C$112:$C$144,0),MATCH(F$95,'Olin Standalone'!$D$111:$S$111,0))),0)+IFERROR(N(INDEX('Huntsman Standalone'!$D$113:$S$145,MATCH($B115,'Huntsman Standalone'!$C$113:$C$145,0),MATCH(F$95,'Huntsman Standalone'!$D$112:$S$112,0))),0)</f>
        <v>0</v>
      </c>
      <c r="G115" s="53">
        <f>IFERROR(N(INDEX('Olin Standalone'!$D$112:$S$144,MATCH($B115,'Olin Standalone'!$C$112:$C$144,0),MATCH(G$95,'Olin Standalone'!$D$111:$S$111,0))),0)+IFERROR(N(INDEX('Huntsman Standalone'!$D$113:$S$145,MATCH($B115,'Huntsman Standalone'!$C$113:$C$145,0),MATCH(G$95,'Huntsman Standalone'!$D$112:$S$112,0))),0)</f>
        <v>0</v>
      </c>
      <c r="H115" s="53">
        <f>IFERROR(N(INDEX('Olin Standalone'!$D$112:$S$144,MATCH($B115,'Olin Standalone'!$C$112:$C$144,0),MATCH(H$95,'Olin Standalone'!$D$111:$S$111,0))),0)+IFERROR(N(INDEX('Huntsman Standalone'!$D$113:$S$145,MATCH($B115,'Huntsman Standalone'!$C$113:$C$145,0),MATCH(H$95,'Huntsman Standalone'!$D$112:$S$112,0))),0)</f>
        <v>-528.09999999999991</v>
      </c>
      <c r="I115" s="101">
        <f>IFERROR(N(INDEX('Olin Standalone'!$D$112:$S$144,MATCH($B115,'Olin Standalone'!$C$112:$C$144,0),MATCH(I$95,'Olin Standalone'!$D$111:$S$111,0))),0)+IFERROR(N(INDEX('Huntsman Standalone'!$D$113:$S$145,MATCH($B115,'Huntsman Standalone'!$C$113:$C$145,0),MATCH(I$95,'Huntsman Standalone'!$D$112:$S$112,0))),0)</f>
        <v>0</v>
      </c>
    </row>
    <row r="116" spans="2:9" x14ac:dyDescent="0.15">
      <c r="B116" s="2" t="s">
        <v>292</v>
      </c>
      <c r="C116" s="39">
        <f>IFERROR(N(INDEX('Olin Standalone'!$D$112:$S$144,MATCH($B116,'Olin Standalone'!$C$112:$C$144,0),MATCH(C$95,'Olin Standalone'!$D$111:$S$111,0))),0)+IFERROR(N(INDEX('Huntsman Standalone'!$D$113:$S$145,MATCH($B116,'Huntsman Standalone'!$C$113:$C$145,0),MATCH(C$95,'Huntsman Standalone'!$D$112:$S$112,0))),0)</f>
        <v>-51.2</v>
      </c>
      <c r="D116" s="100">
        <f>IFERROR(N(INDEX('Olin Standalone'!$D$112:$S$144,MATCH($B116,'Olin Standalone'!$C$112:$C$144,0),MATCH(D$95,'Olin Standalone'!$D$111:$S$111,0))),0)+IFERROR(N(INDEX('Huntsman Standalone'!$D$113:$S$145,MATCH($B116,'Huntsman Standalone'!$C$113:$C$145,0),MATCH(D$95,'Huntsman Standalone'!$D$112:$S$112,0))),0)</f>
        <v>60</v>
      </c>
      <c r="E116" s="53">
        <f>IFERROR(N(INDEX('Olin Standalone'!$D$112:$S$144,MATCH($B116,'Olin Standalone'!$C$112:$C$144,0),MATCH(E$95,'Olin Standalone'!$D$111:$S$111,0))),0)+IFERROR(N(INDEX('Huntsman Standalone'!$D$113:$S$145,MATCH($B116,'Huntsman Standalone'!$C$113:$C$145,0),MATCH(E$95,'Huntsman Standalone'!$D$112:$S$112,0))),0)</f>
        <v>12</v>
      </c>
      <c r="F116" s="53">
        <f>IFERROR(N(INDEX('Olin Standalone'!$D$112:$S$144,MATCH($B116,'Olin Standalone'!$C$112:$C$144,0),MATCH(F$95,'Olin Standalone'!$D$111:$S$111,0))),0)+IFERROR(N(INDEX('Huntsman Standalone'!$D$113:$S$145,MATCH($B116,'Huntsman Standalone'!$C$113:$C$145,0),MATCH(F$95,'Huntsman Standalone'!$D$112:$S$112,0))),0)</f>
        <v>14</v>
      </c>
      <c r="G116" s="53">
        <f>IFERROR(N(INDEX('Olin Standalone'!$D$112:$S$144,MATCH($B116,'Olin Standalone'!$C$112:$C$144,0),MATCH(G$95,'Olin Standalone'!$D$111:$S$111,0))),0)+IFERROR(N(INDEX('Huntsman Standalone'!$D$113:$S$145,MATCH($B116,'Huntsman Standalone'!$C$113:$C$145,0),MATCH(G$95,'Huntsman Standalone'!$D$112:$S$112,0))),0)</f>
        <v>15</v>
      </c>
      <c r="H116" s="53">
        <f>IFERROR(N(INDEX('Olin Standalone'!$D$112:$S$144,MATCH($B116,'Olin Standalone'!$C$112:$C$144,0),MATCH(H$95,'Olin Standalone'!$D$111:$S$111,0))),0)+IFERROR(N(INDEX('Huntsman Standalone'!$D$113:$S$145,MATCH($B116,'Huntsman Standalone'!$C$113:$C$145,0),MATCH(H$95,'Huntsman Standalone'!$D$112:$S$112,0))),0)</f>
        <v>16</v>
      </c>
      <c r="I116" s="101">
        <f>IFERROR(N(INDEX('Olin Standalone'!$D$112:$S$144,MATCH($B116,'Olin Standalone'!$C$112:$C$144,0),MATCH(I$95,'Olin Standalone'!$D$111:$S$111,0))),0)+IFERROR(N(INDEX('Huntsman Standalone'!$D$113:$S$145,MATCH($B116,'Huntsman Standalone'!$C$113:$C$145,0),MATCH(I$95,'Huntsman Standalone'!$D$112:$S$112,0))),0)</f>
        <v>16</v>
      </c>
    </row>
    <row r="117" spans="2:9" x14ac:dyDescent="0.15">
      <c r="B117" s="2" t="s">
        <v>293</v>
      </c>
      <c r="C117" s="39">
        <f>IF(YEAR(C$95)&lt;'Main Page &amp; Assumptions'!$D$14,IFERROR(N(INDEX('Olin Standalone'!$D$112:$S$144,MATCH($B117,'Olin Standalone'!$C$112:$C$144,0),MATCH(C$95,'Olin Standalone'!$D$111:$S$111,0))),0)+IFERROR(N(INDEX('Huntsman Standalone'!$D$113:$S$145,MATCH($B117,'Huntsman Standalone'!$C$113:$C$145,0),MATCH(C$95,'Huntsman Standalone'!$D$112:$S$112,0))),0),-C91*IFERROR(INDEX('Olin Equity Schedule'!$D:$R,MATCH("Dividend Per Share",'Olin Equity Schedule'!$B:$B,0),MATCH(C$95,'Olin Equity Schedule'!$D$5:$R$5,0)),0))</f>
        <v>-237.6</v>
      </c>
      <c r="D117" s="100">
        <f>IF(YEAR(D$95)&lt;'Main Page &amp; Assumptions'!$D$14,IFERROR(N(INDEX('Olin Standalone'!$D$112:$S$144,MATCH($B117,'Olin Standalone'!$C$112:$C$144,0),MATCH(D$95,'Olin Standalone'!$D$111:$S$111,0))),0)+IFERROR(N(INDEX('Huntsman Standalone'!$D$113:$S$145,MATCH($B117,'Huntsman Standalone'!$C$113:$C$145,0),MATCH(D$95,'Huntsman Standalone'!$D$112:$S$112,0))),0),-D91*IFERROR(INDEX('Olin Equity Schedule'!$D:$R,MATCH("Dividend Per Share",'Olin Equity Schedule'!$B:$B,0),MATCH(D$95,'Olin Equity Schedule'!$D$5:$R$5,0)),0))</f>
        <v>-237.5872</v>
      </c>
      <c r="E117" s="53">
        <f>IF(YEAR(E$95)&lt;'Main Page &amp; Assumptions'!$D$14,IFERROR(N(INDEX('Olin Standalone'!$D$112:$S$144,MATCH($B117,'Olin Standalone'!$C$112:$C$144,0),MATCH(E$95,'Olin Standalone'!$D$111:$S$111,0))),0)+IFERROR(N(INDEX('Huntsman Standalone'!$D$113:$S$145,MATCH($B117,'Huntsman Standalone'!$C$113:$C$145,0),MATCH(E$95,'Huntsman Standalone'!$D$112:$S$112,0))),0),-E91*IFERROR(INDEX('Olin Equity Schedule'!$D:$R,MATCH("Dividend Per Share",'Olin Equity Schedule'!$B:$B,0),MATCH(E$95,'Olin Equity Schedule'!$D$5:$R$5,0)),0))</f>
        <v>-170.102048</v>
      </c>
      <c r="F117" s="53">
        <f>IF(YEAR(F$95)&lt;'Main Page &amp; Assumptions'!$D$14,IFERROR(N(INDEX('Olin Standalone'!$D$112:$S$144,MATCH($B117,'Olin Standalone'!$C$112:$C$144,0),MATCH(F$95,'Olin Standalone'!$D$111:$S$111,0))),0)+IFERROR(N(INDEX('Huntsman Standalone'!$D$113:$S$145,MATCH($B117,'Huntsman Standalone'!$C$113:$C$145,0),MATCH(F$95,'Huntsman Standalone'!$D$112:$S$112,0))),0),-F91*IFERROR(INDEX('Olin Equity Schedule'!$D:$R,MATCH("Dividend Per Share",'Olin Equity Schedule'!$B:$B,0),MATCH(F$95,'Olin Equity Schedule'!$D$5:$R$5,0)),0))</f>
        <v>-170.502048</v>
      </c>
      <c r="G117" s="53">
        <f>IF(YEAR(G$95)&lt;'Main Page &amp; Assumptions'!$D$14,IFERROR(N(INDEX('Olin Standalone'!$D$112:$S$144,MATCH($B117,'Olin Standalone'!$C$112:$C$144,0),MATCH(G$95,'Olin Standalone'!$D$111:$S$111,0))),0)+IFERROR(N(INDEX('Huntsman Standalone'!$D$113:$S$145,MATCH($B117,'Huntsman Standalone'!$C$113:$C$145,0),MATCH(G$95,'Huntsman Standalone'!$D$112:$S$112,0))),0),-G91*IFERROR(INDEX('Olin Equity Schedule'!$D:$R,MATCH("Dividend Per Share",'Olin Equity Schedule'!$B:$B,0),MATCH(G$95,'Olin Equity Schedule'!$D$5:$R$5,0)),0))</f>
        <v>-170.90204800000001</v>
      </c>
      <c r="H117" s="53">
        <f>IF(YEAR(H$95)&lt;'Main Page &amp; Assumptions'!$D$14,IFERROR(N(INDEX('Olin Standalone'!$D$112:$S$144,MATCH($B117,'Olin Standalone'!$C$112:$C$144,0),MATCH(H$95,'Olin Standalone'!$D$111:$S$111,0))),0)+IFERROR(N(INDEX('Huntsman Standalone'!$D$113:$S$145,MATCH($B117,'Huntsman Standalone'!$C$113:$C$145,0),MATCH(H$95,'Huntsman Standalone'!$D$112:$S$112,0))),0),-H91*IFERROR(INDEX('Olin Equity Schedule'!$D:$R,MATCH("Dividend Per Share",'Olin Equity Schedule'!$B:$B,0),MATCH(H$95,'Olin Equity Schedule'!$D$5:$R$5,0)),0))</f>
        <v>-171.30204800000001</v>
      </c>
      <c r="I117" s="101">
        <f>IF(YEAR(I$95)&lt;'Main Page &amp; Assumptions'!$D$14,IFERROR(N(INDEX('Olin Standalone'!$D$112:$S$144,MATCH($B117,'Olin Standalone'!$C$112:$C$144,0),MATCH(I$95,'Olin Standalone'!$D$111:$S$111,0))),0)+IFERROR(N(INDEX('Huntsman Standalone'!$D$113:$S$145,MATCH($B117,'Huntsman Standalone'!$C$113:$C$145,0),MATCH(I$95,'Huntsman Standalone'!$D$112:$S$112,0))),0),-I91*IFERROR(INDEX('Olin Equity Schedule'!$D:$R,MATCH("Dividend Per Share",'Olin Equity Schedule'!$B:$B,0),MATCH(I$95,'Olin Equity Schedule'!$D$5:$R$5,0)),0))</f>
        <v>-171.70204799999999</v>
      </c>
    </row>
    <row r="118" spans="2:9" x14ac:dyDescent="0.15">
      <c r="B118" s="88" t="s">
        <v>294</v>
      </c>
      <c r="C118" s="89">
        <f t="shared" ref="C118:I118" si="25">SUM(C114:C117)</f>
        <v>291.99999999999989</v>
      </c>
      <c r="D118" s="289">
        <f t="shared" ca="1" si="25"/>
        <v>-287.28719999999998</v>
      </c>
      <c r="E118" s="290">
        <f t="shared" si="25"/>
        <v>-158.102048</v>
      </c>
      <c r="F118" s="290">
        <f t="shared" si="25"/>
        <v>-156.502048</v>
      </c>
      <c r="G118" s="290">
        <f t="shared" si="25"/>
        <v>-155.90204800000001</v>
      </c>
      <c r="H118" s="290">
        <f t="shared" si="25"/>
        <v>-683.40204799999992</v>
      </c>
      <c r="I118" s="291">
        <f t="shared" si="25"/>
        <v>-155.70204799999999</v>
      </c>
    </row>
    <row r="119" spans="2:9" x14ac:dyDescent="0.15">
      <c r="C119" s="39"/>
      <c r="D119" s="100"/>
      <c r="E119" s="53"/>
      <c r="F119" s="53"/>
      <c r="G119" s="53"/>
      <c r="H119" s="53"/>
      <c r="I119" s="101"/>
    </row>
    <row r="120" spans="2:9" x14ac:dyDescent="0.15">
      <c r="B120" t="s">
        <v>177</v>
      </c>
      <c r="C120" s="39">
        <f>IFERROR(N(INDEX('Olin Standalone'!$D$112:$S$144,MATCH($B120,'Olin Standalone'!$C$112:$C$144,0),MATCH(C$95,'Olin Standalone'!$D$111:$S$111,0))),0)+IFERROR(N(INDEX('Huntsman Standalone'!$D$113:$S$145,MATCH($B120,'Huntsman Standalone'!$C$113:$C$145,0),MATCH(C$95,'Huntsman Standalone'!$D$112:$S$112,0))),0)</f>
        <v>8.4</v>
      </c>
      <c r="D120" s="100">
        <f>IFERROR(N(INDEX('Olin Standalone'!$D$112:$S$144,MATCH($B120,'Olin Standalone'!$C$112:$C$144,0),MATCH(D$95,'Olin Standalone'!$D$111:$S$111,0))),0)+IFERROR(N(INDEX('Huntsman Standalone'!$D$113:$S$145,MATCH($B120,'Huntsman Standalone'!$C$113:$C$145,0),MATCH(D$95,'Huntsman Standalone'!$D$112:$S$112,0))),0)</f>
        <v>0</v>
      </c>
      <c r="E120" s="53">
        <f>IFERROR(N(INDEX('Olin Standalone'!$D$112:$S$144,MATCH($B120,'Olin Standalone'!$C$112:$C$144,0),MATCH(E$95,'Olin Standalone'!$D$111:$S$111,0))),0)+IFERROR(N(INDEX('Huntsman Standalone'!$D$113:$S$145,MATCH($B120,'Huntsman Standalone'!$C$113:$C$145,0),MATCH(E$95,'Huntsman Standalone'!$D$112:$S$112,0))),0)</f>
        <v>0</v>
      </c>
      <c r="F120" s="53">
        <f>IFERROR(N(INDEX('Olin Standalone'!$D$112:$S$144,MATCH($B120,'Olin Standalone'!$C$112:$C$144,0),MATCH(F$95,'Olin Standalone'!$D$111:$S$111,0))),0)+IFERROR(N(INDEX('Huntsman Standalone'!$D$113:$S$145,MATCH($B120,'Huntsman Standalone'!$C$113:$C$145,0),MATCH(F$95,'Huntsman Standalone'!$D$112:$S$112,0))),0)</f>
        <v>0</v>
      </c>
      <c r="G120" s="53">
        <f>IFERROR(N(INDEX('Olin Standalone'!$D$112:$S$144,MATCH($B120,'Olin Standalone'!$C$112:$C$144,0),MATCH(G$95,'Olin Standalone'!$D$111:$S$111,0))),0)+IFERROR(N(INDEX('Huntsman Standalone'!$D$113:$S$145,MATCH($B120,'Huntsman Standalone'!$C$113:$C$145,0),MATCH(G$95,'Huntsman Standalone'!$D$112:$S$112,0))),0)</f>
        <v>0</v>
      </c>
      <c r="H120" s="53">
        <f>IFERROR(N(INDEX('Olin Standalone'!$D$112:$S$144,MATCH($B120,'Olin Standalone'!$C$112:$C$144,0),MATCH(H$95,'Olin Standalone'!$D$111:$S$111,0))),0)+IFERROR(N(INDEX('Huntsman Standalone'!$D$113:$S$145,MATCH($B120,'Huntsman Standalone'!$C$113:$C$145,0),MATCH(H$95,'Huntsman Standalone'!$D$112:$S$112,0))),0)</f>
        <v>0</v>
      </c>
      <c r="I120" s="101">
        <f>IFERROR(N(INDEX('Olin Standalone'!$D$112:$S$144,MATCH($B120,'Olin Standalone'!$C$112:$C$144,0),MATCH(I$95,'Olin Standalone'!$D$111:$S$111,0))),0)+IFERROR(N(INDEX('Huntsman Standalone'!$D$113:$S$145,MATCH($B120,'Huntsman Standalone'!$C$113:$C$145,0),MATCH(I$95,'Huntsman Standalone'!$D$112:$S$112,0))),0)</f>
        <v>0</v>
      </c>
    </row>
    <row r="121" spans="2:9" x14ac:dyDescent="0.15">
      <c r="B121" s="88" t="s">
        <v>178</v>
      </c>
      <c r="C121" s="89">
        <f t="shared" ref="C121:I121" si="26">C105+C112+C118+C120</f>
        <v>-69.900000000000233</v>
      </c>
      <c r="D121" s="94">
        <f t="shared" ca="1" si="26"/>
        <v>-195.08644777724231</v>
      </c>
      <c r="E121" s="89">
        <f t="shared" ca="1" si="26"/>
        <v>444.79431202639205</v>
      </c>
      <c r="F121" s="89">
        <f t="shared" ca="1" si="26"/>
        <v>1009.6340160412594</v>
      </c>
      <c r="G121" s="89">
        <f t="shared" ca="1" si="26"/>
        <v>1375.0699928676006</v>
      </c>
      <c r="H121" s="89">
        <f t="shared" ca="1" si="26"/>
        <v>1245.6078517027081</v>
      </c>
      <c r="I121" s="95">
        <f t="shared" ca="1" si="26"/>
        <v>2105.0894514510251</v>
      </c>
    </row>
    <row r="122" spans="2:9" x14ac:dyDescent="0.15">
      <c r="B122" t="s">
        <v>295</v>
      </c>
      <c r="C122" s="39">
        <f>IF(YEAR(C$95)='Main Page &amp; Assumptions'!$D$14,'Pro Forma Opening BS'!$G$5,IF(COLUMN()=COLUMN($C$122),IFERROR(N(INDEX('Olin Standalone'!$D$112:$S$144,MATCH($B122,'Olin Standalone'!$C$112:$C$144,0),MATCH(C$95,'Olin Standalone'!$D$111:$S$111,0))),0)+IFERROR(N(INDEX('Huntsman Standalone'!$D$113:$S$145,MATCH($B122,'Huntsman Standalone'!$C$113:$C$145,0),MATCH(C$95,'Huntsman Standalone'!$D$112:$S$112,0))),0),B123))</f>
        <v>515.6</v>
      </c>
      <c r="D122" s="98">
        <f>IF(YEAR(D$95)='Main Page &amp; Assumptions'!$D$14,'Pro Forma Opening BS'!$G$5,IF(COLUMN()=COLUMN($C$122),IFERROR(N(INDEX('Olin Standalone'!$D$112:$S$144,MATCH($B122,'Olin Standalone'!$C$112:$C$144,0),MATCH(D$95,'Olin Standalone'!$D$111:$S$111,0))),0)+IFERROR(N(INDEX('Huntsman Standalone'!$D$113:$S$145,MATCH($B122,'Huntsman Standalone'!$C$113:$C$145,0),MATCH(D$95,'Huntsman Standalone'!$D$112:$S$112,0))),0),C123))</f>
        <v>445.69999999999982</v>
      </c>
      <c r="E122" s="39">
        <f ca="1">IF(YEAR(E$95)='Main Page &amp; Assumptions'!$D$14,'Pro Forma Opening BS'!$G$5,IF(COLUMN()=COLUMN($C$122),IFERROR(N(INDEX('Olin Standalone'!$D$112:$S$144,MATCH($B122,'Olin Standalone'!$C$112:$C$144,0),MATCH(E$95,'Olin Standalone'!$D$111:$S$111,0))),0)+IFERROR(N(INDEX('Huntsman Standalone'!$D$113:$S$145,MATCH($B122,'Huntsman Standalone'!$C$113:$C$145,0),MATCH(E$95,'Huntsman Standalone'!$D$112:$S$112,0))),0),D123))</f>
        <v>143.73931694070689</v>
      </c>
      <c r="F122" s="39">
        <f ca="1">IF(YEAR(F$95)='Main Page &amp; Assumptions'!$D$14,'Pro Forma Opening BS'!$G$5,IF(COLUMN()=COLUMN($C$122),IFERROR(N(INDEX('Olin Standalone'!$D$112:$S$144,MATCH($B122,'Olin Standalone'!$C$112:$C$144,0),MATCH(F$95,'Olin Standalone'!$D$111:$S$111,0))),0)+IFERROR(N(INDEX('Huntsman Standalone'!$D$113:$S$145,MATCH($B122,'Huntsman Standalone'!$C$113:$C$145,0),MATCH(F$95,'Huntsman Standalone'!$D$112:$S$112,0))),0),E123))</f>
        <v>588.53362896709893</v>
      </c>
      <c r="G122" s="39">
        <f ca="1">IF(YEAR(G$95)='Main Page &amp; Assumptions'!$D$14,'Pro Forma Opening BS'!$G$5,IF(COLUMN()=COLUMN($C$122),IFERROR(N(INDEX('Olin Standalone'!$D$112:$S$144,MATCH($B122,'Olin Standalone'!$C$112:$C$144,0),MATCH(G$95,'Olin Standalone'!$D$111:$S$111,0))),0)+IFERROR(N(INDEX('Huntsman Standalone'!$D$113:$S$145,MATCH($B122,'Huntsman Standalone'!$C$113:$C$145,0),MATCH(G$95,'Huntsman Standalone'!$D$112:$S$112,0))),0),F123))</f>
        <v>1598.1676450083582</v>
      </c>
      <c r="H122" s="39">
        <f ca="1">IF(YEAR(H$95)='Main Page &amp; Assumptions'!$D$14,'Pro Forma Opening BS'!$G$5,IF(COLUMN()=COLUMN($C$122),IFERROR(N(INDEX('Olin Standalone'!$D$112:$S$144,MATCH($B122,'Olin Standalone'!$C$112:$C$144,0),MATCH(H$95,'Olin Standalone'!$D$111:$S$111,0))),0)+IFERROR(N(INDEX('Huntsman Standalone'!$D$113:$S$145,MATCH($B122,'Huntsman Standalone'!$C$113:$C$145,0),MATCH(H$95,'Huntsman Standalone'!$D$112:$S$112,0))),0),G123))</f>
        <v>2973.2376378759591</v>
      </c>
      <c r="I122" s="99">
        <f ca="1">IF(YEAR(I$95)='Main Page &amp; Assumptions'!$D$14,'Pro Forma Opening BS'!$G$5,IF(COLUMN()=COLUMN($C$122),IFERROR(N(INDEX('Olin Standalone'!$D$112:$S$144,MATCH($B122,'Olin Standalone'!$C$112:$C$144,0),MATCH(I$95,'Olin Standalone'!$D$111:$S$111,0))),0)+IFERROR(N(INDEX('Huntsman Standalone'!$D$113:$S$145,MATCH($B122,'Huntsman Standalone'!$C$113:$C$145,0),MATCH(I$95,'Huntsman Standalone'!$D$112:$S$112,0))),0),H123))</f>
        <v>4218.8454895786672</v>
      </c>
    </row>
    <row r="123" spans="2:9" ht="14" thickBot="1" x14ac:dyDescent="0.2">
      <c r="B123" s="133" t="s">
        <v>296</v>
      </c>
      <c r="C123" s="135">
        <f t="shared" ref="C123:I123" si="27">C122+C121</f>
        <v>445.69999999999982</v>
      </c>
      <c r="D123" s="134">
        <f t="shared" ca="1" si="27"/>
        <v>250.61355222275751</v>
      </c>
      <c r="E123" s="135">
        <f t="shared" ca="1" si="27"/>
        <v>588.53362896709893</v>
      </c>
      <c r="F123" s="135">
        <f t="shared" ca="1" si="27"/>
        <v>1598.1676450083582</v>
      </c>
      <c r="G123" s="135">
        <f t="shared" ca="1" si="27"/>
        <v>2973.2376378759591</v>
      </c>
      <c r="H123" s="135">
        <f t="shared" ca="1" si="27"/>
        <v>4218.8454895786672</v>
      </c>
      <c r="I123" s="136">
        <f t="shared" ca="1" si="27"/>
        <v>6323.9349410296927</v>
      </c>
    </row>
    <row r="124" spans="2:9" ht="14" thickTop="1" x14ac:dyDescent="0.15">
      <c r="C124" s="39" t="str">
        <f>IFERROR(
INDEX('Olin Raw'!$B$92:$K$111,
MATCH(TRIM($A122),'Olin Raw'!$M$92:$M$111,0),
MATCH(C$6,'Olin Raw'!$B$89:$K$89,0)
),"")</f>
        <v/>
      </c>
      <c r="D124" s="98"/>
      <c r="E124" s="39"/>
      <c r="F124" s="39"/>
      <c r="G124" s="39"/>
      <c r="H124" s="39"/>
      <c r="I124" s="99"/>
    </row>
    <row r="125" spans="2:9" x14ac:dyDescent="0.15">
      <c r="B125" t="s">
        <v>187</v>
      </c>
      <c r="C125" s="39">
        <f t="shared" ref="C125:I125" si="28">C22</f>
        <v>-125.70000000000073</v>
      </c>
      <c r="D125" s="98">
        <f t="shared" si="28"/>
        <v>233.50960248000047</v>
      </c>
      <c r="E125" s="39">
        <f t="shared" si="28"/>
        <v>546.15981059628871</v>
      </c>
      <c r="F125" s="39">
        <f t="shared" si="28"/>
        <v>1186.2120325947938</v>
      </c>
      <c r="G125" s="39">
        <f t="shared" si="28"/>
        <v>1659.9059196756546</v>
      </c>
      <c r="H125" s="39">
        <f t="shared" si="28"/>
        <v>2186.2160416797515</v>
      </c>
      <c r="I125" s="99">
        <f t="shared" si="28"/>
        <v>2612.7510561070894</v>
      </c>
    </row>
    <row r="126" spans="2:9" x14ac:dyDescent="0.15">
      <c r="B126" s="48" t="s">
        <v>188</v>
      </c>
      <c r="C126" s="57">
        <f t="shared" ref="C126:I126" si="29">C125+C98</f>
        <v>395.89999999999918</v>
      </c>
      <c r="D126" s="96">
        <f t="shared" si="29"/>
        <v>739.81648504320049</v>
      </c>
      <c r="E126" s="57">
        <f t="shared" si="29"/>
        <v>1374.8923201806081</v>
      </c>
      <c r="F126" s="57">
        <f t="shared" si="29"/>
        <v>2035.2243741102666</v>
      </c>
      <c r="G126" s="57">
        <f t="shared" si="29"/>
        <v>2530.583839124618</v>
      </c>
      <c r="H126" s="57">
        <f t="shared" si="29"/>
        <v>3070.7879943925545</v>
      </c>
      <c r="I126" s="97">
        <f t="shared" si="29"/>
        <v>3521.3700863726071</v>
      </c>
    </row>
    <row r="127" spans="2:9" x14ac:dyDescent="0.15">
      <c r="B127" t="s">
        <v>198</v>
      </c>
      <c r="C127" s="39">
        <f t="shared" ref="C127:I127" si="30">C67+C75-C48</f>
        <v>4241.7</v>
      </c>
      <c r="D127" s="98">
        <f t="shared" ca="1" si="30"/>
        <v>4095.7872108370711</v>
      </c>
      <c r="E127" s="39">
        <f t="shared" ca="1" si="30"/>
        <v>3656.9194265884566</v>
      </c>
      <c r="F127" s="39">
        <f t="shared" ca="1" si="30"/>
        <v>2652.8369383249751</v>
      </c>
      <c r="G127" s="39">
        <f t="shared" ca="1" si="30"/>
        <v>1283.3184732351519</v>
      </c>
      <c r="H127" s="39">
        <f t="shared" ca="1" si="30"/>
        <v>-487.3628506897785</v>
      </c>
      <c r="I127" s="99">
        <f t="shared" ca="1" si="30"/>
        <v>-2591.0057743630259</v>
      </c>
    </row>
    <row r="128" spans="2:9" x14ac:dyDescent="0.15">
      <c r="B128" s="48" t="s">
        <v>297</v>
      </c>
      <c r="C128" s="57">
        <f t="shared" ref="C128:I128" si="31">C105+C107</f>
        <v>-262.2000000000001</v>
      </c>
      <c r="D128" s="140">
        <f t="shared" ca="1" si="31"/>
        <v>92.200752222757671</v>
      </c>
      <c r="E128" s="141">
        <f t="shared" ca="1" si="31"/>
        <v>602.89636002639202</v>
      </c>
      <c r="F128" s="141">
        <f t="shared" ca="1" si="31"/>
        <v>1166.1360640412595</v>
      </c>
      <c r="G128" s="141">
        <f t="shared" ca="1" si="31"/>
        <v>1530.9720408676005</v>
      </c>
      <c r="H128" s="141">
        <f t="shared" ca="1" si="31"/>
        <v>1929.009899702708</v>
      </c>
      <c r="I128" s="142">
        <f t="shared" ca="1" si="31"/>
        <v>2260.7914994510252</v>
      </c>
    </row>
    <row r="133" spans="5:5" x14ac:dyDescent="0.15">
      <c r="E133" s="48"/>
    </row>
  </sheetData>
  <mergeCells count="7">
    <mergeCell ref="D94:I94"/>
    <mergeCell ref="B2:I2"/>
    <mergeCell ref="B4:I4"/>
    <mergeCell ref="D5:I5"/>
    <mergeCell ref="B44:I44"/>
    <mergeCell ref="D45:I45"/>
    <mergeCell ref="B93:I93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5217A2A-04AC-2E47-9BC9-FCBA1E44E590}">
            <xm:f>YEAR(D$6)='Main Page &amp; Assumptions'!$D$14-1</xm:f>
            <x14:dxf>
              <font>
                <b/>
                <i val="0"/>
                <color theme="7"/>
              </font>
            </x14:dxf>
          </x14:cfRule>
          <xm:sqref>D43:I43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C6F71-308C-3046-90F2-C0F27AF80971}">
  <sheetPr codeName="Sheet13"/>
  <dimension ref="A1:U76"/>
  <sheetViews>
    <sheetView showGridLines="0" zoomScale="86" workbookViewId="0">
      <selection activeCell="D18" sqref="D18"/>
    </sheetView>
  </sheetViews>
  <sheetFormatPr baseColWidth="10" defaultColWidth="27.33203125" defaultRowHeight="13" x14ac:dyDescent="0.15"/>
  <cols>
    <col min="1" max="1" width="6.83203125" style="201" customWidth="1"/>
    <col min="2" max="2" width="36.6640625" style="201" customWidth="1"/>
    <col min="3" max="16384" width="27.33203125" style="201"/>
  </cols>
  <sheetData>
    <row r="1" spans="1:3" x14ac:dyDescent="0.15">
      <c r="A1" s="201" t="str">
        <f>HYPERLINK("#'Table of Contents'!A1", "&lt;---------")</f>
        <v>&lt;---------</v>
      </c>
    </row>
    <row r="3" spans="1:3" ht="16" x14ac:dyDescent="0.15">
      <c r="B3" s="344" t="s">
        <v>22</v>
      </c>
      <c r="C3" s="345"/>
    </row>
    <row r="4" spans="1:3" x14ac:dyDescent="0.15">
      <c r="B4" s="202"/>
      <c r="C4" s="200"/>
    </row>
    <row r="5" spans="1:3" x14ac:dyDescent="0.15">
      <c r="B5" s="202" t="s">
        <v>30</v>
      </c>
      <c r="C5" s="203">
        <f>'Main Page &amp; Assumptions'!$G$6</f>
        <v>2430.3867952000001</v>
      </c>
    </row>
    <row r="6" spans="1:3" x14ac:dyDescent="0.15">
      <c r="B6" s="202" t="s">
        <v>466</v>
      </c>
      <c r="C6" s="203">
        <f>'Main Page &amp; Assumptions'!G10</f>
        <v>0</v>
      </c>
    </row>
    <row r="7" spans="1:3" x14ac:dyDescent="0.15">
      <c r="B7" s="202"/>
      <c r="C7" s="203"/>
    </row>
    <row r="8" spans="1:3" x14ac:dyDescent="0.15">
      <c r="B8" s="202" t="s">
        <v>458</v>
      </c>
      <c r="C8" s="237">
        <f>SUM(C9:C15)</f>
        <v>495</v>
      </c>
    </row>
    <row r="9" spans="1:3" x14ac:dyDescent="0.15">
      <c r="B9" s="239" t="str">
        <f>'Transaction &amp; Refinancing Debt'!$C$22</f>
        <v>Revolver</v>
      </c>
      <c r="C9" s="237">
        <f>'Transaction &amp; Refinancing Debt'!$F$22</f>
        <v>343</v>
      </c>
    </row>
    <row r="10" spans="1:3" x14ac:dyDescent="0.15">
      <c r="B10" s="239" t="str">
        <f>'Transaction &amp; Refinancing Debt'!$C$23</f>
        <v>Senior Notes due 2029</v>
      </c>
      <c r="C10" s="237">
        <f>'Transaction &amp; Refinancing Debt'!$F$23</f>
        <v>0</v>
      </c>
    </row>
    <row r="11" spans="1:3" x14ac:dyDescent="0.15">
      <c r="B11" s="239" t="str">
        <f>'Transaction &amp; Refinancing Debt'!$C$24</f>
        <v>Senior Notes due 2031</v>
      </c>
      <c r="C11" s="237">
        <f>'Transaction &amp; Refinancing Debt'!$F$24</f>
        <v>0</v>
      </c>
    </row>
    <row r="12" spans="1:3" x14ac:dyDescent="0.15">
      <c r="B12" s="239" t="str">
        <f>'Transaction &amp; Refinancing Debt'!$C$25</f>
        <v>Senior Notes due 2034</v>
      </c>
      <c r="C12" s="237">
        <f>'Transaction &amp; Refinancing Debt'!$F$25</f>
        <v>0</v>
      </c>
    </row>
    <row r="13" spans="1:3" x14ac:dyDescent="0.15">
      <c r="B13" s="239" t="str">
        <f>'Transaction &amp; Refinancing Debt'!$C$26</f>
        <v>U.S. A/R Program</v>
      </c>
      <c r="C13" s="237">
        <f>'Transaction &amp; Refinancing Debt'!$F$26</f>
        <v>93</v>
      </c>
    </row>
    <row r="14" spans="1:3" x14ac:dyDescent="0.15">
      <c r="B14" s="239" t="str">
        <f>'Transaction &amp; Refinancing Debt'!$C$27</f>
        <v>EU A/R Program</v>
      </c>
      <c r="C14" s="237">
        <f>'Transaction &amp; Refinancing Debt'!$F$27</f>
        <v>59</v>
      </c>
    </row>
    <row r="15" spans="1:3" x14ac:dyDescent="0.15">
      <c r="B15" s="239" t="str">
        <f>'Transaction &amp; Refinancing Debt'!$C$28</f>
        <v>VIE / Other Debt</v>
      </c>
      <c r="C15" s="237">
        <f>'Transaction &amp; Refinancing Debt'!$F$28</f>
        <v>0</v>
      </c>
    </row>
    <row r="16" spans="1:3" x14ac:dyDescent="0.15">
      <c r="B16" s="202" t="s">
        <v>459</v>
      </c>
      <c r="C16" s="237">
        <f ca="1">SUM(C17:C23)</f>
        <v>0</v>
      </c>
    </row>
    <row r="17" spans="2:3" x14ac:dyDescent="0.15">
      <c r="B17" s="239" t="str">
        <f>'Transaction &amp; Refinancing Debt'!$C$6</f>
        <v>Revolver</v>
      </c>
      <c r="C17" s="237">
        <f ca="1">'Transaction &amp; Refinancing Debt'!$F$6</f>
        <v>0</v>
      </c>
    </row>
    <row r="18" spans="2:3" x14ac:dyDescent="0.15">
      <c r="B18" s="239" t="str">
        <f>'Transaction &amp; Refinancing Debt'!$C$7</f>
        <v>2025 Term Loan Facility</v>
      </c>
      <c r="C18" s="237">
        <f>'Transaction &amp; Refinancing Debt'!$F$7</f>
        <v>0</v>
      </c>
    </row>
    <row r="19" spans="2:3" x14ac:dyDescent="0.15">
      <c r="B19" s="239" t="str">
        <f>'Transaction &amp; Refinancing Debt'!$C$8</f>
        <v>Senior Notes due 2029</v>
      </c>
      <c r="C19" s="237">
        <f>'Transaction &amp; Refinancing Debt'!$F$8</f>
        <v>0</v>
      </c>
    </row>
    <row r="20" spans="2:3" x14ac:dyDescent="0.15">
      <c r="B20" s="239" t="str">
        <f>'Transaction &amp; Refinancing Debt'!$C$9</f>
        <v>Senior Notes due 2030</v>
      </c>
      <c r="C20" s="237">
        <f>'Transaction &amp; Refinancing Debt'!$F$9</f>
        <v>0</v>
      </c>
    </row>
    <row r="21" spans="2:3" x14ac:dyDescent="0.15">
      <c r="B21" s="239" t="str">
        <f>'Transaction &amp; Refinancing Debt'!$C$10</f>
        <v>Senior Notes due 2033</v>
      </c>
      <c r="C21" s="237">
        <f>'Transaction &amp; Refinancing Debt'!$F$10</f>
        <v>0</v>
      </c>
    </row>
    <row r="22" spans="2:3" x14ac:dyDescent="0.15">
      <c r="B22" s="239" t="str">
        <f>'Transaction &amp; Refinancing Debt'!$C$11</f>
        <v>2024 A/R Financing Agreement</v>
      </c>
      <c r="C22" s="237">
        <f>'Transaction &amp; Refinancing Debt'!$F$11</f>
        <v>0</v>
      </c>
    </row>
    <row r="23" spans="2:3" x14ac:dyDescent="0.15">
      <c r="B23" s="239" t="str">
        <f>'Transaction &amp; Refinancing Debt'!$C$12</f>
        <v>Recovery Zone Bonds</v>
      </c>
      <c r="C23" s="237">
        <f>'Transaction &amp; Refinancing Debt'!$F$12</f>
        <v>0</v>
      </c>
    </row>
    <row r="24" spans="2:3" x14ac:dyDescent="0.15">
      <c r="B24" s="202" t="s">
        <v>23</v>
      </c>
      <c r="C24" s="205">
        <f>'Main Page &amp; Assumptions'!$G$8</f>
        <v>56</v>
      </c>
    </row>
    <row r="25" spans="2:3" x14ac:dyDescent="0.15">
      <c r="B25" s="202" t="s">
        <v>24</v>
      </c>
      <c r="C25" s="237">
        <f>'Transaction &amp; Refinancing Debt'!$C$62</f>
        <v>0</v>
      </c>
    </row>
    <row r="26" spans="2:3" x14ac:dyDescent="0.15">
      <c r="B26" s="202" t="s">
        <v>467</v>
      </c>
      <c r="C26" s="205">
        <f>'Main Page &amp; Assumptions'!G10</f>
        <v>0</v>
      </c>
    </row>
    <row r="27" spans="2:3" x14ac:dyDescent="0.15">
      <c r="B27" s="223" t="s">
        <v>25</v>
      </c>
      <c r="C27" s="224">
        <f ca="1">SUM(C5,C6,C8,C16,C24,C25,C26)</f>
        <v>2981.3867952000001</v>
      </c>
    </row>
    <row r="30" spans="2:3" ht="16" x14ac:dyDescent="0.15">
      <c r="B30" s="344" t="s">
        <v>26</v>
      </c>
      <c r="C30" s="345"/>
    </row>
    <row r="31" spans="2:3" x14ac:dyDescent="0.15">
      <c r="B31" s="202"/>
      <c r="C31" s="200"/>
    </row>
    <row r="32" spans="2:3" x14ac:dyDescent="0.15">
      <c r="B32" s="202" t="s">
        <v>14</v>
      </c>
      <c r="C32" s="203">
        <f>'Main Page &amp; Assumptions'!$J$6</f>
        <v>2430.3867952000001</v>
      </c>
    </row>
    <row r="33" spans="2:4" x14ac:dyDescent="0.15">
      <c r="B33" s="208"/>
      <c r="C33" s="209"/>
    </row>
    <row r="34" spans="2:4" x14ac:dyDescent="0.15">
      <c r="B34" s="202" t="s">
        <v>27</v>
      </c>
      <c r="C34" s="203">
        <f ca="1">MAX(0,C27-C32-C35-C37)</f>
        <v>551</v>
      </c>
    </row>
    <row r="35" spans="2:4" x14ac:dyDescent="0.15">
      <c r="B35" s="199" t="s">
        <v>454</v>
      </c>
      <c r="C35" s="238">
        <f>SUM(C36:C36)</f>
        <v>0</v>
      </c>
      <c r="D35" s="210"/>
    </row>
    <row r="36" spans="2:4" x14ac:dyDescent="0.15">
      <c r="B36" s="240" t="str">
        <f>'Transaction &amp; Refinancing Debt'!$B$51</f>
        <v>New Senior Notes</v>
      </c>
      <c r="C36" s="238">
        <f>'Transaction &amp; Refinancing Debt'!$E$51</f>
        <v>0</v>
      </c>
      <c r="D36" s="210"/>
    </row>
    <row r="37" spans="2:4" x14ac:dyDescent="0.15">
      <c r="B37" s="202" t="s">
        <v>69</v>
      </c>
      <c r="C37" s="205">
        <v>0</v>
      </c>
    </row>
    <row r="38" spans="2:4" x14ac:dyDescent="0.15">
      <c r="B38" s="204"/>
      <c r="C38" s="203"/>
    </row>
    <row r="39" spans="2:4" x14ac:dyDescent="0.15">
      <c r="B39" s="221" t="s">
        <v>28</v>
      </c>
      <c r="C39" s="222">
        <f ca="1">SUM(C32,C34,C35,C37)</f>
        <v>2981.3867952000001</v>
      </c>
    </row>
    <row r="40" spans="2:4" x14ac:dyDescent="0.15">
      <c r="B40" s="208" t="s">
        <v>456</v>
      </c>
      <c r="C40" s="203">
        <f ca="1">C39-C27</f>
        <v>0</v>
      </c>
    </row>
    <row r="41" spans="2:4" x14ac:dyDescent="0.15">
      <c r="B41" s="206"/>
      <c r="C41" s="207"/>
    </row>
    <row r="42" spans="2:4" x14ac:dyDescent="0.15">
      <c r="C42" s="211"/>
    </row>
    <row r="43" spans="2:4" x14ac:dyDescent="0.15">
      <c r="C43" s="211"/>
    </row>
    <row r="51" spans="15:21" ht="14" x14ac:dyDescent="0.15">
      <c r="O51" s="212"/>
      <c r="P51" s="213"/>
      <c r="Q51" s="212"/>
      <c r="R51" s="212"/>
      <c r="S51" s="212"/>
      <c r="T51" s="214" t="s">
        <v>433</v>
      </c>
      <c r="U51" s="214" t="s">
        <v>434</v>
      </c>
    </row>
    <row r="52" spans="15:21" ht="14" x14ac:dyDescent="0.15">
      <c r="O52" s="212"/>
      <c r="P52" s="215" t="s">
        <v>435</v>
      </c>
      <c r="Q52" s="212"/>
      <c r="R52" s="212"/>
      <c r="S52" s="212"/>
      <c r="T52" s="212">
        <v>2010</v>
      </c>
      <c r="U52" s="212">
        <v>2010</v>
      </c>
    </row>
    <row r="53" spans="15:21" ht="14" x14ac:dyDescent="0.15">
      <c r="O53" s="212"/>
      <c r="P53" s="213"/>
      <c r="Q53" s="212" t="s">
        <v>436</v>
      </c>
      <c r="R53" s="212"/>
      <c r="S53" s="212"/>
      <c r="T53" s="216">
        <v>1700</v>
      </c>
      <c r="U53" s="212"/>
    </row>
    <row r="54" spans="15:21" ht="14" x14ac:dyDescent="0.15">
      <c r="O54" s="212"/>
      <c r="P54" s="213"/>
      <c r="Q54" s="212"/>
      <c r="R54" s="212"/>
      <c r="S54" s="212"/>
      <c r="T54" s="216"/>
      <c r="U54" s="212"/>
    </row>
    <row r="55" spans="15:21" ht="14" x14ac:dyDescent="0.15">
      <c r="O55" s="212"/>
      <c r="P55" s="213"/>
      <c r="Q55" s="212" t="s">
        <v>437</v>
      </c>
      <c r="R55" s="212"/>
      <c r="S55" s="212"/>
      <c r="T55" s="216" t="s">
        <v>438</v>
      </c>
      <c r="U55" s="216" t="s">
        <v>439</v>
      </c>
    </row>
    <row r="56" spans="15:21" ht="14" x14ac:dyDescent="0.15">
      <c r="O56" s="212"/>
      <c r="P56" s="213"/>
      <c r="Q56" s="212" t="s">
        <v>440</v>
      </c>
      <c r="R56" s="212"/>
      <c r="S56" s="212"/>
      <c r="T56" s="216">
        <v>300</v>
      </c>
      <c r="U56" s="212"/>
    </row>
    <row r="57" spans="15:21" ht="14" x14ac:dyDescent="0.15">
      <c r="O57" s="212"/>
      <c r="P57" s="213"/>
      <c r="Q57" s="212" t="s">
        <v>23</v>
      </c>
      <c r="R57" s="212"/>
      <c r="S57" s="212"/>
      <c r="T57" s="216">
        <v>104.48</v>
      </c>
      <c r="U57" s="212"/>
    </row>
    <row r="58" spans="15:21" ht="14" x14ac:dyDescent="0.15">
      <c r="O58" s="212"/>
      <c r="P58" s="213"/>
      <c r="Q58" s="212" t="s">
        <v>441</v>
      </c>
      <c r="R58" s="212"/>
      <c r="S58" s="212"/>
      <c r="T58" s="212"/>
      <c r="U58" s="212"/>
    </row>
    <row r="59" spans="15:21" ht="14" x14ac:dyDescent="0.15">
      <c r="O59" s="212"/>
      <c r="P59" s="213"/>
      <c r="Q59" s="212" t="s">
        <v>442</v>
      </c>
      <c r="R59" s="212"/>
      <c r="S59" s="212"/>
      <c r="T59" s="216"/>
      <c r="U59" s="212"/>
    </row>
    <row r="60" spans="15:21" ht="14" x14ac:dyDescent="0.15">
      <c r="O60" s="212"/>
      <c r="P60" s="213"/>
      <c r="Q60" s="212" t="s">
        <v>443</v>
      </c>
      <c r="R60" s="212"/>
      <c r="S60" s="212"/>
      <c r="T60" s="216" t="s">
        <v>438</v>
      </c>
      <c r="U60" s="212"/>
    </row>
    <row r="61" spans="15:21" ht="15" thickBot="1" x14ac:dyDescent="0.2">
      <c r="O61" s="212"/>
      <c r="P61" s="213"/>
      <c r="Q61" s="212"/>
      <c r="R61" s="217" t="s">
        <v>25</v>
      </c>
      <c r="S61" s="218"/>
      <c r="T61" s="219">
        <v>2104.48</v>
      </c>
      <c r="U61" s="212"/>
    </row>
    <row r="62" spans="15:21" ht="15" thickTop="1" x14ac:dyDescent="0.15">
      <c r="O62" s="212"/>
      <c r="P62" s="213"/>
      <c r="Q62" s="212"/>
      <c r="R62" s="212"/>
      <c r="S62" s="212"/>
      <c r="T62" s="212"/>
      <c r="U62" s="212"/>
    </row>
    <row r="63" spans="15:21" ht="14" x14ac:dyDescent="0.15">
      <c r="O63" s="212"/>
      <c r="P63" s="215" t="s">
        <v>444</v>
      </c>
      <c r="Q63" s="212"/>
      <c r="R63" s="212"/>
      <c r="S63" s="212"/>
      <c r="T63" s="212"/>
      <c r="U63" s="212"/>
    </row>
    <row r="64" spans="15:21" ht="14" x14ac:dyDescent="0.15">
      <c r="O64" s="212"/>
      <c r="P64" s="213"/>
      <c r="Q64" s="212" t="s">
        <v>445</v>
      </c>
      <c r="R64" s="212"/>
      <c r="S64" s="212"/>
      <c r="T64" s="216">
        <v>535.48</v>
      </c>
      <c r="U64" s="216">
        <v>59.5</v>
      </c>
    </row>
    <row r="65" spans="15:21" ht="14" x14ac:dyDescent="0.15">
      <c r="O65" s="212"/>
      <c r="P65" s="213"/>
      <c r="Q65" s="212" t="s">
        <v>446</v>
      </c>
      <c r="R65" s="212"/>
      <c r="S65" s="212"/>
      <c r="T65" s="216">
        <v>1569</v>
      </c>
      <c r="U65" s="212"/>
    </row>
    <row r="66" spans="15:21" ht="14" x14ac:dyDescent="0.15">
      <c r="O66" s="212"/>
      <c r="P66" s="213"/>
      <c r="Q66" s="212" t="s">
        <v>447</v>
      </c>
      <c r="R66" s="212"/>
      <c r="S66" s="212"/>
      <c r="T66" s="216" t="s">
        <v>438</v>
      </c>
      <c r="U66" s="212"/>
    </row>
    <row r="67" spans="15:21" ht="14" x14ac:dyDescent="0.15">
      <c r="O67" s="212"/>
      <c r="P67" s="213"/>
      <c r="Q67" s="212" t="s">
        <v>448</v>
      </c>
      <c r="R67" s="212"/>
      <c r="S67" s="212"/>
      <c r="T67" s="216"/>
      <c r="U67" s="212"/>
    </row>
    <row r="68" spans="15:21" ht="14" x14ac:dyDescent="0.15">
      <c r="O68" s="212"/>
      <c r="P68" s="213"/>
      <c r="Q68" s="212" t="s">
        <v>449</v>
      </c>
      <c r="R68" s="212"/>
      <c r="S68" s="212"/>
      <c r="T68" s="212"/>
      <c r="U68" s="212"/>
    </row>
    <row r="69" spans="15:21" ht="15" thickBot="1" x14ac:dyDescent="0.2">
      <c r="O69" s="212"/>
      <c r="P69" s="213"/>
      <c r="Q69" s="212"/>
      <c r="R69" s="217" t="s">
        <v>28</v>
      </c>
      <c r="S69" s="218"/>
      <c r="T69" s="219">
        <v>2104.48</v>
      </c>
      <c r="U69" s="212"/>
    </row>
    <row r="70" spans="15:21" ht="15" thickTop="1" x14ac:dyDescent="0.15">
      <c r="O70" s="212"/>
      <c r="P70" s="213"/>
      <c r="Q70" s="212" t="s">
        <v>450</v>
      </c>
      <c r="R70" s="212"/>
      <c r="S70" s="212"/>
      <c r="T70" s="216" t="s">
        <v>438</v>
      </c>
      <c r="U70" s="212"/>
    </row>
    <row r="71" spans="15:21" ht="14" x14ac:dyDescent="0.15">
      <c r="O71" s="212"/>
      <c r="P71" s="213"/>
      <c r="Q71" s="212" t="s">
        <v>451</v>
      </c>
      <c r="R71" s="212"/>
      <c r="S71" s="212"/>
      <c r="T71" s="216" t="s">
        <v>438</v>
      </c>
      <c r="U71" s="212"/>
    </row>
    <row r="72" spans="15:21" ht="14" x14ac:dyDescent="0.15">
      <c r="O72" s="212"/>
      <c r="P72" s="213"/>
      <c r="Q72" s="212" t="s">
        <v>452</v>
      </c>
      <c r="R72" s="212"/>
      <c r="S72" s="212"/>
      <c r="T72" s="212" t="b">
        <v>1</v>
      </c>
      <c r="U72" s="212"/>
    </row>
    <row r="73" spans="15:21" ht="14" x14ac:dyDescent="0.15">
      <c r="O73" s="212"/>
      <c r="P73" s="213"/>
      <c r="Q73" s="212"/>
      <c r="R73" s="212"/>
      <c r="S73" s="212"/>
      <c r="T73" s="212"/>
      <c r="U73" s="212"/>
    </row>
    <row r="74" spans="15:21" ht="14" x14ac:dyDescent="0.15">
      <c r="O74" s="212"/>
      <c r="P74" s="213"/>
      <c r="Q74" s="212"/>
      <c r="R74" s="212"/>
      <c r="S74" s="212"/>
      <c r="T74" s="212"/>
      <c r="U74" s="212"/>
    </row>
    <row r="75" spans="15:21" ht="14" x14ac:dyDescent="0.15">
      <c r="O75" s="212"/>
      <c r="P75" s="213"/>
      <c r="Q75" s="212"/>
      <c r="R75" s="212"/>
      <c r="S75" s="212"/>
      <c r="T75" s="212"/>
      <c r="U75" s="212"/>
    </row>
    <row r="76" spans="15:21" ht="14" x14ac:dyDescent="0.15">
      <c r="O76" s="212"/>
      <c r="P76" s="213"/>
      <c r="Q76" s="212"/>
      <c r="R76" s="212"/>
      <c r="S76" s="212"/>
      <c r="T76" s="212"/>
      <c r="U76" s="212"/>
    </row>
  </sheetData>
  <mergeCells count="2">
    <mergeCell ref="B3:C3"/>
    <mergeCell ref="B30:C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AC80C-005F-204B-B219-57BDF008A40A}">
  <sheetPr codeName="Sheet16"/>
  <dimension ref="A1:M48"/>
  <sheetViews>
    <sheetView showGridLines="0" topLeftCell="A3" workbookViewId="0">
      <selection activeCell="N30" sqref="N30"/>
    </sheetView>
  </sheetViews>
  <sheetFormatPr baseColWidth="10" defaultRowHeight="13" x14ac:dyDescent="0.15"/>
  <cols>
    <col min="1" max="1" width="10.83203125" style="236"/>
    <col min="2" max="2" width="23.33203125" style="236" customWidth="1"/>
    <col min="3" max="7" width="15.1640625" style="236" customWidth="1"/>
    <col min="8" max="12" width="10.83203125" style="236"/>
    <col min="13" max="13" width="0" style="236" hidden="1" customWidth="1"/>
    <col min="14" max="16384" width="10.83203125" style="236"/>
  </cols>
  <sheetData>
    <row r="1" spans="1:7" x14ac:dyDescent="0.15">
      <c r="A1" s="322" t="str">
        <f>HYPERLINK("#'Table of Contents'!A1", "&lt;---------")</f>
        <v>&lt;---------</v>
      </c>
    </row>
    <row r="3" spans="1:7" ht="18" x14ac:dyDescent="0.15">
      <c r="B3" s="346" t="s">
        <v>498</v>
      </c>
      <c r="C3" s="346"/>
      <c r="D3" s="346"/>
      <c r="E3" s="346"/>
      <c r="F3" s="346"/>
      <c r="G3" s="346"/>
    </row>
    <row r="4" spans="1:7" ht="63" customHeight="1" x14ac:dyDescent="0.15">
      <c r="B4" s="245">
        <f>DATE('Main Page &amp; Assumptions'!$D$14,12,31)</f>
        <v>46752</v>
      </c>
      <c r="C4" s="246" t="str">
        <f>'Main Page &amp; Assumptions'!$D$7</f>
        <v>Olin Corporation</v>
      </c>
      <c r="D4" s="246" t="str">
        <f>'Main Page &amp; Assumptions'!$D$6</f>
        <v>Huntsman Corporation</v>
      </c>
      <c r="E4" s="246" t="s">
        <v>477</v>
      </c>
      <c r="F4" s="246" t="s">
        <v>476</v>
      </c>
      <c r="G4" s="246" t="s">
        <v>475</v>
      </c>
    </row>
    <row r="5" spans="1:7" x14ac:dyDescent="0.15">
      <c r="B5" s="112" t="s">
        <v>261</v>
      </c>
      <c r="C5" s="244">
        <f ca="1">INDEX('Olin Standalone'!$C64:$R64,1,MATCH(DATE('Main Page &amp; Assumptions'!$D$14-1,12,31),'Olin Standalone'!$C$62:$R$62,0))</f>
        <v>332.73756288686775</v>
      </c>
      <c r="D5" s="244">
        <f>INDEX('Huntsman Standalone'!$C65:$R65,1,MATCH(DATE('Main Page &amp; Assumptions'!$D$14-1,12,31),'Huntsman Standalone'!$C$63:$R$63,0))</f>
        <v>362.00175405383914</v>
      </c>
      <c r="E5" s="244"/>
      <c r="F5" s="244">
        <f ca="1">-'Sources and Uses'!$C$34</f>
        <v>-551</v>
      </c>
      <c r="G5" s="244">
        <f ca="1">SUM(C5:F5)</f>
        <v>143.73931694070689</v>
      </c>
    </row>
    <row r="6" spans="1:7" x14ac:dyDescent="0.15">
      <c r="B6" s="39" t="s">
        <v>262</v>
      </c>
      <c r="C6" s="236">
        <f>INDEX('Olin Standalone'!$C65:$R65,1,MATCH(DATE('Main Page &amp; Assumptions'!$D$14-1,12,31),'Olin Standalone'!$C$62:$R$62,0))</f>
        <v>966.46463736986311</v>
      </c>
      <c r="D6" s="236">
        <f>INDEX('Huntsman Standalone'!$C66:$R66,1,MATCH(DATE('Main Page &amp; Assumptions'!$D$14-1,12,31),'Huntsman Standalone'!$C$63:$R$63,0))</f>
        <v>1027.6420986301371</v>
      </c>
      <c r="G6" s="236">
        <f t="shared" ref="G6:G42" si="0">SUM(C6:F6)</f>
        <v>1994.1067360000002</v>
      </c>
    </row>
    <row r="7" spans="1:7" x14ac:dyDescent="0.15">
      <c r="B7" s="39" t="s">
        <v>234</v>
      </c>
      <c r="C7" s="236">
        <f>INDEX('Olin Standalone'!$C66:$R66,1,MATCH(DATE('Main Page &amp; Assumptions'!$D$14-1,12,31),'Olin Standalone'!$C$62:$R$62,0))</f>
        <v>822.91505306827412</v>
      </c>
      <c r="D7" s="236">
        <f>INDEX('Huntsman Standalone'!$C67:$R67,1,MATCH(DATE('Main Page &amp; Assumptions'!$D$14-1,12,31),'Huntsman Standalone'!$C$63:$R$63,0))</f>
        <v>619.36494682191778</v>
      </c>
      <c r="G7" s="236">
        <f t="shared" si="0"/>
        <v>1442.2799998901919</v>
      </c>
    </row>
    <row r="8" spans="1:7" x14ac:dyDescent="0.15">
      <c r="B8" s="39" t="s">
        <v>123</v>
      </c>
      <c r="C8" s="236">
        <f>INDEX('Olin Standalone'!$C67:$R67,1,MATCH(DATE('Main Page &amp; Assumptions'!$D$14-1,12,31),'Olin Standalone'!$C$62:$R$62,0))</f>
        <v>0</v>
      </c>
      <c r="D8" s="236">
        <f>INDEX('Huntsman Standalone'!$C68:$R68,1,MATCH(DATE('Main Page &amp; Assumptions'!$D$14-1,12,31),'Huntsman Standalone'!$C$63:$R$63,0))</f>
        <v>101.45859900000001</v>
      </c>
      <c r="G8" s="236">
        <f t="shared" si="0"/>
        <v>101.45859900000001</v>
      </c>
    </row>
    <row r="9" spans="1:7" x14ac:dyDescent="0.15">
      <c r="B9" s="39" t="s">
        <v>235</v>
      </c>
      <c r="C9" s="236">
        <f>INDEX('Olin Standalone'!$C68:$R68,1,MATCH(DATE('Main Page &amp; Assumptions'!$D$14-1,12,31),'Olin Standalone'!$C$62:$R$62,0))</f>
        <v>114.55743000000002</v>
      </c>
      <c r="D9" s="236">
        <f>INDEX('Huntsman Standalone'!$C69:$R69,1,MATCH(DATE('Main Page &amp; Assumptions'!$D$14-1,12,31),'Huntsman Standalone'!$C$63:$R$63,0))</f>
        <v>49.806948599999998</v>
      </c>
      <c r="G9" s="236">
        <f t="shared" si="0"/>
        <v>164.36437860000001</v>
      </c>
    </row>
    <row r="10" spans="1:7" x14ac:dyDescent="0.15">
      <c r="B10" s="89" t="s">
        <v>125</v>
      </c>
      <c r="C10" s="262">
        <f ca="1">INDEX('Olin Standalone'!$C69:$R69,1,MATCH(DATE('Main Page &amp; Assumptions'!$D$14-1,12,31),'Olin Standalone'!$C$62:$R$62,0))</f>
        <v>2236.6746833250049</v>
      </c>
      <c r="D10" s="262">
        <f>INDEX('Huntsman Standalone'!$C70:$R70,1,MATCH(DATE('Main Page &amp; Assumptions'!$D$14-1,12,31),'Huntsman Standalone'!$C$63:$R$63,0))</f>
        <v>2160.2743471058939</v>
      </c>
      <c r="E10" s="262"/>
      <c r="F10" s="262"/>
      <c r="G10" s="262">
        <f ca="1">SUM(G5:G9)</f>
        <v>3845.9490304308993</v>
      </c>
    </row>
    <row r="11" spans="1:7" x14ac:dyDescent="0.15">
      <c r="B11" s="39"/>
    </row>
    <row r="12" spans="1:7" x14ac:dyDescent="0.15">
      <c r="B12" s="39" t="s">
        <v>264</v>
      </c>
      <c r="C12" s="236">
        <f>INDEX('Olin Standalone'!$C71:$R71,1,MATCH(DATE('Main Page &amp; Assumptions'!$D$14-1,12,31),'Olin Standalone'!$C$62:$R$62,0))</f>
        <v>8220.1752608000006</v>
      </c>
      <c r="D12" s="236">
        <f>INDEX('Huntsman Standalone'!$C72:$R72,1,MATCH(DATE('Main Page &amp; Assumptions'!$D$14-1,12,31),'Huntsman Standalone'!$C$63:$R$63,0))</f>
        <v>7263.4701800000003</v>
      </c>
      <c r="E12" s="236">
        <f>'PPA &amp; Goodwill'!C18-'PPA &amp; Goodwill'!C23</f>
        <v>352</v>
      </c>
      <c r="G12" s="236">
        <f t="shared" si="0"/>
        <v>15835.645440800001</v>
      </c>
    </row>
    <row r="13" spans="1:7" x14ac:dyDescent="0.15">
      <c r="B13" s="39" t="s">
        <v>266</v>
      </c>
      <c r="C13" s="236">
        <f>INDEX('Olin Standalone'!$C72:$R72,1,MATCH(DATE('Main Page &amp; Assumptions'!$D$14-1,12,31),'Olin Standalone'!$C$62:$R$62,0))</f>
        <v>-5979.2068825631995</v>
      </c>
      <c r="D13" s="236">
        <f>INDEX('Huntsman Standalone'!$C73:$R73,1,MATCH(DATE('Main Page &amp; Assumptions'!$D$14-1,12,31),'Huntsman Standalone'!$C$63:$R$63,0))</f>
        <v>-4490.2257647179486</v>
      </c>
      <c r="G13" s="236">
        <f t="shared" si="0"/>
        <v>-10469.432647281148</v>
      </c>
    </row>
    <row r="14" spans="1:7" x14ac:dyDescent="0.15">
      <c r="B14" s="57" t="s">
        <v>267</v>
      </c>
      <c r="C14" s="264">
        <f>INDEX('Olin Standalone'!$C73:$R73,1,MATCH(DATE('Main Page &amp; Assumptions'!$D$14-1,12,31),'Olin Standalone'!$C$62:$R$62,0))</f>
        <v>2240.9683782368011</v>
      </c>
      <c r="D14" s="264">
        <f>INDEX('Huntsman Standalone'!$C74:$R74,1,MATCH(DATE('Main Page &amp; Assumptions'!$D$14-1,12,31),'Huntsman Standalone'!$C$63:$R$63,0))</f>
        <v>2773.2444152820517</v>
      </c>
      <c r="E14" s="264">
        <f>E12+E13</f>
        <v>352</v>
      </c>
      <c r="F14" s="264"/>
      <c r="G14" s="264">
        <f>SUM(G12:G13)</f>
        <v>5366.2127935188528</v>
      </c>
    </row>
    <row r="15" spans="1:7" x14ac:dyDescent="0.15">
      <c r="B15" s="39" t="s">
        <v>236</v>
      </c>
      <c r="C15" s="236">
        <f>INDEX('Olin Standalone'!$C74:$R74,1,MATCH(DATE('Main Page &amp; Assumptions'!$D$14-1,12,31),'Olin Standalone'!$C$62:$R$62,0))</f>
        <v>1427.6</v>
      </c>
      <c r="D15" s="236">
        <f>INDEX('Huntsman Standalone'!$C75:$R75,1,MATCH(DATE('Main Page &amp; Assumptions'!$D$14-1,12,31),'Huntsman Standalone'!$C$63:$R$63,0))</f>
        <v>630</v>
      </c>
      <c r="E15" s="236">
        <f>-D15+'PPA &amp; Goodwill'!C25</f>
        <v>-175.85634806222242</v>
      </c>
      <c r="G15" s="236">
        <f>SUM(C15:F15)</f>
        <v>1881.7436519377775</v>
      </c>
    </row>
    <row r="16" spans="1:7" x14ac:dyDescent="0.15">
      <c r="B16" s="39" t="s">
        <v>268</v>
      </c>
      <c r="C16" s="236">
        <f>INDEX('Olin Standalone'!$C75:$R75,1,MATCH(DATE('Main Page &amp; Assumptions'!$D$14-1,12,31),'Olin Standalone'!$C$62:$R$62,0))</f>
        <v>1134.6000000000001</v>
      </c>
      <c r="D16" s="236">
        <f>INDEX('Huntsman Standalone'!$C76:$R76,1,MATCH(DATE('Main Page &amp; Assumptions'!$D$14-1,12,31),'Huntsman Standalone'!$C$63:$R$63,0))</f>
        <v>274</v>
      </c>
      <c r="E16" s="236">
        <f>'PPA &amp; Goodwill'!C19-'Pro Forma Opening BS'!D16</f>
        <v>-172</v>
      </c>
      <c r="G16" s="236">
        <f t="shared" si="0"/>
        <v>1236.6000000000001</v>
      </c>
    </row>
    <row r="17" spans="2:13" x14ac:dyDescent="0.15">
      <c r="B17" s="39" t="s">
        <v>269</v>
      </c>
      <c r="C17" s="236">
        <f>INDEX('Olin Standalone'!$C76:$R76,1,MATCH(DATE('Main Page &amp; Assumptions'!$D$14-1,12,31),'Olin Standalone'!$C$62:$R$62,0))</f>
        <v>21.3</v>
      </c>
      <c r="D17" s="236">
        <f>INDEX('Huntsman Standalone'!$C77:$R77,1,MATCH(DATE('Main Page &amp; Assumptions'!$D$14-1,12,31),'Huntsman Standalone'!$C$63:$R$63,0))</f>
        <v>309</v>
      </c>
      <c r="G17" s="236">
        <f t="shared" si="0"/>
        <v>330.3</v>
      </c>
    </row>
    <row r="18" spans="2:13" x14ac:dyDescent="0.15">
      <c r="B18" s="39" t="s">
        <v>270</v>
      </c>
      <c r="C18" s="236">
        <f>INDEX('Olin Standalone'!$C77:$R77,1,MATCH(DATE('Main Page &amp; Assumptions'!$D$14-1,12,31),'Olin Standalone'!$C$62:$R$62,0))</f>
        <v>254.70183000000006</v>
      </c>
      <c r="D18" s="236">
        <f>INDEX('Huntsman Standalone'!$C78:$R78,1,MATCH(DATE('Main Page &amp; Assumptions'!$D$14-1,12,31),'Huntsman Standalone'!$C$63:$R$63,0))</f>
        <v>922.96580060000008</v>
      </c>
      <c r="G18" s="236">
        <f t="shared" si="0"/>
        <v>1177.6676306000002</v>
      </c>
    </row>
    <row r="19" spans="2:13" x14ac:dyDescent="0.15">
      <c r="B19" s="39" t="s">
        <v>237</v>
      </c>
      <c r="C19" s="236">
        <f>INDEX('Olin Standalone'!$C78:$R78,1,MATCH(DATE('Main Page &amp; Assumptions'!$D$14-1,12,31),'Olin Standalone'!$C$62:$R$62,0))</f>
        <v>0</v>
      </c>
      <c r="D19" s="236">
        <f>INDEX('Huntsman Standalone'!$C79:$R79,1,MATCH(DATE('Main Page &amp; Assumptions'!$D$14-1,12,31),'Huntsman Standalone'!$C$63:$R$63,0))</f>
        <v>0</v>
      </c>
      <c r="G19" s="236">
        <f t="shared" si="0"/>
        <v>0</v>
      </c>
    </row>
    <row r="20" spans="2:13" ht="14" thickBot="1" x14ac:dyDescent="0.2">
      <c r="B20" s="135" t="s">
        <v>135</v>
      </c>
      <c r="C20" s="263">
        <f ca="1">INDEX('Olin Standalone'!$C79:$R79,1,MATCH(DATE('Main Page &amp; Assumptions'!$D$14-1,12,31),'Olin Standalone'!$C$62:$R$62,0))</f>
        <v>7315.8448915618073</v>
      </c>
      <c r="D20" s="263">
        <f>INDEX('Huntsman Standalone'!$C80:$R80,1,MATCH(DATE('Main Page &amp; Assumptions'!$D$14-1,12,31),'Huntsman Standalone'!$C$63:$R$63,0))</f>
        <v>7069.4845629879455</v>
      </c>
      <c r="E20" s="263"/>
      <c r="F20" s="263"/>
      <c r="G20" s="263">
        <f ca="1">SUM(G10,G14:G19)</f>
        <v>13838.473106487529</v>
      </c>
    </row>
    <row r="21" spans="2:13" ht="14" thickTop="1" x14ac:dyDescent="0.15">
      <c r="B21" s="57"/>
    </row>
    <row r="22" spans="2:13" x14ac:dyDescent="0.15">
      <c r="B22" s="39" t="s">
        <v>136</v>
      </c>
      <c r="C22" s="236">
        <f>INDEX('Olin Standalone'!$C81:$R81,1,MATCH(DATE('Main Page &amp; Assumptions'!$D$14-1,12,31),'Olin Standalone'!$C$62:$R$62,0))</f>
        <v>840.80451074367136</v>
      </c>
      <c r="D22" s="236">
        <f>INDEX('Huntsman Standalone'!$C82:$R82,1,MATCH(DATE('Main Page &amp; Assumptions'!$D$14-1,12,31),'Huntsman Standalone'!$C$63:$R$63,0))</f>
        <v>763.40330654794514</v>
      </c>
      <c r="G22" s="236">
        <f t="shared" si="0"/>
        <v>1604.2078172916165</v>
      </c>
      <c r="M22" s="245">
        <f>DATE('Main Page &amp; Assumptions'!$D$14,12,31)</f>
        <v>46752</v>
      </c>
    </row>
    <row r="23" spans="2:13" x14ac:dyDescent="0.15">
      <c r="B23" s="39" t="s">
        <v>138</v>
      </c>
      <c r="C23" s="236">
        <f>INDEX('Olin Standalone'!$C82:$R82,1,MATCH(DATE('Main Page &amp; Assumptions'!$D$14-1,12,31),'Olin Standalone'!$C$62:$R$62,0))</f>
        <v>616.84770000000003</v>
      </c>
      <c r="D23" s="236">
        <f>INDEX('Huntsman Standalone'!$C83:$R83,1,MATCH(DATE('Main Page &amp; Assumptions'!$D$14-1,12,31),'Huntsman Standalone'!$C$63:$R$63,0))</f>
        <v>522.66551000000004</v>
      </c>
      <c r="G23" s="236">
        <f t="shared" si="0"/>
        <v>1139.5132100000001</v>
      </c>
    </row>
    <row r="24" spans="2:13" x14ac:dyDescent="0.15">
      <c r="B24" s="39" t="s">
        <v>271</v>
      </c>
      <c r="C24" s="236">
        <f>INDEX('Olin Standalone'!$C83:$R83,1,MATCH(DATE('Main Page &amp; Assumptions'!$D$14-1,12,31),'Olin Standalone'!$C$62:$R$62,0))</f>
        <v>340</v>
      </c>
      <c r="D24" s="236">
        <f>INDEX('Huntsman Standalone'!$C84:$R84,1,MATCH(DATE('Main Page &amp; Assumptions'!$D$14-1,12,31),'Huntsman Standalone'!$C$63:$R$63,0))</f>
        <v>59</v>
      </c>
      <c r="F24" s="236" cm="1">
        <f t="array" aca="1" ref="F24" ca="1">-(
SUMPRODUCT(
'Transaction &amp; Refinancing Debt'!$F$6:$F$19,
--(
IFERROR(
_xlfn.XLOOKUP(
'Transaction &amp; Refinancing Debt'!$C$6:$C$19,
'Olin Debt'!$B$16:$B$22,
'Olin Debt'!$D$16:$D$22
),
9999
)&lt;=YEAR(EDATE($M$22,12))
)
)
+
SUMPRODUCT(
'Transaction &amp; Refinancing Debt'!$F$22:$F$35,
--(
IFERROR(
_xlfn.XLOOKUP(
'Transaction &amp; Refinancing Debt'!$C$22:$C$35,
'Huntsman Debt'!$B$17:$B$23,
'Huntsman Debt'!$D$17:$D$23
),
9999
)&lt;=YEAR(EDATE($M$22,12))
)
)
)</f>
        <v>-152</v>
      </c>
      <c r="G24" s="236">
        <f t="shared" ca="1" si="0"/>
        <v>247</v>
      </c>
      <c r="H24" s="236" t="s">
        <v>580</v>
      </c>
    </row>
    <row r="25" spans="2:13" x14ac:dyDescent="0.15">
      <c r="B25" s="39" t="s">
        <v>386</v>
      </c>
      <c r="C25" s="236">
        <f>INDEX('Olin Standalone'!$C84:$R84,1,MATCH(DATE('Main Page &amp; Assumptions'!$D$14-1,12,31),'Olin Standalone'!$C$62:$R$62,0))</f>
        <v>0</v>
      </c>
      <c r="D25" s="236">
        <f>INDEX('Huntsman Standalone'!$C85:$R85,1,MATCH(DATE('Main Page &amp; Assumptions'!$D$14-1,12,31),'Huntsman Standalone'!$C$63:$R$63,0))</f>
        <v>0</v>
      </c>
      <c r="G25" s="236">
        <f t="shared" si="0"/>
        <v>0</v>
      </c>
    </row>
    <row r="26" spans="2:13" x14ac:dyDescent="0.15">
      <c r="B26" s="39" t="s">
        <v>238</v>
      </c>
      <c r="C26" s="236">
        <f>INDEX('Olin Standalone'!$C85:$R85,1,MATCH(DATE('Main Page &amp; Assumptions'!$D$14-1,12,31),'Olin Standalone'!$C$62:$R$62,0))</f>
        <v>140.88759000000002</v>
      </c>
      <c r="D26" s="236">
        <f>INDEX('Huntsman Standalone'!$C86:$R86,1,MATCH(DATE('Main Page &amp; Assumptions'!$D$14-1,12,31),'Huntsman Standalone'!$C$63:$R$63,0))</f>
        <v>34.434433599999998</v>
      </c>
      <c r="G26" s="236">
        <f t="shared" si="0"/>
        <v>175.32202360000002</v>
      </c>
    </row>
    <row r="27" spans="2:13" x14ac:dyDescent="0.15">
      <c r="B27" s="89" t="s">
        <v>142</v>
      </c>
      <c r="C27" s="262">
        <f>INDEX('Olin Standalone'!$C86:$R86,1,MATCH(DATE('Main Page &amp; Assumptions'!$D$14-1,12,31),'Olin Standalone'!$C$62:$R$62,0))</f>
        <v>1938.5398007436713</v>
      </c>
      <c r="D27" s="262">
        <f>INDEX('Huntsman Standalone'!$C87:$R87,1,MATCH(DATE('Main Page &amp; Assumptions'!$D$14-1,12,31),'Huntsman Standalone'!$C$63:$R$63,0))</f>
        <v>1379.503250147945</v>
      </c>
      <c r="E27" s="262"/>
      <c r="F27" s="262"/>
      <c r="G27" s="262">
        <f ca="1">SUM(G22:G26)</f>
        <v>3166.0430508916165</v>
      </c>
    </row>
    <row r="28" spans="2:13" x14ac:dyDescent="0.15">
      <c r="B28" s="57"/>
    </row>
    <row r="29" spans="2:13" x14ac:dyDescent="0.15">
      <c r="B29" s="39" t="s">
        <v>273</v>
      </c>
      <c r="C29" s="236">
        <f ca="1">INDEX('Olin Standalone'!$C88:$R88,1,MATCH(DATE('Main Page &amp; Assumptions'!$D$14-1,12,31),'Olin Standalone'!$C$62:$R$62,0))</f>
        <v>2395.6999999999998</v>
      </c>
      <c r="D29" s="236">
        <f>INDEX('Huntsman Standalone'!$C89:$R89,1,MATCH(DATE('Main Page &amp; Assumptions'!$D$14-1,12,31),'Huntsman Standalone'!$C$63:$R$63,0))</f>
        <v>1964</v>
      </c>
      <c r="F29" s="236" cm="1">
        <f t="array" aca="1" ref="F29" ca="1">-(
SUMPRODUCT(
'Transaction &amp; Refinancing Debt'!$F$6:$F$19,
--(
IFERROR(
_xlfn.XLOOKUP(
'Transaction &amp; Refinancing Debt'!$C$6:$C$19,
'Olin Debt'!$B$16:$B$22,
'Olin Debt'!$D$16:$D$22
),
9999
)&gt;YEAR(EDATE($M$22,12))
)
)
+
SUMPRODUCT(
'Transaction &amp; Refinancing Debt'!$F$22:$F$35,
--(
IFERROR(
_xlfn.XLOOKUP(
'Transaction &amp; Refinancing Debt'!$C$22:$C$35,
'Huntsman Debt'!$B$17:$B$23,
'Huntsman Debt'!$D$17:$D$23
),
9999
)&gt;YEAR(EDATE($M$22,12))
)
)
)
+'Transaction &amp; Refinancing Debt'!$C$61</f>
        <v>-343</v>
      </c>
      <c r="G29" s="236">
        <f t="shared" ca="1" si="0"/>
        <v>4016.7</v>
      </c>
      <c r="H29" s="236" t="s">
        <v>580</v>
      </c>
    </row>
    <row r="30" spans="2:13" x14ac:dyDescent="0.15">
      <c r="B30" s="242" t="s">
        <v>347</v>
      </c>
      <c r="C30" s="236">
        <f>INDEX('Olin Standalone'!$C89:$R89,1,MATCH(DATE('Main Page &amp; Assumptions'!$D$14-1,12,31),'Olin Standalone'!$C$62:$R$62,0))</f>
        <v>-14.45125</v>
      </c>
      <c r="D30" s="236">
        <f>INDEX('Huntsman Standalone'!$C90:$R90,1,MATCH(DATE('Main Page &amp; Assumptions'!$D$14-1,12,31),'Huntsman Standalone'!$C$63:$R$63,0))</f>
        <v>-9.7222222222222214</v>
      </c>
      <c r="F30" s="236">
        <f>-'Transaction &amp; Refinancing Debt'!$C$62</f>
        <v>0</v>
      </c>
      <c r="G30" s="236">
        <f t="shared" si="0"/>
        <v>-24.173472222222223</v>
      </c>
    </row>
    <row r="31" spans="2:13" x14ac:dyDescent="0.15">
      <c r="B31" s="243" t="s">
        <v>275</v>
      </c>
      <c r="C31" s="236">
        <f>INDEX('Olin Standalone'!$C90:$R90,1,MATCH(DATE('Main Page &amp; Assumptions'!$D$14-1,12,31),'Olin Standalone'!$C$62:$R$62,0))</f>
        <v>0</v>
      </c>
      <c r="D31" s="236">
        <f>INDEX('Huntsman Standalone'!$C91:$R91,1,MATCH(DATE('Main Page &amp; Assumptions'!$D$14-1,12,31),'Huntsman Standalone'!$C$63:$R$63,0))</f>
        <v>0</v>
      </c>
      <c r="G31" s="236">
        <f t="shared" si="0"/>
        <v>0</v>
      </c>
    </row>
    <row r="32" spans="2:13" x14ac:dyDescent="0.15">
      <c r="B32" s="57" t="s">
        <v>276</v>
      </c>
      <c r="C32" s="264">
        <f ca="1">INDEX('Olin Standalone'!$C91:$R91,1,MATCH(DATE('Main Page &amp; Assumptions'!$D$14-1,12,31),'Olin Standalone'!$C$62:$R$62,0))</f>
        <v>2381.2487499999997</v>
      </c>
      <c r="D32" s="264">
        <f>INDEX('Huntsman Standalone'!$C92:$R92,1,MATCH(DATE('Main Page &amp; Assumptions'!$D$14-1,12,31),'Huntsman Standalone'!$C$63:$R$63,0))</f>
        <v>1954.2777777777778</v>
      </c>
      <c r="E32" s="264">
        <f>SUM(E29:E31)</f>
        <v>0</v>
      </c>
      <c r="F32" s="264">
        <f ca="1">SUM(F29:F31)</f>
        <v>-343</v>
      </c>
      <c r="G32" s="264">
        <f ca="1">SUM(G29:G31)</f>
        <v>3992.5265277777776</v>
      </c>
    </row>
    <row r="33" spans="2:7" x14ac:dyDescent="0.15">
      <c r="B33" s="39" t="s">
        <v>239</v>
      </c>
      <c r="C33" s="236">
        <f>INDEX('Olin Standalone'!$C92:$R92,1,MATCH(DATE('Main Page &amp; Assumptions'!$D$14-1,12,31),'Olin Standalone'!$C$62:$R$62,0))</f>
        <v>317.60000000000002</v>
      </c>
      <c r="D33" s="236">
        <f>INDEX('Huntsman Standalone'!$C93:$R93,1,MATCH(DATE('Main Page &amp; Assumptions'!$D$14-1,12,31),'Huntsman Standalone'!$C$63:$R$63,0))</f>
        <v>156</v>
      </c>
      <c r="E33" s="236">
        <f>'PPA &amp; Goodwill'!C22</f>
        <v>66.48</v>
      </c>
      <c r="G33" s="236">
        <f t="shared" si="0"/>
        <v>540.08000000000004</v>
      </c>
    </row>
    <row r="34" spans="2:7" x14ac:dyDescent="0.15">
      <c r="B34" s="39" t="s">
        <v>277</v>
      </c>
      <c r="C34" s="236">
        <f>INDEX('Olin Standalone'!$C93:$R93,1,MATCH(DATE('Main Page &amp; Assumptions'!$D$14-1,12,31),'Olin Standalone'!$C$62:$R$62,0))</f>
        <v>839.27385000000015</v>
      </c>
      <c r="D34" s="236">
        <f>INDEX('Huntsman Standalone'!$C94:$R94,1,MATCH(DATE('Main Page &amp; Assumptions'!$D$14-1,12,31),'Huntsman Standalone'!$C$63:$R$63,0))</f>
        <v>708.98039180000001</v>
      </c>
      <c r="E34" s="236">
        <f>'PPA &amp; Goodwill'!C21</f>
        <v>131</v>
      </c>
      <c r="G34" s="236">
        <f t="shared" si="0"/>
        <v>1679.2542418000003</v>
      </c>
    </row>
    <row r="35" spans="2:7" x14ac:dyDescent="0.15">
      <c r="B35" s="39" t="s">
        <v>278</v>
      </c>
      <c r="C35" s="236">
        <f>INDEX('Olin Standalone'!$C94:$R94,1,MATCH(DATE('Main Page &amp; Assumptions'!$D$14-1,12,31),'Olin Standalone'!$C$62:$R$62,0))</f>
        <v>28.7</v>
      </c>
      <c r="D35" s="236">
        <f>INDEX('Huntsman Standalone'!$C95:$R95,1,MATCH(DATE('Main Page &amp; Assumptions'!$D$14-1,12,31),'Huntsman Standalone'!$C$63:$R$63,0))</f>
        <v>230</v>
      </c>
      <c r="G35" s="236">
        <f t="shared" si="0"/>
        <v>258.7</v>
      </c>
    </row>
    <row r="36" spans="2:7" ht="14" thickBot="1" x14ac:dyDescent="0.2">
      <c r="B36" s="135" t="s">
        <v>149</v>
      </c>
      <c r="C36" s="263">
        <f ca="1">INDEX('Olin Standalone'!$C95:$R95,1,MATCH(DATE('Main Page &amp; Assumptions'!$D$14-1,12,31),'Olin Standalone'!$C$62:$R$62,0))</f>
        <v>5505.362400743672</v>
      </c>
      <c r="D36" s="263">
        <f>INDEX('Huntsman Standalone'!$C96:$R96,1,MATCH(DATE('Main Page &amp; Assumptions'!$D$14-1,12,31),'Huntsman Standalone'!$C$63:$R$63,0))</f>
        <v>4428.7614197257226</v>
      </c>
      <c r="E36" s="263"/>
      <c r="F36" s="263"/>
      <c r="G36" s="263">
        <f ca="1">SUM(G27,G32:G35)</f>
        <v>9636.6038204693941</v>
      </c>
    </row>
    <row r="37" spans="2:7" ht="14" thickTop="1" x14ac:dyDescent="0.15">
      <c r="B37" s="39"/>
    </row>
    <row r="38" spans="2:7" x14ac:dyDescent="0.15">
      <c r="B38" s="39" t="s">
        <v>60</v>
      </c>
      <c r="C38" s="236">
        <f>INDEX('Olin Standalone'!$C97:$R97,1,MATCH(DATE('Main Page &amp; Assumptions'!$D$14-1,12,31),'Olin Standalone'!$C$62:$R$62,0))</f>
        <v>114.19999999999999</v>
      </c>
      <c r="D38" s="236">
        <f>INDEX('Huntsman Standalone'!$C98:$R98,1,MATCH(DATE('Main Page &amp; Assumptions'!$D$14-1,12,31),'Huntsman Standalone'!$C$63:$R$63,0))</f>
        <v>5.8</v>
      </c>
      <c r="E38" s="236">
        <f>-D38</f>
        <v>-5.8</v>
      </c>
      <c r="F38" s="236">
        <f>'Main Page &amp; Assumptions'!J7*'Olin Equity Schedule'!C46</f>
        <v>97.527559999999994</v>
      </c>
      <c r="G38" s="236">
        <f t="shared" si="0"/>
        <v>211.72755999999998</v>
      </c>
    </row>
    <row r="39" spans="2:7" x14ac:dyDescent="0.15">
      <c r="B39" s="39" t="s">
        <v>153</v>
      </c>
      <c r="C39" s="236">
        <f>INDEX('Olin Standalone'!$C98:$R98,1,MATCH(DATE('Main Page &amp; Assumptions'!$D$14-1,12,31),'Olin Standalone'!$C$62:$R$62,0))</f>
        <v>29.400000000000006</v>
      </c>
      <c r="D39" s="236">
        <f>INDEX('Huntsman Standalone'!$C99:$R99,1,MATCH(DATE('Main Page &amp; Assumptions'!$D$14-1,12,31),'Huntsman Standalone'!$C$63:$R$63,0))</f>
        <v>4338.2</v>
      </c>
      <c r="E39" s="236">
        <f t="shared" ref="E39:E43" si="1">-D39</f>
        <v>-4338.2</v>
      </c>
      <c r="F39" s="236">
        <f>'PPA &amp; Goodwill'!$C$10-F38</f>
        <v>2349.8592352000001</v>
      </c>
      <c r="G39" s="236">
        <f>SUM(C39:F39)</f>
        <v>2379.2592351999997</v>
      </c>
    </row>
    <row r="40" spans="2:7" x14ac:dyDescent="0.15">
      <c r="B40" s="39" t="s">
        <v>279</v>
      </c>
      <c r="C40" s="236">
        <f ca="1">INDEX('Olin Standalone'!$C99:$R99,1,MATCH(DATE('Main Page &amp; Assumptions'!$D$14-1,12,31),'Olin Standalone'!$C$62:$R$62,0))</f>
        <v>2081.3824908181336</v>
      </c>
      <c r="D40" s="236">
        <f>INDEX('Huntsman Standalone'!$C100:$R100,1,MATCH(DATE('Main Page &amp; Assumptions'!$D$14-1,12,31),'Huntsman Standalone'!$C$63:$R$63,0))</f>
        <v>1643.7231432622225</v>
      </c>
      <c r="E40" s="236">
        <f t="shared" si="1"/>
        <v>-1643.7231432622225</v>
      </c>
      <c r="F40" s="236">
        <f>-'Sources and Uses'!$C$24</f>
        <v>-56</v>
      </c>
      <c r="G40" s="236">
        <f t="shared" ca="1" si="0"/>
        <v>2025.3824908181336</v>
      </c>
    </row>
    <row r="41" spans="2:7" x14ac:dyDescent="0.15">
      <c r="B41" s="39" t="s">
        <v>280</v>
      </c>
      <c r="C41" s="236">
        <f>INDEX('Olin Standalone'!$C100:$R100,1,MATCH(DATE('Main Page &amp; Assumptions'!$D$14-1,12,31),'Olin Standalone'!$C$62:$R$62,0))</f>
        <v>0</v>
      </c>
      <c r="D41" s="236">
        <f>INDEX('Huntsman Standalone'!$C101:$R101,1,MATCH(DATE('Main Page &amp; Assumptions'!$D$14-1,12,31),'Huntsman Standalone'!$C$63:$R$63,0))</f>
        <v>-2290</v>
      </c>
      <c r="E41" s="236">
        <f t="shared" si="1"/>
        <v>2290</v>
      </c>
      <c r="G41" s="236">
        <f t="shared" si="0"/>
        <v>0</v>
      </c>
    </row>
    <row r="42" spans="2:7" x14ac:dyDescent="0.15">
      <c r="B42" s="39" t="s">
        <v>281</v>
      </c>
      <c r="C42" s="236">
        <f>INDEX('Olin Standalone'!$C101:$R101,1,MATCH(DATE('Main Page &amp; Assumptions'!$D$14-1,12,31),'Olin Standalone'!$C$62:$R$62,0))</f>
        <v>-414.5</v>
      </c>
      <c r="D42" s="236">
        <f>INDEX('Huntsman Standalone'!$C102:$R102,1,MATCH(DATE('Main Page &amp; Assumptions'!$D$14-1,12,31),'Huntsman Standalone'!$C$63:$R$63,0))</f>
        <v>-1057</v>
      </c>
      <c r="E42" s="236">
        <f t="shared" si="1"/>
        <v>1057</v>
      </c>
      <c r="G42" s="236">
        <f t="shared" si="0"/>
        <v>-414.5</v>
      </c>
    </row>
    <row r="43" spans="2:7" x14ac:dyDescent="0.15">
      <c r="B43" s="89" t="s">
        <v>159</v>
      </c>
      <c r="C43" s="262">
        <f ca="1">INDEX('Olin Standalone'!$C102:$R102,1,MATCH(DATE('Main Page &amp; Assumptions'!$D$14-1,12,31),'Olin Standalone'!$C$62:$R$62,0))</f>
        <v>1810.4824908181336</v>
      </c>
      <c r="D43" s="262">
        <f>INDEX('Huntsman Standalone'!$C103:$R103,1,MATCH(DATE('Main Page &amp; Assumptions'!$D$14-1,12,31),'Huntsman Standalone'!$C$63:$R$63,0))</f>
        <v>2640.7231432622225</v>
      </c>
      <c r="E43" s="262">
        <f t="shared" si="1"/>
        <v>-2640.7231432622225</v>
      </c>
      <c r="F43" s="262"/>
      <c r="G43" s="262">
        <f ca="1">SUM(G38:G42)</f>
        <v>4201.8692860181327</v>
      </c>
    </row>
    <row r="44" spans="2:7" x14ac:dyDescent="0.15">
      <c r="B44" s="39"/>
      <c r="D44" s="236">
        <f>INDEX('Huntsman Standalone'!$C104:$R104,1,MATCH(DATE('Main Page &amp; Assumptions'!$D$14-1,12,31),'Huntsman Standalone'!$C$63:$R$63,0))</f>
        <v>0</v>
      </c>
    </row>
    <row r="45" spans="2:7" ht="14" thickBot="1" x14ac:dyDescent="0.2">
      <c r="B45" s="135" t="s">
        <v>282</v>
      </c>
      <c r="C45" s="263">
        <f ca="1">INDEX('Olin Standalone'!$C104:$R104,1,MATCH(DATE('Main Page &amp; Assumptions'!$D$14-1,12,31),'Olin Standalone'!$C$62:$R$62,0))</f>
        <v>7315.8448915618055</v>
      </c>
      <c r="D45" s="263">
        <f>INDEX('Huntsman Standalone'!$C105:$R105,1,MATCH(DATE('Main Page &amp; Assumptions'!$D$14-1,12,31),'Huntsman Standalone'!$C$63:$R$63,0))</f>
        <v>7069.4845629879455</v>
      </c>
      <c r="E45" s="263"/>
      <c r="F45" s="263"/>
      <c r="G45" s="263">
        <f ca="1">G36+G43</f>
        <v>13838.473106487527</v>
      </c>
    </row>
    <row r="46" spans="2:7" ht="14" thickTop="1" x14ac:dyDescent="0.15">
      <c r="B46" s="57"/>
    </row>
    <row r="47" spans="2:7" x14ac:dyDescent="0.15">
      <c r="B47" s="242" t="s">
        <v>397</v>
      </c>
      <c r="G47" s="236">
        <f ca="1">G20-G45</f>
        <v>0</v>
      </c>
    </row>
    <row r="48" spans="2:7" x14ac:dyDescent="0.15">
      <c r="B48" s="39"/>
    </row>
  </sheetData>
  <mergeCells count="1">
    <mergeCell ref="B3:G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F9133-EA17-1A49-9711-073AFA037176}">
  <sheetPr codeName="Sheet14"/>
  <dimension ref="A1:R25"/>
  <sheetViews>
    <sheetView showGridLines="0" workbookViewId="0">
      <selection activeCell="J21" sqref="J21"/>
    </sheetView>
  </sheetViews>
  <sheetFormatPr baseColWidth="10" defaultRowHeight="13" x14ac:dyDescent="0.15"/>
  <cols>
    <col min="2" max="2" width="32.6640625" customWidth="1"/>
    <col min="3" max="3" width="19.1640625" customWidth="1"/>
    <col min="5" max="5" width="30.83203125" customWidth="1"/>
  </cols>
  <sheetData>
    <row r="1" spans="1:18" x14ac:dyDescent="0.15">
      <c r="A1" s="298" t="str">
        <f>HYPERLINK("#'Table of Contents'!A1", "&lt;---------")</f>
        <v>&lt;---------</v>
      </c>
    </row>
    <row r="2" spans="1:18" ht="18" x14ac:dyDescent="0.15">
      <c r="B2" s="44" t="s">
        <v>462</v>
      </c>
      <c r="C2" s="44"/>
      <c r="D2" s="44"/>
      <c r="E2" s="44"/>
      <c r="F2" s="44"/>
      <c r="G2" s="44"/>
      <c r="H2" s="44"/>
      <c r="I2" s="44"/>
      <c r="J2" s="44"/>
      <c r="K2" s="44"/>
      <c r="L2" s="233"/>
      <c r="M2" s="233"/>
      <c r="N2" s="233"/>
      <c r="O2" s="233"/>
      <c r="P2" s="233"/>
      <c r="Q2" s="233"/>
      <c r="R2" s="233"/>
    </row>
    <row r="7" spans="1:18" x14ac:dyDescent="0.15">
      <c r="B7" s="227" t="s">
        <v>45</v>
      </c>
      <c r="C7" s="220"/>
      <c r="E7" s="347" t="s">
        <v>531</v>
      </c>
      <c r="F7" s="348"/>
      <c r="G7" s="348"/>
      <c r="H7" s="348"/>
      <c r="I7" s="348"/>
      <c r="J7" s="348"/>
      <c r="K7" s="349"/>
    </row>
    <row r="8" spans="1:18" x14ac:dyDescent="0.15">
      <c r="B8" s="3" t="s">
        <v>30</v>
      </c>
      <c r="C8" s="27">
        <f>'Main Page &amp; Assumptions'!$D$28</f>
        <v>2430.3867952000001</v>
      </c>
      <c r="E8" s="159" t="s">
        <v>473</v>
      </c>
      <c r="F8" s="60">
        <v>46387</v>
      </c>
      <c r="G8" s="60">
        <f t="shared" ref="G8:K8" si="0">EDATE(F8,12)</f>
        <v>46752</v>
      </c>
      <c r="H8" s="60">
        <f t="shared" si="0"/>
        <v>47118</v>
      </c>
      <c r="I8" s="60">
        <f t="shared" si="0"/>
        <v>47483</v>
      </c>
      <c r="J8" s="60">
        <f t="shared" si="0"/>
        <v>47848</v>
      </c>
      <c r="K8" s="92">
        <f t="shared" si="0"/>
        <v>48213</v>
      </c>
    </row>
    <row r="9" spans="1:18" x14ac:dyDescent="0.15">
      <c r="B9" s="3" t="s">
        <v>76</v>
      </c>
      <c r="C9" s="200">
        <f>'Main Page &amp; Assumptions'!$G$19</f>
        <v>17</v>
      </c>
      <c r="E9" s="3"/>
      <c r="K9" s="5"/>
    </row>
    <row r="10" spans="1:18" x14ac:dyDescent="0.15">
      <c r="B10" s="194" t="s">
        <v>469</v>
      </c>
      <c r="C10" s="228">
        <f>SUM(C8:C9)</f>
        <v>2447.3867952000001</v>
      </c>
      <c r="E10" s="3" t="s">
        <v>471</v>
      </c>
      <c r="F10" s="39">
        <f>IF(
YEAR(F$8)&lt;'Main Page &amp; Assumptions'!$D$14,
0,
$C$18/'Main Page &amp; Assumptions'!$J$21
)</f>
        <v>0</v>
      </c>
      <c r="G10" s="39">
        <f>IF(
YEAR(G$8)&lt;'Main Page &amp; Assumptions'!$D$14,
0,
$C$18/'Main Page &amp; Assumptions'!$J$21
)</f>
        <v>30.6</v>
      </c>
      <c r="H10" s="39">
        <f>IF(
YEAR(H$8)&lt;'Main Page &amp; Assumptions'!$D$14,
0,
$C$18/'Main Page &amp; Assumptions'!$J$21
)</f>
        <v>30.6</v>
      </c>
      <c r="I10" s="39">
        <f>IF(
YEAR(I$8)&lt;'Main Page &amp; Assumptions'!$D$14,
0,
$C$18/'Main Page &amp; Assumptions'!$J$21
)</f>
        <v>30.6</v>
      </c>
      <c r="J10" s="39">
        <f>IF(
YEAR(J$8)&lt;'Main Page &amp; Assumptions'!$D$14,
0,
$C$18/'Main Page &amp; Assumptions'!$J$21
)</f>
        <v>30.6</v>
      </c>
      <c r="K10" s="99">
        <f>IF(
YEAR(K$8)&lt;'Main Page &amp; Assumptions'!$D$14,
0,
$C$18/'Main Page &amp; Assumptions'!$J$21
)</f>
        <v>30.6</v>
      </c>
    </row>
    <row r="11" spans="1:18" x14ac:dyDescent="0.15">
      <c r="B11" s="3"/>
      <c r="C11" s="13"/>
      <c r="E11" s="3"/>
      <c r="F11" s="39"/>
      <c r="G11" s="39"/>
      <c r="H11" s="39"/>
      <c r="I11" s="39"/>
      <c r="J11" s="39"/>
      <c r="K11" s="99"/>
    </row>
    <row r="12" spans="1:18" x14ac:dyDescent="0.15">
      <c r="B12" s="3" t="s">
        <v>47</v>
      </c>
      <c r="C12" s="5"/>
      <c r="E12" s="3" t="s">
        <v>474</v>
      </c>
      <c r="F12" s="39">
        <f>IF(
YEAR(F$8)&lt;'Main Page &amp; Assumptions'!$D$14,
0,
$C$19/'Main Page &amp; Assumptions'!$J$21
)</f>
        <v>0</v>
      </c>
      <c r="G12" s="39">
        <f>IF(
YEAR(G$8)&lt;'Main Page &amp; Assumptions'!$D$14,
0,
$C$19/'Main Page &amp; Assumptions'!$J$21
)</f>
        <v>10.199999999999999</v>
      </c>
      <c r="H12" s="39">
        <f>IF(
YEAR(H$8)&lt;'Main Page &amp; Assumptions'!$D$14,
0,
$C$19/'Main Page &amp; Assumptions'!$J$21
)</f>
        <v>10.199999999999999</v>
      </c>
      <c r="I12" s="39">
        <f>IF(
YEAR(I$8)&lt;'Main Page &amp; Assumptions'!$D$14,
0,
$C$19/'Main Page &amp; Assumptions'!$J$21
)</f>
        <v>10.199999999999999</v>
      </c>
      <c r="J12" s="39">
        <f>IF(
YEAR(J$8)&lt;'Main Page &amp; Assumptions'!$D$14,
0,
$C$19/'Main Page &amp; Assumptions'!$J$21
)</f>
        <v>10.199999999999999</v>
      </c>
      <c r="K12" s="39">
        <f>IF(
YEAR(K$8)&lt;'Main Page &amp; Assumptions'!$D$14,
0,
$C$19/'Main Page &amp; Assumptions'!$J$21
)</f>
        <v>10.199999999999999</v>
      </c>
    </row>
    <row r="13" spans="1:18" x14ac:dyDescent="0.15">
      <c r="B13" s="4" t="s">
        <v>39</v>
      </c>
      <c r="C13" s="99">
        <f>INDEX('Huntsman Standalone'!$C$103:$R$103,1,MATCH(DATE('Main Page &amp; Assumptions'!$D$14-1,12,31),'Huntsman Standalone'!$C$63:$R$63,0))</f>
        <v>2640.7231432622225</v>
      </c>
      <c r="E13" s="3"/>
      <c r="F13" s="39"/>
      <c r="G13" s="39"/>
      <c r="H13" s="39"/>
      <c r="I13" s="39"/>
      <c r="J13" s="39"/>
      <c r="K13" s="99"/>
    </row>
    <row r="14" spans="1:18" x14ac:dyDescent="0.15">
      <c r="B14" s="3" t="s">
        <v>46</v>
      </c>
      <c r="C14" s="5"/>
      <c r="E14" s="3"/>
      <c r="F14" s="39"/>
      <c r="G14" s="39"/>
      <c r="H14" s="39"/>
      <c r="I14" s="39"/>
      <c r="J14" s="39"/>
      <c r="K14" s="99"/>
    </row>
    <row r="15" spans="1:18" x14ac:dyDescent="0.15">
      <c r="B15" s="4" t="s">
        <v>70</v>
      </c>
      <c r="C15" s="5">
        <f>INDEX('Huntsman Standalone'!$C$75:$R$75,1,MATCH(DATE('Main Page &amp; Assumptions'!$D$14-1,12,31),'Huntsman Standalone'!$C$63:$R$63,0))</f>
        <v>630</v>
      </c>
      <c r="E15" s="3"/>
      <c r="F15" s="39"/>
      <c r="G15" s="39"/>
      <c r="H15" s="39"/>
      <c r="I15" s="39"/>
      <c r="J15" s="39"/>
      <c r="K15" s="99"/>
    </row>
    <row r="16" spans="1:18" x14ac:dyDescent="0.15">
      <c r="B16" s="4" t="s">
        <v>40</v>
      </c>
      <c r="C16" s="5">
        <f>INDEX('Huntsman Standalone'!$C$76:$R$76,1,MATCH(DATE('Main Page &amp; Assumptions'!$D$14-1,12,31),'Huntsman Standalone'!$C$63:$R$63,0))</f>
        <v>274</v>
      </c>
      <c r="E16" s="3"/>
      <c r="F16" s="39"/>
      <c r="G16" s="39"/>
      <c r="H16" s="39"/>
      <c r="I16" s="39"/>
      <c r="J16" s="39"/>
      <c r="K16" s="99"/>
    </row>
    <row r="17" spans="2:11" x14ac:dyDescent="0.15">
      <c r="B17" s="3" t="s">
        <v>47</v>
      </c>
      <c r="C17" s="5"/>
      <c r="E17" s="3" t="s">
        <v>472</v>
      </c>
      <c r="F17" s="231">
        <f>F10+F12</f>
        <v>0</v>
      </c>
      <c r="G17" s="231">
        <f t="shared" ref="G17:K17" si="1">G10+G12</f>
        <v>40.799999999999997</v>
      </c>
      <c r="H17" s="231">
        <f t="shared" si="1"/>
        <v>40.799999999999997</v>
      </c>
      <c r="I17" s="231">
        <f t="shared" si="1"/>
        <v>40.799999999999997</v>
      </c>
      <c r="J17" s="231">
        <f t="shared" si="1"/>
        <v>40.799999999999997</v>
      </c>
      <c r="K17" s="232">
        <f t="shared" si="1"/>
        <v>40.799999999999997</v>
      </c>
    </row>
    <row r="18" spans="2:11" x14ac:dyDescent="0.15">
      <c r="B18" s="4" t="s">
        <v>41</v>
      </c>
      <c r="C18" s="13">
        <v>306</v>
      </c>
      <c r="E18" s="111"/>
    </row>
    <row r="19" spans="2:11" x14ac:dyDescent="0.15">
      <c r="B19" s="4" t="s">
        <v>463</v>
      </c>
      <c r="C19" s="13">
        <v>102</v>
      </c>
    </row>
    <row r="20" spans="2:11" x14ac:dyDescent="0.15">
      <c r="B20" s="19" t="s">
        <v>46</v>
      </c>
      <c r="C20" s="5"/>
    </row>
    <row r="21" spans="2:11" x14ac:dyDescent="0.15">
      <c r="B21" s="4" t="s">
        <v>42</v>
      </c>
      <c r="C21" s="13">
        <v>131</v>
      </c>
    </row>
    <row r="22" spans="2:11" x14ac:dyDescent="0.15">
      <c r="B22" s="4" t="s">
        <v>470</v>
      </c>
      <c r="C22" s="99">
        <f>(C18+C19-C21)*'Main Page &amp; Assumptions'!J18</f>
        <v>66.48</v>
      </c>
    </row>
    <row r="23" spans="2:11" x14ac:dyDescent="0.15">
      <c r="B23" s="4" t="s">
        <v>464</v>
      </c>
      <c r="C23" s="105">
        <v>-46</v>
      </c>
    </row>
    <row r="24" spans="2:11" x14ac:dyDescent="0.15">
      <c r="B24" s="3"/>
      <c r="C24" s="5"/>
    </row>
    <row r="25" spans="2:11" x14ac:dyDescent="0.15">
      <c r="B25" s="229" t="s">
        <v>43</v>
      </c>
      <c r="C25" s="230">
        <f>C10-C13+C15+C16-C18-C19+C21+C22+C23</f>
        <v>454.14365193777758</v>
      </c>
    </row>
  </sheetData>
  <mergeCells count="1">
    <mergeCell ref="E7:K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9F8E9-9B34-2342-B029-F4D54969178F}">
  <sheetPr codeName="Sheet17"/>
  <dimension ref="A1:I29"/>
  <sheetViews>
    <sheetView showGridLines="0" workbookViewId="0">
      <selection activeCell="E16" sqref="E16"/>
    </sheetView>
  </sheetViews>
  <sheetFormatPr baseColWidth="10" defaultRowHeight="13" x14ac:dyDescent="0.15"/>
  <cols>
    <col min="2" max="2" width="26" customWidth="1"/>
  </cols>
  <sheetData>
    <row r="1" spans="1:9" x14ac:dyDescent="0.15">
      <c r="A1" s="298" t="str">
        <f>HYPERLINK("#'Table of Contents'!A1", "&lt;---------")</f>
        <v>&lt;---------</v>
      </c>
    </row>
    <row r="2" spans="1:9" ht="18" x14ac:dyDescent="0.15">
      <c r="B2" s="346" t="s">
        <v>524</v>
      </c>
      <c r="C2" s="346"/>
      <c r="D2" s="346"/>
      <c r="E2" s="346"/>
      <c r="F2" s="346"/>
      <c r="G2" s="346"/>
      <c r="H2" s="346"/>
      <c r="I2" s="346"/>
    </row>
    <row r="3" spans="1:9" x14ac:dyDescent="0.15">
      <c r="B3" s="90"/>
      <c r="C3" s="186"/>
      <c r="D3" s="338" t="s">
        <v>400</v>
      </c>
      <c r="E3" s="339"/>
      <c r="F3" s="339"/>
      <c r="G3" s="339"/>
      <c r="H3" s="339"/>
      <c r="I3" s="340"/>
    </row>
    <row r="4" spans="1:9" x14ac:dyDescent="0.15">
      <c r="B4" s="61" t="s">
        <v>525</v>
      </c>
      <c r="C4" s="143">
        <f>'Olin Standalone'!M4</f>
        <v>46022</v>
      </c>
      <c r="D4" s="158">
        <f t="shared" ref="D4:I4" si="0">EDATE(C4,12)</f>
        <v>46387</v>
      </c>
      <c r="E4" s="143">
        <f t="shared" si="0"/>
        <v>46752</v>
      </c>
      <c r="F4" s="143">
        <f t="shared" si="0"/>
        <v>47118</v>
      </c>
      <c r="G4" s="143">
        <f t="shared" si="0"/>
        <v>47483</v>
      </c>
      <c r="H4" s="143">
        <f t="shared" si="0"/>
        <v>47848</v>
      </c>
      <c r="I4" s="161">
        <f t="shared" si="0"/>
        <v>48213</v>
      </c>
    </row>
    <row r="5" spans="1:9" x14ac:dyDescent="0.15">
      <c r="D5" s="3"/>
      <c r="I5" s="5"/>
    </row>
    <row r="6" spans="1:9" x14ac:dyDescent="0.15">
      <c r="B6" s="59" t="s">
        <v>375</v>
      </c>
      <c r="C6" s="59"/>
      <c r="D6" s="159"/>
      <c r="E6" s="59"/>
      <c r="F6" s="59"/>
      <c r="G6" s="59"/>
      <c r="H6" s="59"/>
      <c r="I6" s="162"/>
    </row>
    <row r="7" spans="1:9" x14ac:dyDescent="0.15">
      <c r="D7" s="3"/>
      <c r="I7" s="5"/>
    </row>
    <row r="8" spans="1:9" x14ac:dyDescent="0.15">
      <c r="B8" t="s">
        <v>515</v>
      </c>
      <c r="C8" s="265">
        <f>IF(YEAR(C$4)&lt;'Main Page &amp; Assumptions'!$D$14,0,
 IF(YEAR(C$4)='Main Page &amp; Assumptions'!$D$14,
 YEARFRAC('Main Page &amp; Assumptions'!$D$9,C$4,1),
 1))</f>
        <v>0</v>
      </c>
      <c r="D8" s="98">
        <f>IF(YEAR(D$4)&lt;'Main Page &amp; Assumptions'!$D$14,0,
 IF(YEAR(D$4)='Main Page &amp; Assumptions'!$D$14,
 YEARFRAC('Main Page &amp; Assumptions'!$D$9,D$4,1),
 1))</f>
        <v>0</v>
      </c>
      <c r="E8" s="39">
        <f>IF(YEAR(E$4)&lt;'Main Page &amp; Assumptions'!$D$14,0,
 IF(YEAR(E$4)='Main Page &amp; Assumptions'!$D$14,
 YEARFRAC('Main Page &amp; Assumptions'!$D$9,E$4,1),
 1))</f>
        <v>0.50410958904109593</v>
      </c>
      <c r="F8" s="39">
        <f>IF(YEAR(F$4)&lt;'Main Page &amp; Assumptions'!$D$14,0,
 IF(YEAR(F$4)='Main Page &amp; Assumptions'!$D$14,
 YEARFRAC('Main Page &amp; Assumptions'!$D$9,F$4,1),
 1))</f>
        <v>1</v>
      </c>
      <c r="G8" s="39">
        <f>IF(YEAR(G$4)&lt;'Main Page &amp; Assumptions'!$D$14,0,
 IF(YEAR(G$4)='Main Page &amp; Assumptions'!$D$14,
 YEARFRAC('Main Page &amp; Assumptions'!$D$9,G$4,1),
 1))</f>
        <v>1</v>
      </c>
      <c r="H8" s="39">
        <f>IF(YEAR(H$4)&lt;'Main Page &amp; Assumptions'!$D$14,0,
 IF(YEAR(H$4)='Main Page &amp; Assumptions'!$D$14,
 YEARFRAC('Main Page &amp; Assumptions'!$D$9,H$4,1),
 1))</f>
        <v>1</v>
      </c>
      <c r="I8" s="99">
        <f>IF(YEAR(I$4)&lt;'Main Page &amp; Assumptions'!$D$14,0,
 IF(YEAR(I$4)='Main Page &amp; Assumptions'!$D$14,
 YEARFRAC('Main Page &amp; Assumptions'!$D$9,I$4,1),
 1))</f>
        <v>1</v>
      </c>
    </row>
    <row r="9" spans="1:9" x14ac:dyDescent="0.15">
      <c r="B9" t="s">
        <v>74</v>
      </c>
      <c r="C9" s="265">
        <f>'Main Page &amp; Assumptions'!$J$19</f>
        <v>300</v>
      </c>
      <c r="D9" s="3">
        <f>'Main Page &amp; Assumptions'!$J$19</f>
        <v>300</v>
      </c>
      <c r="E9">
        <f>'Main Page &amp; Assumptions'!$J$19</f>
        <v>300</v>
      </c>
      <c r="F9">
        <f>'Main Page &amp; Assumptions'!$J$19</f>
        <v>300</v>
      </c>
      <c r="G9">
        <f>'Main Page &amp; Assumptions'!$J$19</f>
        <v>300</v>
      </c>
      <c r="H9">
        <f>'Main Page &amp; Assumptions'!$J$19</f>
        <v>300</v>
      </c>
      <c r="I9" s="5">
        <f>'Main Page &amp; Assumptions'!$J$19</f>
        <v>300</v>
      </c>
    </row>
    <row r="10" spans="1:9" x14ac:dyDescent="0.15">
      <c r="B10" t="s">
        <v>517</v>
      </c>
      <c r="C10" s="265">
        <f>'Main Page &amp; Assumptions'!$J$25</f>
        <v>100</v>
      </c>
      <c r="D10" s="3">
        <f>'Main Page &amp; Assumptions'!$J$25</f>
        <v>100</v>
      </c>
      <c r="E10">
        <f>'Main Page &amp; Assumptions'!$J$25</f>
        <v>100</v>
      </c>
      <c r="F10">
        <f>'Main Page &amp; Assumptions'!$J$25</f>
        <v>100</v>
      </c>
      <c r="G10">
        <f>'Main Page &amp; Assumptions'!$J$25</f>
        <v>100</v>
      </c>
      <c r="H10">
        <f>'Main Page &amp; Assumptions'!$J$25</f>
        <v>100</v>
      </c>
      <c r="I10" s="5">
        <f>'Main Page &amp; Assumptions'!$J$25</f>
        <v>100</v>
      </c>
    </row>
    <row r="11" spans="1:9" x14ac:dyDescent="0.15">
      <c r="B11" t="s">
        <v>49</v>
      </c>
      <c r="C11" s="265">
        <f>'Main Page &amp; Assumptions'!$J$20</f>
        <v>175</v>
      </c>
      <c r="D11" s="3">
        <f>'Main Page &amp; Assumptions'!$J$20</f>
        <v>175</v>
      </c>
      <c r="E11">
        <f>'Main Page &amp; Assumptions'!$J$20</f>
        <v>175</v>
      </c>
      <c r="F11">
        <f>'Main Page &amp; Assumptions'!$J$20</f>
        <v>175</v>
      </c>
      <c r="G11">
        <f>'Main Page &amp; Assumptions'!$J$20</f>
        <v>175</v>
      </c>
      <c r="H11">
        <f>'Main Page &amp; Assumptions'!$J$20</f>
        <v>175</v>
      </c>
      <c r="I11" s="5">
        <f>'Main Page &amp; Assumptions'!$J$20</f>
        <v>175</v>
      </c>
    </row>
    <row r="12" spans="1:9" x14ac:dyDescent="0.15">
      <c r="B12" t="s">
        <v>48</v>
      </c>
      <c r="C12" s="267">
        <f>'Main Page &amp; Assumptions'!J18</f>
        <v>0.24</v>
      </c>
      <c r="D12" s="269">
        <f>$C$12</f>
        <v>0.24</v>
      </c>
      <c r="E12" s="266">
        <f t="shared" ref="E12:I12" si="1">$C$12</f>
        <v>0.24</v>
      </c>
      <c r="F12" s="266">
        <f t="shared" si="1"/>
        <v>0.24</v>
      </c>
      <c r="G12" s="266">
        <f t="shared" si="1"/>
        <v>0.24</v>
      </c>
      <c r="H12" s="266">
        <f t="shared" si="1"/>
        <v>0.24</v>
      </c>
      <c r="I12" s="270">
        <f t="shared" si="1"/>
        <v>0.24</v>
      </c>
    </row>
    <row r="13" spans="1:9" x14ac:dyDescent="0.15">
      <c r="D13" s="3"/>
      <c r="I13" s="5"/>
    </row>
    <row r="14" spans="1:9" x14ac:dyDescent="0.15">
      <c r="B14" t="s">
        <v>518</v>
      </c>
      <c r="C14" s="266">
        <v>0</v>
      </c>
      <c r="D14" s="274">
        <v>0</v>
      </c>
      <c r="E14" s="272">
        <v>0.5</v>
      </c>
      <c r="F14" s="272">
        <v>0.95</v>
      </c>
      <c r="G14" s="272">
        <v>1</v>
      </c>
      <c r="H14" s="272">
        <v>1</v>
      </c>
      <c r="I14" s="275">
        <v>1</v>
      </c>
    </row>
    <row r="15" spans="1:9" x14ac:dyDescent="0.15">
      <c r="B15" t="s">
        <v>519</v>
      </c>
      <c r="C15" s="266">
        <v>0</v>
      </c>
      <c r="D15" s="247">
        <v>0</v>
      </c>
      <c r="E15" s="311">
        <v>0</v>
      </c>
      <c r="F15" s="311">
        <v>0</v>
      </c>
      <c r="G15" s="311">
        <v>0</v>
      </c>
      <c r="H15" s="311">
        <v>0</v>
      </c>
      <c r="I15" s="248">
        <v>1</v>
      </c>
    </row>
    <row r="16" spans="1:9" x14ac:dyDescent="0.15">
      <c r="B16" t="s">
        <v>516</v>
      </c>
      <c r="C16" s="266">
        <v>0</v>
      </c>
      <c r="D16" s="276">
        <v>0</v>
      </c>
      <c r="E16" s="273">
        <v>0.4</v>
      </c>
      <c r="F16" s="273">
        <v>0.4</v>
      </c>
      <c r="G16" s="273">
        <v>0.2</v>
      </c>
      <c r="H16" s="273">
        <v>0</v>
      </c>
      <c r="I16" s="277">
        <v>0</v>
      </c>
    </row>
    <row r="17" spans="2:9" x14ac:dyDescent="0.15">
      <c r="C17" s="266"/>
      <c r="D17" s="269"/>
      <c r="E17" s="266"/>
      <c r="F17" s="266"/>
      <c r="G17" s="266"/>
      <c r="H17" s="266"/>
      <c r="I17" s="270"/>
    </row>
    <row r="18" spans="2:9" x14ac:dyDescent="0.15">
      <c r="B18" s="59" t="s">
        <v>526</v>
      </c>
      <c r="C18" s="271"/>
      <c r="D18" s="278"/>
      <c r="E18" s="271"/>
      <c r="F18" s="271"/>
      <c r="G18" s="271"/>
      <c r="H18" s="271"/>
      <c r="I18" s="279"/>
    </row>
    <row r="19" spans="2:9" x14ac:dyDescent="0.15">
      <c r="B19" t="s">
        <v>566</v>
      </c>
      <c r="C19">
        <f>--(YEAR(C$4)&gt;='Main Page &amp; Assumptions'!$D$14)</f>
        <v>0</v>
      </c>
      <c r="D19" s="3">
        <f>--(YEAR(D$4)&gt;='Main Page &amp; Assumptions'!$D$14)</f>
        <v>0</v>
      </c>
      <c r="E19">
        <f>--(YEAR(E$4)&gt;='Main Page &amp; Assumptions'!$D$14)</f>
        <v>1</v>
      </c>
      <c r="F19">
        <f>--(YEAR(F$4)&gt;='Main Page &amp; Assumptions'!$D$14)</f>
        <v>1</v>
      </c>
      <c r="G19">
        <f>--(YEAR(G$4)&gt;='Main Page &amp; Assumptions'!$D$14)</f>
        <v>1</v>
      </c>
      <c r="H19">
        <f>--(YEAR(H$4)&gt;='Main Page &amp; Assumptions'!$D$14)</f>
        <v>1</v>
      </c>
      <c r="I19" s="5">
        <f>--(YEAR(I$4)&gt;='Main Page &amp; Assumptions'!$D$14)</f>
        <v>1</v>
      </c>
    </row>
    <row r="20" spans="2:9" x14ac:dyDescent="0.15">
      <c r="D20" s="3"/>
      <c r="I20" s="5"/>
    </row>
    <row r="21" spans="2:9" x14ac:dyDescent="0.15">
      <c r="B21" t="s">
        <v>567</v>
      </c>
      <c r="C21">
        <f t="shared" ref="C21:I21" si="2">C$9*C$14*C$19</f>
        <v>0</v>
      </c>
      <c r="D21" s="3">
        <f t="shared" si="2"/>
        <v>0</v>
      </c>
      <c r="E21">
        <f t="shared" si="2"/>
        <v>150</v>
      </c>
      <c r="F21">
        <f t="shared" si="2"/>
        <v>285</v>
      </c>
      <c r="G21">
        <f t="shared" si="2"/>
        <v>300</v>
      </c>
      <c r="H21">
        <f t="shared" si="2"/>
        <v>300</v>
      </c>
      <c r="I21" s="5">
        <f t="shared" si="2"/>
        <v>300</v>
      </c>
    </row>
    <row r="22" spans="2:9" x14ac:dyDescent="0.15">
      <c r="B22" t="s">
        <v>517</v>
      </c>
      <c r="C22">
        <f>C$9*C$14*C$19</f>
        <v>0</v>
      </c>
      <c r="D22" s="3">
        <f t="shared" ref="D22:I22" si="3">D$10*D$15*D$19</f>
        <v>0</v>
      </c>
      <c r="E22">
        <f t="shared" si="3"/>
        <v>0</v>
      </c>
      <c r="F22">
        <f t="shared" si="3"/>
        <v>0</v>
      </c>
      <c r="G22">
        <f t="shared" si="3"/>
        <v>0</v>
      </c>
      <c r="H22">
        <f t="shared" si="3"/>
        <v>0</v>
      </c>
      <c r="I22" s="5">
        <f t="shared" si="3"/>
        <v>100</v>
      </c>
    </row>
    <row r="23" spans="2:9" x14ac:dyDescent="0.15">
      <c r="B23" s="88" t="s">
        <v>568</v>
      </c>
      <c r="C23" s="88">
        <f>C$9*C$14*C$19</f>
        <v>0</v>
      </c>
      <c r="D23" s="194">
        <f t="shared" ref="D23:I23" si="4">D21+D22</f>
        <v>0</v>
      </c>
      <c r="E23" s="88">
        <f t="shared" si="4"/>
        <v>150</v>
      </c>
      <c r="F23" s="88">
        <f t="shared" si="4"/>
        <v>285</v>
      </c>
      <c r="G23" s="88">
        <f t="shared" si="4"/>
        <v>300</v>
      </c>
      <c r="H23" s="88">
        <f t="shared" si="4"/>
        <v>300</v>
      </c>
      <c r="I23" s="312">
        <f t="shared" si="4"/>
        <v>400</v>
      </c>
    </row>
    <row r="24" spans="2:9" x14ac:dyDescent="0.15">
      <c r="B24" t="s">
        <v>49</v>
      </c>
      <c r="C24">
        <f t="shared" ref="C24:I24" si="5">-C$11*C$16*C$19</f>
        <v>0</v>
      </c>
      <c r="D24" s="3">
        <f t="shared" si="5"/>
        <v>0</v>
      </c>
      <c r="E24">
        <f t="shared" si="5"/>
        <v>-70</v>
      </c>
      <c r="F24">
        <f t="shared" si="5"/>
        <v>-70</v>
      </c>
      <c r="G24">
        <f t="shared" si="5"/>
        <v>-35</v>
      </c>
      <c r="H24">
        <f t="shared" si="5"/>
        <v>0</v>
      </c>
      <c r="I24" s="5">
        <f t="shared" si="5"/>
        <v>0</v>
      </c>
    </row>
    <row r="25" spans="2:9" x14ac:dyDescent="0.15">
      <c r="B25" t="s">
        <v>521</v>
      </c>
      <c r="C25">
        <f>SUM(C23:C24)</f>
        <v>0</v>
      </c>
      <c r="D25" s="3">
        <f t="shared" ref="D25:I25" si="6">SUM(D23:D24)</f>
        <v>0</v>
      </c>
      <c r="E25">
        <f t="shared" si="6"/>
        <v>80</v>
      </c>
      <c r="F25">
        <f t="shared" si="6"/>
        <v>215</v>
      </c>
      <c r="G25">
        <f t="shared" si="6"/>
        <v>265</v>
      </c>
      <c r="H25">
        <f t="shared" si="6"/>
        <v>300</v>
      </c>
      <c r="I25" s="5">
        <f t="shared" si="6"/>
        <v>400</v>
      </c>
    </row>
    <row r="26" spans="2:9" x14ac:dyDescent="0.15">
      <c r="B26" t="s">
        <v>522</v>
      </c>
      <c r="C26">
        <f>-C25*C$12</f>
        <v>0</v>
      </c>
      <c r="D26" s="3">
        <f t="shared" ref="D26:I26" si="7">-D25*D$12</f>
        <v>0</v>
      </c>
      <c r="E26">
        <f>-E25*E$12</f>
        <v>-19.2</v>
      </c>
      <c r="F26">
        <f t="shared" si="7"/>
        <v>-51.6</v>
      </c>
      <c r="G26">
        <f t="shared" si="7"/>
        <v>-63.599999999999994</v>
      </c>
      <c r="H26">
        <f t="shared" si="7"/>
        <v>-72</v>
      </c>
      <c r="I26" s="5">
        <f t="shared" si="7"/>
        <v>-96</v>
      </c>
    </row>
    <row r="27" spans="2:9" x14ac:dyDescent="0.15">
      <c r="D27" s="3"/>
      <c r="I27" s="5"/>
    </row>
    <row r="28" spans="2:9" ht="14" thickBot="1" x14ac:dyDescent="0.2">
      <c r="B28" s="133" t="s">
        <v>523</v>
      </c>
      <c r="C28" s="133">
        <f>C25+C26</f>
        <v>0</v>
      </c>
      <c r="D28" s="314">
        <f t="shared" ref="D28:I28" si="8">D25+D26</f>
        <v>0</v>
      </c>
      <c r="E28" s="133">
        <f t="shared" si="8"/>
        <v>60.8</v>
      </c>
      <c r="F28" s="133">
        <f t="shared" si="8"/>
        <v>163.4</v>
      </c>
      <c r="G28" s="133">
        <f t="shared" si="8"/>
        <v>201.4</v>
      </c>
      <c r="H28" s="133">
        <f t="shared" si="8"/>
        <v>228</v>
      </c>
      <c r="I28" s="313">
        <f t="shared" si="8"/>
        <v>304</v>
      </c>
    </row>
    <row r="29" spans="2:9" ht="14" thickTop="1" x14ac:dyDescent="0.15"/>
  </sheetData>
  <mergeCells count="2">
    <mergeCell ref="D3:I3"/>
    <mergeCell ref="B2:I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78061-6E73-0A42-A31C-8708FF9D447C}">
  <sheetPr codeName="Sheet15"/>
  <dimension ref="B1:T73"/>
  <sheetViews>
    <sheetView showGridLines="0" topLeftCell="A5" zoomScale="110" workbookViewId="0">
      <selection activeCell="B1" sqref="B1"/>
    </sheetView>
  </sheetViews>
  <sheetFormatPr baseColWidth="10" defaultColWidth="25.1640625" defaultRowHeight="13" x14ac:dyDescent="0.15"/>
  <cols>
    <col min="1" max="1" width="7.33203125" customWidth="1"/>
    <col min="2" max="2" width="50.83203125" customWidth="1"/>
    <col min="3" max="3" width="30.6640625" customWidth="1"/>
  </cols>
  <sheetData>
    <row r="1" spans="2:20" x14ac:dyDescent="0.15">
      <c r="B1" s="298" t="str">
        <f>HYPERLINK("#'Table of Contents'!A1", "&lt;---------")</f>
        <v>&lt;---------</v>
      </c>
    </row>
    <row r="2" spans="2:20" x14ac:dyDescent="0.15">
      <c r="D2" t="s">
        <v>547</v>
      </c>
      <c r="E2" s="1">
        <f xml:space="preserve"> DATE('Main Page &amp; Assumptions'!$D$14-1,12,31)</f>
        <v>46387</v>
      </c>
      <c r="L2" s="235"/>
      <c r="M2" s="235"/>
      <c r="N2" s="235"/>
      <c r="O2" s="235"/>
      <c r="P2" s="235"/>
      <c r="Q2" s="235"/>
      <c r="R2" s="235"/>
    </row>
    <row r="3" spans="2:20" ht="18" x14ac:dyDescent="0.15">
      <c r="B3" s="346" t="s">
        <v>552</v>
      </c>
      <c r="C3" s="346"/>
      <c r="D3" s="346"/>
      <c r="E3" s="346"/>
      <c r="F3" s="346"/>
      <c r="G3" s="346"/>
      <c r="H3" s="346"/>
      <c r="I3" s="346"/>
      <c r="J3" s="346"/>
      <c r="L3" s="233"/>
      <c r="M3" s="233"/>
      <c r="N3" s="233"/>
      <c r="O3" s="233"/>
      <c r="P3" s="233"/>
      <c r="Q3" s="233"/>
      <c r="R3" s="233"/>
      <c r="S3" s="233"/>
      <c r="T3" s="233"/>
    </row>
    <row r="4" spans="2:20" x14ac:dyDescent="0.15">
      <c r="B4" s="59" t="s">
        <v>497</v>
      </c>
      <c r="C4" s="59" t="s">
        <v>63</v>
      </c>
      <c r="D4" s="59" t="s">
        <v>479</v>
      </c>
      <c r="E4" s="59" t="s">
        <v>480</v>
      </c>
      <c r="F4" s="59" t="s">
        <v>481</v>
      </c>
      <c r="G4" s="59" t="s">
        <v>482</v>
      </c>
      <c r="H4" s="59" t="s">
        <v>483</v>
      </c>
      <c r="I4" s="59" t="s">
        <v>484</v>
      </c>
      <c r="L4" s="306"/>
      <c r="M4" s="306"/>
      <c r="N4" s="306"/>
      <c r="O4" s="306"/>
      <c r="P4" s="306"/>
      <c r="Q4" s="306"/>
      <c r="R4" s="306"/>
    </row>
    <row r="5" spans="2:20" x14ac:dyDescent="0.15">
      <c r="B5" s="350" t="str">
        <f>'Main Page &amp; Assumptions'!D7</f>
        <v>Olin Corporation</v>
      </c>
      <c r="E5" s="39"/>
      <c r="L5" s="235"/>
      <c r="M5" s="235"/>
      <c r="N5" s="235"/>
      <c r="O5" s="235"/>
      <c r="P5" s="235"/>
      <c r="Q5" s="235"/>
      <c r="R5" s="307"/>
      <c r="S5" s="46"/>
    </row>
    <row r="6" spans="2:20" x14ac:dyDescent="0.15">
      <c r="B6" s="351"/>
      <c r="C6" t="str">
        <f>'Olin Debt'!B16</f>
        <v>Revolver</v>
      </c>
      <c r="D6" s="46" cm="1">
        <f t="array" aca="1" ref="D6" ca="1">IFERROR(
_xlfn.LET(
_xlpm.r,_xlfn.XMATCH($C6,'Olin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6" s="39">
        <f>IF($C6="",0,IFERROR(_xlfn.XLOOKUP($C6,'Olin Debt'!$B$16:$B$22,'Olin Debt'!$J$16:$J$22),0))</f>
        <v>0</v>
      </c>
      <c r="F6" s="46">
        <f ca="1">D6*E6*'Main Page &amp; Assumptions'!$D$12</f>
        <v>0</v>
      </c>
      <c r="G6" s="46">
        <f ca="1">D6-F6</f>
        <v>0</v>
      </c>
      <c r="H6" s="241">
        <f ca="1">IF(
G6=0,
0,
IFERROR(
_xlfn.XLOOKUP(
C6,
'Olin Debt'!$B$16:$B$22,
'Olin Debt'!$C$16:$C$22
),
0
)
)</f>
        <v>0</v>
      </c>
      <c r="I6" s="46">
        <f ca="1">-G6*H6</f>
        <v>0</v>
      </c>
      <c r="L6" s="235"/>
      <c r="M6" s="307"/>
      <c r="N6" s="308"/>
      <c r="O6" s="307"/>
      <c r="P6" s="307"/>
      <c r="Q6" s="309"/>
      <c r="R6" s="307"/>
      <c r="S6" s="46"/>
    </row>
    <row r="7" spans="2:20" x14ac:dyDescent="0.15">
      <c r="B7" s="351"/>
      <c r="C7" t="str">
        <f>'Olin Debt'!B17</f>
        <v>2025 Term Loan Facility</v>
      </c>
      <c r="D7" s="46" cm="1">
        <f t="array" ref="D7">IFERROR(
_xlfn.LET(
_xlpm.r,_xlfn.XMATCH($C7,'Olin Debt'!$B:$B,0,-1),
_xlpm.er,_xlpm.r+_xlfn.XMATCH(
"Ending Balance",
INDEX('Olin Debt'!$B:$B,_xlpm.r+1):INDEX('Olin Debt'!$B:$B,_xlpm.r+10),
0
),
INDEX(
'Olin Debt'!$C:$I,
_xlpm.er,
_xlfn.XMATCH($E$2,'Olin Debt'!$C$33:$I$33,0)
)
),
0
)</f>
        <v>528.09999999999991</v>
      </c>
      <c r="E7" s="39">
        <f>IF($C7="",0,IFERROR(_xlfn.XLOOKUP($C7,'Olin Debt'!$B$16:$B$22,'Olin Debt'!$J$16:$J$22),0))</f>
        <v>0</v>
      </c>
      <c r="F7" s="46">
        <f>D7*E7*'Main Page &amp; Assumptions'!$D$12</f>
        <v>0</v>
      </c>
      <c r="G7" s="46">
        <f t="shared" ref="G7:G19" si="0">D7-F7</f>
        <v>528.09999999999991</v>
      </c>
      <c r="H7" s="241">
        <f>IF(
G7=0,
0,
IFERROR(
_xlfn.XLOOKUP(
C7,
'Olin Debt'!$B$16:$B$22,
'Olin Debt'!$C$16:$C$22
),
0
)
)</f>
        <v>5.4379999999999998E-2</v>
      </c>
      <c r="I7" s="46">
        <f t="shared" ref="I7:I35" si="1">-G7*H7</f>
        <v>-28.718077999999995</v>
      </c>
      <c r="L7" s="235"/>
      <c r="M7" s="307"/>
      <c r="N7" s="308"/>
      <c r="O7" s="307"/>
      <c r="P7" s="307"/>
      <c r="Q7" s="309"/>
      <c r="R7" s="307"/>
      <c r="S7" s="46"/>
    </row>
    <row r="8" spans="2:20" x14ac:dyDescent="0.15">
      <c r="B8" s="351"/>
      <c r="C8" t="str">
        <f>'Olin Debt'!B18</f>
        <v>Senior Notes due 2029</v>
      </c>
      <c r="D8" s="46" cm="1">
        <f t="array" ref="D8">IFERROR(
_xlfn.LET(
_xlpm.r,_xlfn.XMATCH($C8,'Olin Debt'!$B:$B,0,-1),
_xlpm.er,_xlpm.r+_xlfn.XMATCH(
"Ending Balance",
INDEX('Olin Debt'!$B:$B,_xlpm.r+1):INDEX('Olin Debt'!$B:$B,_xlpm.r+10),
0
),
INDEX(
'Olin Debt'!$C:$I,
_xlpm.er,
_xlfn.XMATCH($E$2,'Olin Debt'!$C$33:$I$33,0)
)
),
0
)</f>
        <v>669.3</v>
      </c>
      <c r="E8" s="39">
        <f>IF($C8="",0,IFERROR(_xlfn.XLOOKUP($C8,'Olin Debt'!$B$16:$B$22,'Olin Debt'!$J$16:$J$22),0))</f>
        <v>0</v>
      </c>
      <c r="F8" s="46">
        <f>D8*E8*'Main Page &amp; Assumptions'!$D$12</f>
        <v>0</v>
      </c>
      <c r="G8" s="46">
        <f t="shared" si="0"/>
        <v>669.3</v>
      </c>
      <c r="H8" s="241">
        <f>IF(
G8=0,
0,
IFERROR(
_xlfn.XLOOKUP(
C8,
'Olin Debt'!$B$16:$B$22,
'Olin Debt'!$C$16:$C$22
),
0
)
)</f>
        <v>5.6250000000000001E-2</v>
      </c>
      <c r="I8" s="46">
        <f t="shared" si="1"/>
        <v>-37.648125</v>
      </c>
      <c r="L8" s="235"/>
      <c r="M8" s="307"/>
      <c r="N8" s="308"/>
      <c r="O8" s="307"/>
      <c r="P8" s="307"/>
      <c r="Q8" s="309"/>
      <c r="R8" s="307"/>
      <c r="S8" s="46"/>
    </row>
    <row r="9" spans="2:20" x14ac:dyDescent="0.15">
      <c r="B9" s="351"/>
      <c r="C9" t="str">
        <f>'Olin Debt'!B19</f>
        <v>Senior Notes due 2030</v>
      </c>
      <c r="D9" s="46" cm="1">
        <f t="array" ref="D9">IFERROR(
_xlfn.LET(
_xlpm.r,_xlfn.XMATCH($C9,'Olin Debt'!$B:$B,0,-1),
_xlpm.er,_xlpm.r+_xlfn.XMATCH(
"Ending Balance",
INDEX('Olin Debt'!$B:$B,_xlpm.r+1):INDEX('Olin Debt'!$B:$B,_xlpm.r+10),
0
),
INDEX(
'Olin Debt'!$C:$I,
_xlpm.er,
_xlfn.XMATCH($E$2,'Olin Debt'!$C$33:$I$33,0)
)
),
0
)</f>
        <v>515.29999999999995</v>
      </c>
      <c r="E9" s="39">
        <f>IF($C9="",0,IFERROR(_xlfn.XLOOKUP($C9,'Olin Debt'!$B$16:$B$22,'Olin Debt'!$J$16:$J$22),0))</f>
        <v>0</v>
      </c>
      <c r="F9" s="46">
        <f>D9*E9*'Main Page &amp; Assumptions'!$D$12</f>
        <v>0</v>
      </c>
      <c r="G9" s="46">
        <f t="shared" si="0"/>
        <v>515.29999999999995</v>
      </c>
      <c r="H9" s="241">
        <f>IF(
G9=0,
0,
IFERROR(
_xlfn.XLOOKUP(
C9,
'Olin Debt'!$B$16:$B$22,
'Olin Debt'!$C$16:$C$22
),
0
)
)</f>
        <v>0.05</v>
      </c>
      <c r="I9" s="46">
        <f t="shared" si="1"/>
        <v>-25.765000000000001</v>
      </c>
      <c r="L9" s="235"/>
      <c r="M9" s="307"/>
      <c r="N9" s="308"/>
      <c r="O9" s="307"/>
      <c r="P9" s="307"/>
      <c r="Q9" s="309"/>
      <c r="R9" s="307"/>
      <c r="S9" s="46"/>
    </row>
    <row r="10" spans="2:20" x14ac:dyDescent="0.15">
      <c r="B10" s="351"/>
      <c r="C10" t="str">
        <f>'Olin Debt'!B20</f>
        <v>Senior Notes due 2033</v>
      </c>
      <c r="D10" s="46" cm="1">
        <f t="array" ref="D10">IFERROR(
_xlfn.LET(
_xlpm.r,_xlfn.XMATCH($C10,'Olin Debt'!$B:$B,0,-1),
_xlpm.er,_xlpm.r+_xlfn.XMATCH(
"Ending Balance",
INDEX('Olin Debt'!$B:$B,_xlpm.r+1):INDEX('Olin Debt'!$B:$B,_xlpm.r+10),
0
),
INDEX(
'Olin Debt'!$C:$I,
_xlpm.er,
_xlfn.XMATCH($E$2,'Olin Debt'!$C$33:$I$33,0)
)
),
0
)</f>
        <v>600</v>
      </c>
      <c r="E10" s="39">
        <f>IF($C10="",0,IFERROR(_xlfn.XLOOKUP($C10,'Olin Debt'!$B$16:$B$22,'Olin Debt'!$J$16:$J$22),0))</f>
        <v>0</v>
      </c>
      <c r="F10" s="46">
        <f>D10*E10*'Main Page &amp; Assumptions'!$D$12</f>
        <v>0</v>
      </c>
      <c r="G10" s="46">
        <f t="shared" si="0"/>
        <v>600</v>
      </c>
      <c r="H10" s="241">
        <f>IF(
G10=0,
0,
IFERROR(
_xlfn.XLOOKUP(
C10,
'Olin Debt'!$B$16:$B$22,
'Olin Debt'!$C$16:$C$22
),
0
)
)</f>
        <v>6.6250000000000003E-2</v>
      </c>
      <c r="I10" s="46">
        <f t="shared" si="1"/>
        <v>-39.75</v>
      </c>
      <c r="L10" s="235"/>
      <c r="M10" s="307"/>
      <c r="N10" s="308"/>
      <c r="O10" s="307"/>
      <c r="P10" s="307"/>
      <c r="Q10" s="309"/>
      <c r="R10" s="307"/>
      <c r="S10" s="46"/>
    </row>
    <row r="11" spans="2:20" x14ac:dyDescent="0.15">
      <c r="B11" s="351"/>
      <c r="C11" t="str">
        <f>'Olin Debt'!B21</f>
        <v>2024 A/R Financing Agreement</v>
      </c>
      <c r="D11" s="46" cm="1">
        <f t="array" ref="D11">IFERROR(
_xlfn.LET(
_xlpm.r,_xlfn.XMATCH($C11,'Olin Debt'!$B:$B,0,-1),
_xlpm.er,_xlpm.r+_xlfn.XMATCH(
"Ending Balance",
INDEX('Olin Debt'!$B:$B,_xlpm.r+1):INDEX('Olin Debt'!$B:$B,_xlpm.r+10),
0
),
INDEX(
'Olin Debt'!$C:$I,
_xlpm.er,
_xlfn.XMATCH($E$2,'Olin Debt'!$C$33:$I$33,0)
)
),
0
)</f>
        <v>340</v>
      </c>
      <c r="E11" s="39">
        <f>IF($C11="",0,IFERROR(_xlfn.XLOOKUP($C11,'Olin Debt'!$B$16:$B$22,'Olin Debt'!$J$16:$J$22),0))</f>
        <v>0</v>
      </c>
      <c r="F11" s="46">
        <f>D11*E11*'Main Page &amp; Assumptions'!$D$12</f>
        <v>0</v>
      </c>
      <c r="G11" s="46">
        <f t="shared" si="0"/>
        <v>340</v>
      </c>
      <c r="H11" s="241">
        <f>IF(
G11=0,
0,
IFERROR(
_xlfn.XLOOKUP(
C11,
'Olin Debt'!$B$16:$B$22,
'Olin Debt'!$C$16:$C$22
),
0
)
)</f>
        <v>4.5999999999999999E-2</v>
      </c>
      <c r="I11" s="46">
        <f t="shared" si="1"/>
        <v>-15.64</v>
      </c>
      <c r="L11" s="235"/>
      <c r="M11" s="307"/>
      <c r="N11" s="308"/>
      <c r="O11" s="307"/>
      <c r="P11" s="307"/>
      <c r="Q11" s="309"/>
      <c r="R11" s="307"/>
      <c r="S11" s="46"/>
    </row>
    <row r="12" spans="2:20" x14ac:dyDescent="0.15">
      <c r="B12" s="351"/>
      <c r="C12" t="str">
        <f>'Olin Debt'!B22</f>
        <v>Recovery Zone Bonds</v>
      </c>
      <c r="D12" s="46" cm="1">
        <f t="array" ref="D12">IFERROR(
_xlfn.LET(
_xlpm.r,_xlfn.XMATCH($C12,'Olin Debt'!$B:$B,0,-1),
_xlpm.er,_xlpm.r+_xlfn.XMATCH(
"Ending Balance",
INDEX('Olin Debt'!$B:$B,_xlpm.r+1):INDEX('Olin Debt'!$B:$B,_xlpm.r+10),
0
),
INDEX(
'Olin Debt'!$C:$I,
_xlpm.er,
_xlfn.XMATCH($E$2,'Olin Debt'!$C$33:$I$33,0)
)
),
0
)</f>
        <v>83</v>
      </c>
      <c r="E12" s="39">
        <f>IF($C12="",0,IFERROR(_xlfn.XLOOKUP($C12,'Olin Debt'!$B$16:$B$22,'Olin Debt'!$J$16:$J$22),0))</f>
        <v>0</v>
      </c>
      <c r="F12" s="46">
        <f>D12*E12*'Main Page &amp; Assumptions'!$D$12</f>
        <v>0</v>
      </c>
      <c r="G12" s="46">
        <f t="shared" si="0"/>
        <v>83</v>
      </c>
      <c r="H12" s="241">
        <f>IF(
G12=0,
0,
IFERROR(
_xlfn.XLOOKUP(
C12,
'Olin Debt'!$B$16:$B$22,
'Olin Debt'!$C$16:$C$22
),
0
)
)</f>
        <v>4.938E-2</v>
      </c>
      <c r="I12" s="46">
        <f t="shared" si="1"/>
        <v>-4.0985399999999998</v>
      </c>
      <c r="L12" s="235"/>
      <c r="M12" s="307"/>
      <c r="N12" s="308"/>
      <c r="O12" s="307"/>
      <c r="P12" s="307"/>
      <c r="Q12" s="309"/>
      <c r="R12" s="307"/>
      <c r="S12" s="46"/>
    </row>
    <row r="13" spans="2:20" x14ac:dyDescent="0.15">
      <c r="B13" s="351"/>
      <c r="C13">
        <f>'Olin Debt'!B23</f>
        <v>0</v>
      </c>
      <c r="D13" s="46" cm="1">
        <f t="array" ref="D13">IFERROR(
_xlfn.LET(
_xlpm.r,_xlfn.XMATCH($C13,'Olin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3" s="39">
        <f>IF($C13="",0,IFERROR(_xlfn.XLOOKUP($C13,'Olin Debt'!$B$16:$B$22,'Olin Debt'!$J$16:$J$22),0))</f>
        <v>0</v>
      </c>
      <c r="F13" s="46">
        <f>D13*E13*'Main Page &amp; Assumptions'!$D$12</f>
        <v>0</v>
      </c>
      <c r="G13" s="46">
        <f t="shared" si="0"/>
        <v>0</v>
      </c>
      <c r="H13" s="241">
        <f>IF(
G13=0,
0,
IFERROR(
_xlfn.XLOOKUP(
C13,
'Olin Debt'!$B$16:$B$22,
'Olin Debt'!$C$16:$C$22
),
0
)
)</f>
        <v>0</v>
      </c>
      <c r="I13" s="46">
        <f t="shared" si="1"/>
        <v>0</v>
      </c>
      <c r="L13" s="235"/>
      <c r="M13" s="307"/>
      <c r="N13" s="308"/>
      <c r="O13" s="307"/>
      <c r="P13" s="307"/>
      <c r="Q13" s="309"/>
      <c r="R13" s="307"/>
      <c r="S13" s="46"/>
    </row>
    <row r="14" spans="2:20" x14ac:dyDescent="0.15">
      <c r="B14" s="351"/>
      <c r="C14">
        <f>'Olin Debt'!B24</f>
        <v>0</v>
      </c>
      <c r="D14" s="46" cm="1">
        <f t="array" ref="D14">IFERROR(
_xlfn.LET(
_xlpm.r,_xlfn.XMATCH($C14,'Olin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4" s="39">
        <f>IF($C14="",0,IFERROR(_xlfn.XLOOKUP($C14,'Olin Debt'!$B$16:$B$22,'Olin Debt'!$J$16:$J$22),0))</f>
        <v>0</v>
      </c>
      <c r="F14" s="46">
        <f>D14*E14*'Main Page &amp; Assumptions'!$D$12</f>
        <v>0</v>
      </c>
      <c r="G14" s="46">
        <f t="shared" si="0"/>
        <v>0</v>
      </c>
      <c r="H14" s="241">
        <f>IF(
G14=0,
0,
IFERROR(
_xlfn.XLOOKUP(
C14,
'Olin Debt'!$B$16:$B$22,
'Olin Debt'!$C$16:$C$22
),
0
)
)</f>
        <v>0</v>
      </c>
      <c r="I14" s="46">
        <f t="shared" si="1"/>
        <v>0</v>
      </c>
      <c r="L14" s="235"/>
      <c r="M14" s="307"/>
      <c r="N14" s="308"/>
      <c r="O14" s="307"/>
      <c r="P14" s="307"/>
      <c r="Q14" s="309"/>
      <c r="R14" s="307"/>
      <c r="S14" s="46"/>
    </row>
    <row r="15" spans="2:20" x14ac:dyDescent="0.15">
      <c r="B15" s="351"/>
      <c r="C15">
        <f>'Olin Debt'!B25</f>
        <v>0</v>
      </c>
      <c r="D15" s="46" cm="1">
        <f t="array" ref="D15">IFERROR(
_xlfn.LET(
_xlpm.r,_xlfn.XMATCH($C15,'Olin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5" s="39">
        <f>IF($C15="",0,IFERROR(_xlfn.XLOOKUP($C15,'Olin Debt'!$B$16:$B$22,'Olin Debt'!$J$16:$J$22),0))</f>
        <v>0</v>
      </c>
      <c r="F15" s="46">
        <f>D15*E15*'Main Page &amp; Assumptions'!$D$12</f>
        <v>0</v>
      </c>
      <c r="G15" s="46">
        <f t="shared" si="0"/>
        <v>0</v>
      </c>
      <c r="H15" s="241">
        <f>IF(
G15=0,
0,
IFERROR(
_xlfn.XLOOKUP(
C15,
'Olin Debt'!$B$16:$B$22,
'Olin Debt'!$C$16:$C$22
),
0
)
)</f>
        <v>0</v>
      </c>
      <c r="I15" s="46">
        <f t="shared" si="1"/>
        <v>0</v>
      </c>
      <c r="L15" s="235"/>
      <c r="M15" s="307"/>
      <c r="N15" s="308"/>
      <c r="O15" s="307"/>
      <c r="P15" s="307"/>
      <c r="Q15" s="309"/>
      <c r="R15" s="307"/>
      <c r="S15" s="46"/>
    </row>
    <row r="16" spans="2:20" x14ac:dyDescent="0.15">
      <c r="B16" s="351"/>
      <c r="C16">
        <f>'Olin Debt'!B26</f>
        <v>0</v>
      </c>
      <c r="D16" s="46" cm="1">
        <f t="array" ref="D16">IFERROR(
_xlfn.LET(
_xlpm.r,_xlfn.XMATCH($C16,'Olin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6" s="39">
        <f>IF($C16="",0,IFERROR(_xlfn.XLOOKUP($C16,'Olin Debt'!$B$16:$B$22,'Olin Debt'!$J$16:$J$22),0))</f>
        <v>0</v>
      </c>
      <c r="F16" s="46">
        <f>D16*E16*'Main Page &amp; Assumptions'!$D$12</f>
        <v>0</v>
      </c>
      <c r="G16" s="46">
        <f t="shared" si="0"/>
        <v>0</v>
      </c>
      <c r="H16" s="241">
        <f>IF(
G16=0,
0,
IFERROR(
_xlfn.XLOOKUP(
C16,
'Olin Debt'!$B$16:$B$22,
'Olin Debt'!$C$16:$C$22
),
0
)
)</f>
        <v>0</v>
      </c>
      <c r="I16" s="46">
        <f t="shared" si="1"/>
        <v>0</v>
      </c>
      <c r="L16" s="235"/>
      <c r="M16" s="307"/>
      <c r="N16" s="308"/>
      <c r="O16" s="307"/>
      <c r="P16" s="307"/>
      <c r="Q16" s="309"/>
      <c r="R16" s="307"/>
      <c r="S16" s="46"/>
    </row>
    <row r="17" spans="2:19" x14ac:dyDescent="0.15">
      <c r="B17" s="351"/>
      <c r="C17">
        <f>'Olin Debt'!B27</f>
        <v>0</v>
      </c>
      <c r="D17" s="46" cm="1">
        <f t="array" ref="D17">IFERROR(
_xlfn.LET(
_xlpm.r,_xlfn.XMATCH($C17,'Olin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7" s="39">
        <f>IF($C17="",0,IFERROR(_xlfn.XLOOKUP($C17,'Olin Debt'!$B$16:$B$22,'Olin Debt'!$J$16:$J$22),0))</f>
        <v>0</v>
      </c>
      <c r="F17" s="46">
        <f>D17*E17*'Main Page &amp; Assumptions'!$D$12</f>
        <v>0</v>
      </c>
      <c r="G17" s="46">
        <f t="shared" si="0"/>
        <v>0</v>
      </c>
      <c r="H17" s="241">
        <f>IF(
G17=0,
0,
IFERROR(
_xlfn.XLOOKUP(
C17,
'Olin Debt'!$B$16:$B$22,
'Olin Debt'!$C$16:$C$22
),
0
)
)</f>
        <v>0</v>
      </c>
      <c r="I17" s="46">
        <f t="shared" si="1"/>
        <v>0</v>
      </c>
      <c r="L17" s="235"/>
      <c r="M17" s="307"/>
      <c r="N17" s="308"/>
      <c r="O17" s="307"/>
      <c r="P17" s="307"/>
      <c r="Q17" s="309"/>
      <c r="R17" s="307"/>
      <c r="S17" s="46"/>
    </row>
    <row r="18" spans="2:19" x14ac:dyDescent="0.15">
      <c r="B18" s="351"/>
      <c r="C18">
        <f>'Olin Debt'!B28</f>
        <v>0</v>
      </c>
      <c r="D18" s="46" cm="1">
        <f t="array" ref="D18">IFERROR(
_xlfn.LET(
_xlpm.r,_xlfn.XMATCH($C18,'Olin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8" s="39">
        <f>IF($C18="",0,IFERROR(_xlfn.XLOOKUP($C18,'Olin Debt'!$B$16:$B$22,'Olin Debt'!$J$16:$J$22),0))</f>
        <v>0</v>
      </c>
      <c r="F18" s="46">
        <f>D18*E18*'Main Page &amp; Assumptions'!$D$12</f>
        <v>0</v>
      </c>
      <c r="G18" s="46">
        <f t="shared" si="0"/>
        <v>0</v>
      </c>
      <c r="H18" s="241">
        <f>IF(
G18=0,
0,
IFERROR(
_xlfn.XLOOKUP(
C18,
'Olin Debt'!$B$16:$B$22,
'Olin Debt'!$C$16:$C$22
),
0
)
)</f>
        <v>0</v>
      </c>
      <c r="I18" s="46">
        <f t="shared" si="1"/>
        <v>0</v>
      </c>
      <c r="L18" s="235"/>
      <c r="M18" s="307"/>
      <c r="N18" s="308"/>
      <c r="O18" s="307"/>
      <c r="P18" s="307"/>
      <c r="Q18" s="309"/>
      <c r="R18" s="307"/>
      <c r="S18" s="46"/>
    </row>
    <row r="19" spans="2:19" x14ac:dyDescent="0.15">
      <c r="B19" s="351"/>
      <c r="C19">
        <f>'Olin Debt'!B29</f>
        <v>0</v>
      </c>
      <c r="D19" s="46" cm="1">
        <f t="array" ref="D19">IFERROR(
_xlfn.LET(
_xlpm.r,_xlfn.XMATCH($C19,'Olin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9" s="39">
        <f>IF($C19="",0,IFERROR(_xlfn.XLOOKUP($C19,'Olin Debt'!$B$16:$B$22,'Olin Debt'!$J$16:$J$22),0))</f>
        <v>0</v>
      </c>
      <c r="F19" s="46">
        <f>D19*E19*'Main Page &amp; Assumptions'!$D$12</f>
        <v>0</v>
      </c>
      <c r="G19" s="46">
        <f t="shared" si="0"/>
        <v>0</v>
      </c>
      <c r="H19" s="241">
        <f>IF(
G19=0,
0,
IFERROR(
_xlfn.XLOOKUP(
C19,
'Olin Debt'!$B$16:$B$22,
'Olin Debt'!$C$16:$C$22
),
0
)
)</f>
        <v>0</v>
      </c>
      <c r="I19" s="46">
        <f t="shared" si="1"/>
        <v>0</v>
      </c>
      <c r="L19" s="235"/>
      <c r="M19" s="307"/>
      <c r="N19" s="308"/>
      <c r="O19" s="307"/>
      <c r="P19" s="307"/>
      <c r="Q19" s="309"/>
      <c r="R19" s="307"/>
      <c r="S19" s="46"/>
    </row>
    <row r="20" spans="2:19" x14ac:dyDescent="0.15">
      <c r="D20" s="46" cm="1">
        <f t="array" ref="D20">IFERROR(
_xlfn.LET(
_xlpm.r,_xlfn.XMATCH($C20,'Olin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20" s="39"/>
      <c r="F20" s="39"/>
      <c r="G20" s="39"/>
      <c r="H20" s="43"/>
      <c r="I20" s="46"/>
      <c r="L20" s="235"/>
      <c r="M20" s="307"/>
      <c r="N20" s="308"/>
      <c r="O20" s="307"/>
      <c r="P20" s="307"/>
      <c r="Q20" s="309"/>
      <c r="R20" s="307"/>
      <c r="S20" s="46"/>
    </row>
    <row r="21" spans="2:19" x14ac:dyDescent="0.15">
      <c r="B21" s="351" t="str">
        <f>'Main Page &amp; Assumptions'!D6</f>
        <v>Huntsman Corporation</v>
      </c>
      <c r="D21" s="46" cm="1">
        <f t="array" ref="D21">IFERROR(
_xlfn.LET(
_xlpm.r,_xlfn.XMATCH($C21,'Olin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21" s="39"/>
      <c r="F21" s="39"/>
      <c r="G21" s="39"/>
      <c r="H21" s="43"/>
      <c r="I21" s="46"/>
      <c r="L21" s="235"/>
      <c r="M21" s="307"/>
      <c r="N21" s="308"/>
      <c r="O21" s="307"/>
      <c r="P21" s="307"/>
      <c r="Q21" s="309"/>
      <c r="R21" s="307"/>
      <c r="S21" s="46"/>
    </row>
    <row r="22" spans="2:19" x14ac:dyDescent="0.15">
      <c r="B22" s="351"/>
      <c r="C22" t="str">
        <f>'Huntsman Debt'!B17</f>
        <v>Revolver</v>
      </c>
      <c r="D22" s="46" cm="1">
        <f t="array" ref="D22">IFERROR(
_xlfn.LET(
_xlpm.r,_xlfn.XMATCH($C22,'Huntsman Debt'!$B:$B,0,-1),
_xlpm.er,_xlpm.r+_xlfn.XMATCH(
"Ending Balance",
INDEX('Huntsman Debt'!$B:$B,_xlpm.r+1):INDEX('Huntsman Debt'!$B:$B,_xlpm.r+10),
0
),
INDEX(
'Huntsman Debt'!$C:$I,
_xlpm.er,
_xlfn.XMATCH($E$2,'Huntsman Debt'!$C$34:$I$34,0)
)
),
0
)</f>
        <v>343</v>
      </c>
      <c r="E22" s="39">
        <f>IF($C22="",0,IFERROR(_xlfn.XLOOKUP($C22,'Huntsman Debt'!$B$17:$B$23,'Huntsman Debt'!$J$17:$J$23),0))</f>
        <v>1</v>
      </c>
      <c r="F22" s="39">
        <f>D22*E22*'Main Page &amp; Assumptions'!$D$12</f>
        <v>343</v>
      </c>
      <c r="G22" s="39">
        <f>D22-F22</f>
        <v>0</v>
      </c>
      <c r="H22" s="241">
        <f>IF($C22="",0,IFERROR(_xlfn.XLOOKUP($C22,'Huntsman Debt'!$B$17:$B$23,'Huntsman Debt'!$C$17:$C$23),0))</f>
        <v>5.3999999999999999E-2</v>
      </c>
      <c r="I22" s="46">
        <f t="shared" si="1"/>
        <v>0</v>
      </c>
      <c r="L22" s="235"/>
      <c r="M22" s="307"/>
      <c r="N22" s="308"/>
      <c r="O22" s="307"/>
      <c r="P22" s="307"/>
      <c r="Q22" s="309"/>
      <c r="R22" s="307"/>
      <c r="S22" s="46"/>
    </row>
    <row r="23" spans="2:19" x14ac:dyDescent="0.15">
      <c r="B23" s="351"/>
      <c r="C23" t="str">
        <f>'Huntsman Debt'!B18</f>
        <v>Senior Notes due 2029</v>
      </c>
      <c r="D23" s="46" cm="1">
        <f t="array" ref="D23">IFERROR(
_xlfn.LET(
_xlpm.r,_xlfn.XMATCH($C23,'Huntsman Debt'!$B:$B,0,-1),
_xlpm.er,_xlpm.r+_xlfn.XMATCH(
"Ending Balance",
INDEX('Huntsman Debt'!$B:$B,_xlpm.r+1):INDEX('Huntsman Debt'!$B:$B,_xlpm.r+10),
0
),
INDEX(
'Huntsman Debt'!$C:$I,
_xlpm.er,
_xlfn.XMATCH($E$2,'Huntsman Debt'!$C$34:$I$34,0)
)
),
0
)</f>
        <v>750</v>
      </c>
      <c r="E23" s="39">
        <f>IF($C23="",0,IFERROR(_xlfn.XLOOKUP($C23,'Huntsman Debt'!$B$17:$B$23,'Huntsman Debt'!$J$17:$J$23),0))</f>
        <v>0</v>
      </c>
      <c r="F23" s="39">
        <f>D23*E23*'Main Page &amp; Assumptions'!$D$12</f>
        <v>0</v>
      </c>
      <c r="G23" s="39">
        <f t="shared" ref="G23:G35" si="2">D23-F23</f>
        <v>750</v>
      </c>
      <c r="H23" s="241">
        <f>IF($C23="",0,IFERROR(_xlfn.XLOOKUP($C23,'Huntsman Debt'!$B$17:$B$23,'Huntsman Debt'!$C$17:$C$23),0))</f>
        <v>4.4999999999999998E-2</v>
      </c>
      <c r="I23" s="46">
        <f t="shared" si="1"/>
        <v>-33.75</v>
      </c>
      <c r="L23" s="235"/>
      <c r="M23" s="307"/>
      <c r="N23" s="308"/>
      <c r="O23" s="307"/>
      <c r="P23" s="307"/>
      <c r="Q23" s="309"/>
      <c r="R23" s="307"/>
      <c r="S23" s="46"/>
    </row>
    <row r="24" spans="2:19" x14ac:dyDescent="0.15">
      <c r="B24" s="351"/>
      <c r="C24" t="str">
        <f>'Huntsman Debt'!B19</f>
        <v>Senior Notes due 2031</v>
      </c>
      <c r="D24" s="46" cm="1">
        <f t="array" ref="D24">IFERROR(
_xlfn.LET(
_xlpm.r,_xlfn.XMATCH($C24,'Huntsman Debt'!$B:$B,0,-1),
_xlpm.er,_xlpm.r+_xlfn.XMATCH(
"Ending Balance",
INDEX('Huntsman Debt'!$B:$B,_xlpm.r+1):INDEX('Huntsman Debt'!$B:$B,_xlpm.r+10),
0
),
INDEX(
'Huntsman Debt'!$C:$I,
_xlpm.er,
_xlfn.XMATCH($E$2,'Huntsman Debt'!$C$34:$I$34,0)
)
),
0
)</f>
        <v>400</v>
      </c>
      <c r="E24" s="39">
        <f>IF($C24="",0,IFERROR(_xlfn.XLOOKUP($C24,'Huntsman Debt'!$B$17:$B$23,'Huntsman Debt'!$J$17:$J$23),0))</f>
        <v>0</v>
      </c>
      <c r="F24" s="39">
        <f>D24*E24*'Main Page &amp; Assumptions'!$D$12</f>
        <v>0</v>
      </c>
      <c r="G24" s="39">
        <f t="shared" si="2"/>
        <v>400</v>
      </c>
      <c r="H24" s="241">
        <f>IF($C24="",0,IFERROR(_xlfn.XLOOKUP($C24,'Huntsman Debt'!$B$17:$B$23,'Huntsman Debt'!$C$17:$C$23),0))</f>
        <v>2.9499999999999998E-2</v>
      </c>
      <c r="I24" s="46">
        <f t="shared" si="1"/>
        <v>-11.799999999999999</v>
      </c>
      <c r="L24" s="235"/>
      <c r="M24" s="307"/>
      <c r="N24" s="308"/>
      <c r="O24" s="307"/>
      <c r="P24" s="307"/>
      <c r="Q24" s="309"/>
      <c r="R24" s="307"/>
      <c r="S24" s="46"/>
    </row>
    <row r="25" spans="2:19" x14ac:dyDescent="0.15">
      <c r="B25" s="351"/>
      <c r="C25" t="str">
        <f>'Huntsman Debt'!B20</f>
        <v>Senior Notes due 2034</v>
      </c>
      <c r="D25" s="46" cm="1">
        <f t="array" ref="D25">IFERROR(
_xlfn.LET(
_xlpm.r,_xlfn.XMATCH($C25,'Huntsman Debt'!$B:$B,0,-1),
_xlpm.er,_xlpm.r+_xlfn.XMATCH(
"Ending Balance",
INDEX('Huntsman Debt'!$B:$B,_xlpm.r+1):INDEX('Huntsman Debt'!$B:$B,_xlpm.r+10),
0
),
INDEX(
'Huntsman Debt'!$C:$I,
_xlpm.er,
_xlfn.XMATCH($E$2,'Huntsman Debt'!$C$34:$I$34,0)
)
),
0
)</f>
        <v>350</v>
      </c>
      <c r="E25" s="39">
        <f>IF($C25="",0,IFERROR(_xlfn.XLOOKUP($C25,'Huntsman Debt'!$B$17:$B$23,'Huntsman Debt'!$J$17:$J$23),0))</f>
        <v>0</v>
      </c>
      <c r="F25" s="39">
        <f>D25*E25*'Main Page &amp; Assumptions'!$D$12</f>
        <v>0</v>
      </c>
      <c r="G25" s="39">
        <f t="shared" si="2"/>
        <v>350</v>
      </c>
      <c r="H25" s="241">
        <f>IF($C25="",0,IFERROR(_xlfn.XLOOKUP($C25,'Huntsman Debt'!$B$17:$B$23,'Huntsman Debt'!$C$17:$C$23),0))</f>
        <v>5.7000000000000002E-2</v>
      </c>
      <c r="I25" s="46">
        <f t="shared" si="1"/>
        <v>-19.95</v>
      </c>
      <c r="L25" s="235"/>
      <c r="M25" s="307"/>
      <c r="N25" s="308"/>
      <c r="O25" s="307"/>
      <c r="P25" s="307"/>
      <c r="Q25" s="309"/>
      <c r="R25" s="307"/>
      <c r="S25" s="46"/>
    </row>
    <row r="26" spans="2:19" x14ac:dyDescent="0.15">
      <c r="B26" s="351"/>
      <c r="C26" t="str">
        <f>'Huntsman Debt'!B21</f>
        <v>U.S. A/R Program</v>
      </c>
      <c r="D26" s="46" cm="1">
        <f t="array" ref="D26">IFERROR(
_xlfn.LET(
_xlpm.r,_xlfn.XMATCH($C26,'Huntsman Debt'!$B:$B,0,-1),
_xlpm.er,_xlpm.r+_xlfn.XMATCH(
"Ending Balance",
INDEX('Huntsman Debt'!$B:$B,_xlpm.r+1):INDEX('Huntsman Debt'!$B:$B,_xlpm.r+10),
0
),
INDEX(
'Huntsman Debt'!$C:$I,
_xlpm.er,
_xlfn.XMATCH($E$2,'Huntsman Debt'!$C$34:$I$34,0)
)
),
0
)</f>
        <v>93</v>
      </c>
      <c r="E26" s="39">
        <f>IF($C26="",0,IFERROR(_xlfn.XLOOKUP($C26,'Huntsman Debt'!$B$17:$B$23,'Huntsman Debt'!$J$17:$J$23),0))</f>
        <v>1</v>
      </c>
      <c r="F26" s="39">
        <f>D26*E26*'Main Page &amp; Assumptions'!$D$12</f>
        <v>93</v>
      </c>
      <c r="G26" s="39">
        <f t="shared" si="2"/>
        <v>0</v>
      </c>
      <c r="H26" s="241">
        <f>IF($C26="",0,IFERROR(_xlfn.XLOOKUP($C26,'Huntsman Debt'!$B$17:$B$23,'Huntsman Debt'!$C$17:$C$23),0))</f>
        <v>4.5999999999999999E-2</v>
      </c>
      <c r="I26" s="46">
        <f t="shared" si="1"/>
        <v>0</v>
      </c>
      <c r="L26" s="235"/>
      <c r="M26" s="307"/>
      <c r="N26" s="308"/>
      <c r="O26" s="307"/>
      <c r="P26" s="307"/>
      <c r="Q26" s="309"/>
      <c r="R26" s="307"/>
      <c r="S26" s="46"/>
    </row>
    <row r="27" spans="2:19" x14ac:dyDescent="0.15">
      <c r="B27" s="351"/>
      <c r="C27" t="str">
        <f>'Huntsman Debt'!B22</f>
        <v>EU A/R Program</v>
      </c>
      <c r="D27" s="46" cm="1">
        <f t="array" ref="D27">IFERROR(
_xlfn.LET(
_xlpm.r,_xlfn.XMATCH($C27,'Huntsman Debt'!$B:$B,0,-1),
_xlpm.er,_xlpm.r+_xlfn.XMATCH(
"Ending Balance",
INDEX('Huntsman Debt'!$B:$B,_xlpm.r+1):INDEX('Huntsman Debt'!$B:$B,_xlpm.r+10),
0
),
INDEX(
'Huntsman Debt'!$C:$I,
_xlpm.er,
_xlfn.XMATCH($E$2,'Huntsman Debt'!$C$34:$I$34,0)
)
),
0
)</f>
        <v>59</v>
      </c>
      <c r="E27" s="39">
        <f>IF($C27="",0,IFERROR(_xlfn.XLOOKUP($C27,'Huntsman Debt'!$B$17:$B$23,'Huntsman Debt'!$J$17:$J$23),0))</f>
        <v>1</v>
      </c>
      <c r="F27" s="39">
        <f>D27*E27*'Main Page &amp; Assumptions'!$D$12</f>
        <v>59</v>
      </c>
      <c r="G27" s="39">
        <f t="shared" si="2"/>
        <v>0</v>
      </c>
      <c r="H27" s="241">
        <f>IF($C27="",0,IFERROR(_xlfn.XLOOKUP($C27,'Huntsman Debt'!$B$17:$B$23,'Huntsman Debt'!$C$17:$C$23),0))</f>
        <v>3.6999999999999998E-2</v>
      </c>
      <c r="I27" s="46">
        <f t="shared" si="1"/>
        <v>0</v>
      </c>
      <c r="L27" s="235"/>
      <c r="M27" s="307"/>
      <c r="N27" s="308"/>
      <c r="O27" s="307"/>
      <c r="P27" s="307"/>
      <c r="Q27" s="309"/>
      <c r="R27" s="307"/>
      <c r="S27" s="46"/>
    </row>
    <row r="28" spans="2:19" x14ac:dyDescent="0.15">
      <c r="B28" s="351"/>
      <c r="C28" t="str">
        <f>'Huntsman Debt'!B23</f>
        <v>VIE / Other Debt</v>
      </c>
      <c r="D28" s="46" cm="1">
        <f t="array" ref="D28">IFERROR(
_xlfn.LET(
_xlpm.r,_xlfn.XMATCH($C28,'Huntsman Debt'!$B:$B,0,-1),
_xlpm.er,_xlpm.r+_xlfn.XMATCH(
"Ending Balance",
INDEX('Huntsman Debt'!$B:$B,_xlpm.r+1):INDEX('Huntsman Debt'!$B:$B,_xlpm.r+10),
0
),
INDEX(
'Huntsman Debt'!$C:$I,
_xlpm.er,
_xlfn.XMATCH($E$2,'Huntsman Debt'!$C$34:$I$34,0)
)
),
0
)</f>
        <v>28</v>
      </c>
      <c r="E28" s="39">
        <f>IF($C28="",0,IFERROR(_xlfn.XLOOKUP($C28,'Huntsman Debt'!$B$17:$B$23,'Huntsman Debt'!$J$17:$J$23),0))</f>
        <v>0</v>
      </c>
      <c r="F28" s="39">
        <f>D28*E28*'Main Page &amp; Assumptions'!$D$12</f>
        <v>0</v>
      </c>
      <c r="G28" s="39">
        <f t="shared" si="2"/>
        <v>28</v>
      </c>
      <c r="H28" s="241">
        <f>IF($C28="",0,IFERROR(_xlfn.XLOOKUP($C28,'Huntsman Debt'!$B$17:$B$23,'Huntsman Debt'!$C$17:$C$23),0))</f>
        <v>0.05</v>
      </c>
      <c r="I28" s="46">
        <f t="shared" si="1"/>
        <v>-1.4000000000000001</v>
      </c>
      <c r="L28" s="235"/>
      <c r="M28" s="307"/>
      <c r="N28" s="308"/>
      <c r="O28" s="307"/>
      <c r="P28" s="307"/>
      <c r="Q28" s="309"/>
      <c r="R28" s="307"/>
      <c r="S28" s="46"/>
    </row>
    <row r="29" spans="2:19" x14ac:dyDescent="0.15">
      <c r="B29" s="351"/>
      <c r="C29" s="46">
        <f>'Huntsman Debt'!B24</f>
        <v>0</v>
      </c>
      <c r="D29" s="46" cm="1">
        <f t="array" ref="D29">IFERROR(
_xlfn.LET(
_xlpm.r,_xlfn.XMATCH($C29,'Huntsman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29" s="39">
        <f>IF($C29="",0,IFERROR(_xlfn.XLOOKUP($C29,'Huntsman Debt'!$B$17:$B$23,'Huntsman Debt'!$J$17:$J$23),0))</f>
        <v>0</v>
      </c>
      <c r="F29" s="46">
        <f>D29*E29*'Main Page &amp; Assumptions'!$D$12</f>
        <v>0</v>
      </c>
      <c r="G29" s="46">
        <f t="shared" si="2"/>
        <v>0</v>
      </c>
      <c r="H29" s="241">
        <f>IF($C29="",0,IFERROR(_xlfn.XLOOKUP($C29,'Huntsman Debt'!$B$17:$B$23,'Huntsman Debt'!$C$17:$C$23),0))</f>
        <v>0</v>
      </c>
      <c r="I29" s="46">
        <f t="shared" si="1"/>
        <v>0</v>
      </c>
      <c r="L29" s="235"/>
      <c r="M29" s="307"/>
      <c r="N29" s="308"/>
      <c r="O29" s="307"/>
      <c r="P29" s="307"/>
      <c r="Q29" s="309"/>
      <c r="R29" s="307"/>
      <c r="S29" s="46"/>
    </row>
    <row r="30" spans="2:19" x14ac:dyDescent="0.15">
      <c r="B30" s="351"/>
      <c r="C30" s="46">
        <f>'Huntsman Debt'!B25</f>
        <v>0</v>
      </c>
      <c r="D30" s="46" cm="1">
        <f t="array" ref="D30">IFERROR(
_xlfn.LET(
_xlpm.r,_xlfn.XMATCH($C30,'Huntsman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0" s="39">
        <f>IF($C30="",0,IFERROR(_xlfn.XLOOKUP($C30,'Huntsman Debt'!$B$17:$B$23,'Huntsman Debt'!$J$17:$J$23),0))</f>
        <v>0</v>
      </c>
      <c r="F30" s="46">
        <f>D30*E30*'Main Page &amp; Assumptions'!$D$12</f>
        <v>0</v>
      </c>
      <c r="G30" s="46">
        <f t="shared" si="2"/>
        <v>0</v>
      </c>
      <c r="H30" s="241">
        <f>IF($C30="",0,IFERROR(_xlfn.XLOOKUP($C30,'Huntsman Debt'!$B$17:$B$23,'Huntsman Debt'!$C$17:$C$23),0))</f>
        <v>0</v>
      </c>
      <c r="I30" s="46">
        <f t="shared" si="1"/>
        <v>0</v>
      </c>
      <c r="L30" s="235"/>
      <c r="M30" s="307"/>
      <c r="N30" s="308"/>
      <c r="O30" s="307"/>
      <c r="P30" s="307"/>
      <c r="Q30" s="309"/>
      <c r="R30" s="307"/>
      <c r="S30" s="46"/>
    </row>
    <row r="31" spans="2:19" x14ac:dyDescent="0.15">
      <c r="B31" s="351"/>
      <c r="C31" s="46">
        <f>'Huntsman Debt'!B26</f>
        <v>0</v>
      </c>
      <c r="D31" s="46" cm="1">
        <f t="array" ref="D31">IFERROR(
_xlfn.LET(
_xlpm.r,_xlfn.XMATCH($C31,'Huntsman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1" s="39">
        <f>IF($C31="",0,IFERROR(_xlfn.XLOOKUP($C31,'Huntsman Debt'!$B$17:$B$23,'Huntsman Debt'!$J$17:$J$23),0))</f>
        <v>0</v>
      </c>
      <c r="F31" s="46">
        <f>D31*E31*'Main Page &amp; Assumptions'!$D$12</f>
        <v>0</v>
      </c>
      <c r="G31" s="46">
        <f t="shared" si="2"/>
        <v>0</v>
      </c>
      <c r="H31" s="241">
        <f>IF($C31="",0,IFERROR(_xlfn.XLOOKUP($C31,'Huntsman Debt'!$B$17:$B$23,'Huntsman Debt'!$C$17:$C$23),0))</f>
        <v>0</v>
      </c>
      <c r="I31" s="46">
        <f t="shared" si="1"/>
        <v>0</v>
      </c>
      <c r="L31" s="235"/>
      <c r="M31" s="307"/>
      <c r="N31" s="308"/>
      <c r="O31" s="307"/>
      <c r="P31" s="307"/>
      <c r="Q31" s="309"/>
      <c r="R31" s="307"/>
      <c r="S31" s="46"/>
    </row>
    <row r="32" spans="2:19" x14ac:dyDescent="0.15">
      <c r="B32" s="351"/>
      <c r="C32" s="46">
        <f>'Huntsman Debt'!B27</f>
        <v>0</v>
      </c>
      <c r="D32" s="46" cm="1">
        <f t="array" ref="D32">IFERROR(
_xlfn.LET(
_xlpm.r,_xlfn.XMATCH($C32,'Huntsman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2" s="39">
        <f>IF($C32="",0,IFERROR(_xlfn.XLOOKUP($C32,'Huntsman Debt'!$B$17:$B$23,'Huntsman Debt'!$J$17:$J$23),0))</f>
        <v>0</v>
      </c>
      <c r="F32" s="46">
        <f>D32*E32*'Main Page &amp; Assumptions'!$D$12</f>
        <v>0</v>
      </c>
      <c r="G32" s="46">
        <f t="shared" si="2"/>
        <v>0</v>
      </c>
      <c r="H32" s="241">
        <f>IF($C32="",0,IFERROR(_xlfn.XLOOKUP($C32,'Huntsman Debt'!$B$17:$B$23,'Huntsman Debt'!$C$17:$C$23),0))</f>
        <v>0</v>
      </c>
      <c r="I32" s="46">
        <f t="shared" si="1"/>
        <v>0</v>
      </c>
      <c r="L32" s="235"/>
      <c r="M32" s="307"/>
      <c r="N32" s="308"/>
      <c r="O32" s="307"/>
      <c r="P32" s="307"/>
      <c r="Q32" s="309"/>
      <c r="R32" s="307"/>
      <c r="S32" s="46"/>
    </row>
    <row r="33" spans="2:19" x14ac:dyDescent="0.15">
      <c r="B33" s="351"/>
      <c r="C33" s="46">
        <f>'Huntsman Debt'!B28</f>
        <v>0</v>
      </c>
      <c r="D33" s="46" cm="1">
        <f t="array" ref="D33">IFERROR(
_xlfn.LET(
_xlpm.r,_xlfn.XMATCH($C33,'Huntsman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3" s="39">
        <f>IF($C33="",0,IFERROR(_xlfn.XLOOKUP($C33,'Huntsman Debt'!$B$17:$B$23,'Huntsman Debt'!$J$17:$J$23),0))</f>
        <v>0</v>
      </c>
      <c r="F33" s="46">
        <f>D33*E33*'Main Page &amp; Assumptions'!$D$12</f>
        <v>0</v>
      </c>
      <c r="G33" s="46">
        <f t="shared" si="2"/>
        <v>0</v>
      </c>
      <c r="H33" s="241">
        <f>IF($C33="",0,IFERROR(_xlfn.XLOOKUP($C33,'Huntsman Debt'!$B$17:$B$23,'Huntsman Debt'!$C$17:$C$23),0))</f>
        <v>0</v>
      </c>
      <c r="I33" s="46">
        <f t="shared" si="1"/>
        <v>0</v>
      </c>
      <c r="L33" s="235"/>
      <c r="M33" s="307"/>
      <c r="N33" s="308"/>
      <c r="O33" s="307"/>
      <c r="P33" s="307"/>
      <c r="Q33" s="309"/>
      <c r="R33" s="307"/>
      <c r="S33" s="46"/>
    </row>
    <row r="34" spans="2:19" x14ac:dyDescent="0.15">
      <c r="B34" s="351"/>
      <c r="C34" s="46">
        <f>'Huntsman Debt'!B29</f>
        <v>0</v>
      </c>
      <c r="D34" s="46" cm="1">
        <f t="array" ref="D34">IFERROR(
_xlfn.LET(
_xlpm.r,_xlfn.XMATCH($C34,'Huntsman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4" s="39">
        <f>IF($C34="",0,IFERROR(_xlfn.XLOOKUP($C34,'Huntsman Debt'!$B$17:$B$23,'Huntsman Debt'!$J$17:$J$23),0))</f>
        <v>0</v>
      </c>
      <c r="F34" s="46">
        <f>D34*E34*'Main Page &amp; Assumptions'!$D$12</f>
        <v>0</v>
      </c>
      <c r="G34" s="46">
        <f t="shared" si="2"/>
        <v>0</v>
      </c>
      <c r="H34" s="241">
        <f>IF($C34="",0,IFERROR(_xlfn.XLOOKUP($C34,'Huntsman Debt'!$B$17:$B$23,'Huntsman Debt'!$C$17:$C$23),0))</f>
        <v>0</v>
      </c>
      <c r="I34" s="46">
        <f t="shared" si="1"/>
        <v>0</v>
      </c>
      <c r="L34" s="235"/>
      <c r="M34" s="307"/>
      <c r="N34" s="308"/>
      <c r="O34" s="307"/>
      <c r="P34" s="307"/>
      <c r="Q34" s="309"/>
      <c r="R34" s="307"/>
      <c r="S34" s="46"/>
    </row>
    <row r="35" spans="2:19" x14ac:dyDescent="0.15">
      <c r="B35" s="351"/>
      <c r="C35" s="46">
        <f>'Huntsman Debt'!B30</f>
        <v>0</v>
      </c>
      <c r="D35" s="46" cm="1">
        <f t="array" ref="D35">IFERROR(
_xlfn.LET(
_xlpm.r,_xlfn.XMATCH($C35,'Huntsman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5" s="39">
        <f>IF($C35="",0,IFERROR(_xlfn.XLOOKUP($C35,'Huntsman Debt'!$B$17:$B$23,'Huntsman Debt'!$J$17:$J$23),0))</f>
        <v>0</v>
      </c>
      <c r="F35" s="46">
        <f>D35*E35*'Main Page &amp; Assumptions'!$D$12</f>
        <v>0</v>
      </c>
      <c r="G35" s="46">
        <f t="shared" si="2"/>
        <v>0</v>
      </c>
      <c r="H35" s="241">
        <f>IF($C35="",0,IFERROR(_xlfn.XLOOKUP($C35,'Huntsman Debt'!$B$17:$B$23,'Huntsman Debt'!$C$17:$C$23),0))</f>
        <v>0</v>
      </c>
      <c r="I35" s="46">
        <f t="shared" si="1"/>
        <v>0</v>
      </c>
      <c r="L35" s="235"/>
      <c r="M35" s="307"/>
      <c r="N35" s="308"/>
      <c r="O35" s="307"/>
      <c r="P35" s="307"/>
      <c r="Q35" s="309"/>
      <c r="R35" s="307"/>
      <c r="S35" s="46"/>
    </row>
    <row r="36" spans="2:19" x14ac:dyDescent="0.15">
      <c r="L36" s="235"/>
      <c r="M36" s="235"/>
      <c r="N36" s="235"/>
      <c r="O36" s="235"/>
      <c r="P36" s="235"/>
      <c r="Q36" s="235"/>
      <c r="R36" s="235"/>
    </row>
    <row r="37" spans="2:19" x14ac:dyDescent="0.15">
      <c r="B37" t="s">
        <v>485</v>
      </c>
      <c r="C37" s="39">
        <f ca="1">SUM(F6:F19)</f>
        <v>0</v>
      </c>
      <c r="L37" s="235"/>
      <c r="M37" s="236"/>
      <c r="N37" s="235"/>
      <c r="O37" s="235"/>
      <c r="P37" s="235"/>
      <c r="Q37" s="235"/>
      <c r="R37" s="235"/>
    </row>
    <row r="38" spans="2:19" x14ac:dyDescent="0.15">
      <c r="B38" t="s">
        <v>486</v>
      </c>
      <c r="C38" s="39">
        <f>SUM(F22:F35)</f>
        <v>495</v>
      </c>
      <c r="L38" s="235"/>
      <c r="M38" s="236"/>
      <c r="N38" s="235"/>
      <c r="O38" s="235"/>
      <c r="P38" s="235"/>
      <c r="Q38" s="235"/>
      <c r="R38" s="235"/>
    </row>
    <row r="39" spans="2:19" x14ac:dyDescent="0.15">
      <c r="B39" s="88" t="s">
        <v>487</v>
      </c>
      <c r="C39" s="112">
        <f ca="1">SUM(C37:C38)</f>
        <v>495</v>
      </c>
      <c r="L39" s="310"/>
      <c r="M39" s="236"/>
      <c r="N39" s="235"/>
      <c r="O39" s="235"/>
      <c r="P39" s="235"/>
      <c r="Q39" s="235"/>
      <c r="R39" s="235"/>
    </row>
    <row r="40" spans="2:19" x14ac:dyDescent="0.15">
      <c r="C40" s="39"/>
      <c r="L40" s="235"/>
      <c r="M40" s="236"/>
      <c r="N40" s="235"/>
      <c r="O40" s="235"/>
      <c r="P40" s="235"/>
      <c r="Q40" s="235"/>
      <c r="R40" s="235"/>
    </row>
    <row r="41" spans="2:19" x14ac:dyDescent="0.15">
      <c r="B41" t="s">
        <v>488</v>
      </c>
      <c r="C41" s="39">
        <f ca="1">SUM(G6:G19)</f>
        <v>2735.7</v>
      </c>
      <c r="L41" s="235"/>
      <c r="M41" s="236"/>
      <c r="N41" s="235"/>
      <c r="O41" s="235"/>
      <c r="P41" s="235"/>
      <c r="Q41" s="235"/>
      <c r="R41" s="235"/>
    </row>
    <row r="42" spans="2:19" x14ac:dyDescent="0.15">
      <c r="B42" t="s">
        <v>489</v>
      </c>
      <c r="C42" s="39">
        <f>SUM(G22:G35)</f>
        <v>1528</v>
      </c>
      <c r="L42" s="235"/>
      <c r="M42" s="236"/>
      <c r="N42" s="235"/>
      <c r="O42" s="235"/>
      <c r="P42" s="235"/>
      <c r="Q42" s="235"/>
      <c r="R42" s="235"/>
    </row>
    <row r="43" spans="2:19" x14ac:dyDescent="0.15">
      <c r="B43" s="88" t="s">
        <v>490</v>
      </c>
      <c r="C43" s="89">
        <f ca="1">SUM(C41:C42)</f>
        <v>4263.7</v>
      </c>
      <c r="L43" s="310"/>
      <c r="M43" s="264"/>
      <c r="N43" s="235"/>
      <c r="O43" s="235"/>
      <c r="P43" s="235"/>
      <c r="Q43" s="235"/>
      <c r="R43" s="235"/>
    </row>
    <row r="44" spans="2:19" x14ac:dyDescent="0.15">
      <c r="C44" s="39"/>
      <c r="L44" s="235"/>
      <c r="M44" s="236"/>
      <c r="N44" s="235"/>
      <c r="O44" s="235"/>
      <c r="P44" s="235"/>
      <c r="Q44" s="235"/>
      <c r="R44" s="235"/>
    </row>
    <row r="45" spans="2:19" x14ac:dyDescent="0.15">
      <c r="B45" s="88" t="s">
        <v>561</v>
      </c>
      <c r="C45" s="89">
        <f ca="1">SUM(I6:I19)+SUM(I22:I35)</f>
        <v>-218.51974300000003</v>
      </c>
      <c r="L45" s="310"/>
      <c r="M45" s="264"/>
      <c r="N45" s="235"/>
      <c r="O45" s="235"/>
      <c r="P45" s="235"/>
      <c r="Q45" s="235"/>
      <c r="R45" s="235"/>
    </row>
    <row r="46" spans="2:19" x14ac:dyDescent="0.15">
      <c r="L46" s="235"/>
      <c r="M46" s="235"/>
      <c r="N46" s="235"/>
      <c r="O46" s="235"/>
      <c r="P46" s="235"/>
      <c r="Q46" s="235"/>
      <c r="R46" s="235"/>
    </row>
    <row r="47" spans="2:19" x14ac:dyDescent="0.15">
      <c r="J47" s="235"/>
      <c r="K47" s="235"/>
      <c r="L47" s="235"/>
      <c r="M47" s="235"/>
    </row>
    <row r="48" spans="2:19" x14ac:dyDescent="0.15">
      <c r="J48" s="235"/>
      <c r="K48" s="235"/>
      <c r="L48" s="235"/>
      <c r="M48" s="235"/>
    </row>
    <row r="49" spans="2:13" ht="18" x14ac:dyDescent="0.15">
      <c r="B49" s="226" t="s">
        <v>499</v>
      </c>
      <c r="C49" s="226"/>
      <c r="D49" s="226"/>
      <c r="E49" s="226"/>
      <c r="F49" s="226"/>
      <c r="G49" s="226"/>
      <c r="H49" s="226"/>
      <c r="I49" s="226"/>
      <c r="J49" s="226"/>
      <c r="L49" s="235"/>
      <c r="M49" s="235"/>
    </row>
    <row r="50" spans="2:13" x14ac:dyDescent="0.15">
      <c r="B50" s="59" t="s">
        <v>63</v>
      </c>
      <c r="C50" s="59" t="s">
        <v>494</v>
      </c>
      <c r="D50" s="59" t="s">
        <v>493</v>
      </c>
      <c r="E50" s="59" t="s">
        <v>491</v>
      </c>
      <c r="F50" s="59" t="s">
        <v>492</v>
      </c>
      <c r="G50" s="59" t="s">
        <v>24</v>
      </c>
      <c r="H50" s="59" t="s">
        <v>484</v>
      </c>
      <c r="I50" s="59" t="s">
        <v>528</v>
      </c>
      <c r="J50" s="59" t="s">
        <v>529</v>
      </c>
      <c r="L50" s="235"/>
      <c r="M50" s="235"/>
    </row>
    <row r="51" spans="2:13" x14ac:dyDescent="0.15">
      <c r="B51" t="str">
        <f>'Main Page &amp; Assumptions'!D37</f>
        <v>New Senior Notes</v>
      </c>
      <c r="C51" s="46">
        <f>'Main Page &amp; Assumptions'!F37</f>
        <v>423</v>
      </c>
      <c r="D51" s="46">
        <f>'Main Page &amp; Assumptions'!$D$13</f>
        <v>0</v>
      </c>
      <c r="E51" s="46">
        <f>C51*D51</f>
        <v>0</v>
      </c>
      <c r="F51" s="46">
        <f>IF(E51=0,0,'Main Page &amp; Assumptions'!G37)</f>
        <v>0</v>
      </c>
      <c r="G51" s="46">
        <f>IF(SUM($E$51:$E$58)=0,0,'Main Page &amp; Assumptions'!$G$9*E51/SUM($E$51:$E$58))</f>
        <v>0</v>
      </c>
      <c r="H51" s="46">
        <f t="shared" ref="H51:H58" si="3">-E51*F51</f>
        <v>0</v>
      </c>
      <c r="I51" s="235">
        <f ca="1">IF(OR(E51=0,G51=0,I51=0),0,-G51/I51)</f>
        <v>0</v>
      </c>
      <c r="J51" s="235">
        <f ca="1">IF(OR(E51=0,G51=0,I51=0),0,-G51/I51)</f>
        <v>0</v>
      </c>
      <c r="L51" s="235"/>
      <c r="M51" s="235"/>
    </row>
    <row r="52" spans="2:13" x14ac:dyDescent="0.15">
      <c r="B52" t="str">
        <f>'Main Page &amp; Assumptions'!D38</f>
        <v>Bank Revolver</v>
      </c>
      <c r="C52" s="46">
        <f>'Main Page &amp; Assumptions'!F38</f>
        <v>0</v>
      </c>
      <c r="D52" s="46">
        <f>'Main Page &amp; Assumptions'!$D$13</f>
        <v>0</v>
      </c>
      <c r="E52" s="46">
        <f t="shared" ref="E52:E58" si="4">C52*D52</f>
        <v>0</v>
      </c>
      <c r="F52" s="46">
        <f>IF(E52=0,0,'Main Page &amp; Assumptions'!G38)</f>
        <v>0</v>
      </c>
      <c r="G52" s="46">
        <f>IF(SUM($E$51:$E$58)=0,0,'Main Page &amp; Assumptions'!$G$9*E52/SUM($E$51:$E$58))</f>
        <v>0</v>
      </c>
      <c r="H52" s="46">
        <f t="shared" si="3"/>
        <v>0</v>
      </c>
      <c r="I52" s="235">
        <f t="shared" ref="I52:I61" ca="1" si="5">IF(OR(E52=0,G52=0,I52=0),0,-G52/I52)</f>
        <v>0</v>
      </c>
      <c r="J52" s="235">
        <f t="shared" ref="J52:J61" ca="1" si="6">IF(OR(E52=0,G52=0,I52=0),0,-G52/I52)</f>
        <v>0</v>
      </c>
      <c r="L52" s="235"/>
      <c r="M52" s="235"/>
    </row>
    <row r="53" spans="2:13" x14ac:dyDescent="0.15">
      <c r="B53" t="str">
        <f>'Main Page &amp; Assumptions'!D39</f>
        <v>Senior Bank Term "A"</v>
      </c>
      <c r="C53" s="46">
        <f>'Main Page &amp; Assumptions'!F39</f>
        <v>0</v>
      </c>
      <c r="D53" s="46">
        <f>'Main Page &amp; Assumptions'!$D$13</f>
        <v>0</v>
      </c>
      <c r="E53" s="46">
        <f t="shared" si="4"/>
        <v>0</v>
      </c>
      <c r="F53" s="46">
        <f>IF(E53=0,0,'Main Page &amp; Assumptions'!G39)</f>
        <v>0</v>
      </c>
      <c r="G53" s="46">
        <f>IF(SUM($E$51:$E$58)=0,0,'Main Page &amp; Assumptions'!$G$9*E53/SUM($E$51:$E$58))</f>
        <v>0</v>
      </c>
      <c r="H53" s="46">
        <f t="shared" si="3"/>
        <v>0</v>
      </c>
      <c r="I53" s="235">
        <f t="shared" ca="1" si="5"/>
        <v>0</v>
      </c>
      <c r="J53" s="235">
        <f t="shared" ca="1" si="6"/>
        <v>0</v>
      </c>
    </row>
    <row r="54" spans="2:13" x14ac:dyDescent="0.15">
      <c r="B54" t="str">
        <f>'Main Page &amp; Assumptions'!D40</f>
        <v>Senior Bank Term "B"</v>
      </c>
      <c r="C54" s="46">
        <f>'Main Page &amp; Assumptions'!F40</f>
        <v>0</v>
      </c>
      <c r="D54" s="46">
        <f>'Main Page &amp; Assumptions'!$D$13</f>
        <v>0</v>
      </c>
      <c r="E54" s="46">
        <f t="shared" si="4"/>
        <v>0</v>
      </c>
      <c r="F54" s="46">
        <f>IF(E54=0,0,'Main Page &amp; Assumptions'!G40)</f>
        <v>0</v>
      </c>
      <c r="G54" s="46">
        <f>IF(SUM($E$51:$E$58)=0,0,'Main Page &amp; Assumptions'!$G$9*E54/SUM($E$51:$E$58))</f>
        <v>0</v>
      </c>
      <c r="H54" s="46">
        <f t="shared" si="3"/>
        <v>0</v>
      </c>
      <c r="I54" s="235">
        <f t="shared" ca="1" si="5"/>
        <v>0</v>
      </c>
      <c r="J54" s="235">
        <f t="shared" ca="1" si="6"/>
        <v>0</v>
      </c>
    </row>
    <row r="55" spans="2:13" x14ac:dyDescent="0.15">
      <c r="B55" t="str">
        <f>'Main Page &amp; Assumptions'!D41</f>
        <v>Other Long-Term Debt #1</v>
      </c>
      <c r="C55" s="46">
        <f>'Main Page &amp; Assumptions'!F41</f>
        <v>0</v>
      </c>
      <c r="D55" s="46">
        <f>'Main Page &amp; Assumptions'!$D$13</f>
        <v>0</v>
      </c>
      <c r="E55" s="46">
        <f t="shared" si="4"/>
        <v>0</v>
      </c>
      <c r="F55" s="46">
        <f>IF(E55=0,0,'Main Page &amp; Assumptions'!G41)</f>
        <v>0</v>
      </c>
      <c r="G55" s="46">
        <f>IF(SUM($E$51:$E$58)=0,0,'Main Page &amp; Assumptions'!$G$9*E55/SUM($E$51:$E$58))</f>
        <v>0</v>
      </c>
      <c r="H55" s="46">
        <f t="shared" si="3"/>
        <v>0</v>
      </c>
      <c r="I55" s="235">
        <f t="shared" ca="1" si="5"/>
        <v>0</v>
      </c>
      <c r="J55" s="235">
        <f t="shared" ca="1" si="6"/>
        <v>0</v>
      </c>
    </row>
    <row r="56" spans="2:13" x14ac:dyDescent="0.15">
      <c r="B56" t="str">
        <f>'Main Page &amp; Assumptions'!D42</f>
        <v>Other Long-Term Debt #2</v>
      </c>
      <c r="C56" s="46">
        <f>'Main Page &amp; Assumptions'!F42</f>
        <v>0</v>
      </c>
      <c r="D56" s="46">
        <f>'Main Page &amp; Assumptions'!$D$13</f>
        <v>0</v>
      </c>
      <c r="E56" s="46">
        <f t="shared" si="4"/>
        <v>0</v>
      </c>
      <c r="F56" s="46">
        <f>IF(E56=0,0,'Main Page &amp; Assumptions'!G42)</f>
        <v>0</v>
      </c>
      <c r="G56" s="46">
        <f>IF(SUM($E$51:$E$58)=0,0,'Main Page &amp; Assumptions'!$G$9*E56/SUM($E$51:$E$58))</f>
        <v>0</v>
      </c>
      <c r="H56" s="46">
        <f t="shared" si="3"/>
        <v>0</v>
      </c>
      <c r="I56" s="235">
        <f t="shared" ca="1" si="5"/>
        <v>0</v>
      </c>
      <c r="J56" s="235">
        <f t="shared" ca="1" si="6"/>
        <v>0</v>
      </c>
    </row>
    <row r="57" spans="2:13" x14ac:dyDescent="0.15">
      <c r="B57" t="str">
        <f>'Main Page &amp; Assumptions'!D43</f>
        <v>Other Long-Term Debt #3</v>
      </c>
      <c r="C57" s="46">
        <f>'Main Page &amp; Assumptions'!F43</f>
        <v>0</v>
      </c>
      <c r="D57" s="46">
        <f>'Main Page &amp; Assumptions'!$D$13</f>
        <v>0</v>
      </c>
      <c r="E57" s="46">
        <f t="shared" si="4"/>
        <v>0</v>
      </c>
      <c r="F57" s="46">
        <f>IF(E57=0,0,'Main Page &amp; Assumptions'!G43)</f>
        <v>0</v>
      </c>
      <c r="G57" s="46">
        <f>IF(SUM($E$51:$E$58)=0,0,'Main Page &amp; Assumptions'!$G$9*E57/SUM($E$51:$E$58))</f>
        <v>0</v>
      </c>
      <c r="H57" s="46">
        <f t="shared" si="3"/>
        <v>0</v>
      </c>
      <c r="I57" s="235">
        <f t="shared" ca="1" si="5"/>
        <v>0</v>
      </c>
      <c r="J57" s="235">
        <f t="shared" ca="1" si="6"/>
        <v>0</v>
      </c>
    </row>
    <row r="58" spans="2:13" x14ac:dyDescent="0.15">
      <c r="B58" t="str">
        <f>'Main Page &amp; Assumptions'!D44</f>
        <v>Other Long-Term Debt #4</v>
      </c>
      <c r="C58" s="46">
        <f>'Main Page &amp; Assumptions'!F44</f>
        <v>0</v>
      </c>
      <c r="D58" s="46">
        <f>'Main Page &amp; Assumptions'!$D$13</f>
        <v>0</v>
      </c>
      <c r="E58" s="46">
        <f t="shared" si="4"/>
        <v>0</v>
      </c>
      <c r="F58" s="46">
        <f>IF(E58=0,0,'Main Page &amp; Assumptions'!G44)</f>
        <v>0</v>
      </c>
      <c r="G58" s="46">
        <f>IF(SUM($E$51:$E$58)=0,0,'Main Page &amp; Assumptions'!$G$9*E58/SUM($E$51:$E$58))</f>
        <v>0</v>
      </c>
      <c r="H58" s="46">
        <f t="shared" si="3"/>
        <v>0</v>
      </c>
      <c r="I58" s="235">
        <f t="shared" ca="1" si="5"/>
        <v>0</v>
      </c>
      <c r="J58" s="235">
        <f t="shared" ca="1" si="6"/>
        <v>0</v>
      </c>
    </row>
    <row r="59" spans="2:13" x14ac:dyDescent="0.15">
      <c r="I59" s="235">
        <f t="shared" ca="1" si="5"/>
        <v>0</v>
      </c>
      <c r="J59" s="235">
        <f t="shared" ca="1" si="6"/>
        <v>0</v>
      </c>
    </row>
    <row r="60" spans="2:13" x14ac:dyDescent="0.15">
      <c r="I60" s="235">
        <f t="shared" ca="1" si="5"/>
        <v>0</v>
      </c>
      <c r="J60" s="235">
        <f t="shared" ca="1" si="6"/>
        <v>0</v>
      </c>
    </row>
    <row r="61" spans="2:13" x14ac:dyDescent="0.15">
      <c r="B61" t="s">
        <v>495</v>
      </c>
      <c r="C61" s="46">
        <f>SUM(E51:E58)</f>
        <v>0</v>
      </c>
      <c r="I61" s="235">
        <f t="shared" ca="1" si="5"/>
        <v>0</v>
      </c>
      <c r="J61" s="235">
        <f t="shared" ca="1" si="6"/>
        <v>0</v>
      </c>
    </row>
    <row r="62" spans="2:13" x14ac:dyDescent="0.15">
      <c r="B62" t="s">
        <v>24</v>
      </c>
      <c r="C62" s="46">
        <f>SUM(G51:G58)</f>
        <v>0</v>
      </c>
      <c r="J62">
        <f ca="1">SUM(J51:J61)</f>
        <v>0</v>
      </c>
    </row>
    <row r="63" spans="2:13" x14ac:dyDescent="0.15">
      <c r="B63" t="s">
        <v>539</v>
      </c>
      <c r="C63" s="46">
        <f>SUM(H51:H58)</f>
        <v>0</v>
      </c>
    </row>
    <row r="64" spans="2:13" x14ac:dyDescent="0.15">
      <c r="B64" t="s">
        <v>496</v>
      </c>
      <c r="C64" s="46">
        <f ca="1">C43+C61</f>
        <v>4263.7</v>
      </c>
    </row>
    <row r="68" spans="2:9" x14ac:dyDescent="0.15">
      <c r="B68" s="59" t="s">
        <v>540</v>
      </c>
      <c r="C68" s="60">
        <f>'Pro Forma Financials'!C6</f>
        <v>46022</v>
      </c>
      <c r="D68" s="60">
        <f>EDATE(C68,12)</f>
        <v>46387</v>
      </c>
      <c r="E68" s="60">
        <f t="shared" ref="E68:I68" si="7">EDATE(D68,12)</f>
        <v>46752</v>
      </c>
      <c r="F68" s="60">
        <f t="shared" si="7"/>
        <v>47118</v>
      </c>
      <c r="G68" s="60">
        <f t="shared" si="7"/>
        <v>47483</v>
      </c>
      <c r="H68" s="60">
        <f t="shared" si="7"/>
        <v>47848</v>
      </c>
      <c r="I68" s="60">
        <f t="shared" si="7"/>
        <v>48213</v>
      </c>
    </row>
    <row r="69" spans="2:9" x14ac:dyDescent="0.15">
      <c r="B69" t="s">
        <v>541</v>
      </c>
      <c r="C69" s="46">
        <f>IF(
YEAR(C$68)&lt;'Main Page &amp; Assumptions'!$D$14,
0,
IFERROR(
INDEX(
'Olin Debt'!$C:$I,
MATCH("Total Cash Interest Expense",'Olin Debt'!$B:$B,0),
MATCH(C$68,'Olin Debt'!$C$33:$I$33,0)
),
0
)
+
IFERROR(
INDEX(
'Huntsman Debt'!$C:$I,
MATCH("Total Cash Interest Expense",'Huntsman Debt'!$B:$B,0),
MATCH(C$68,'Huntsman Debt'!$C$34:$I$34,0)
),
0
)
)</f>
        <v>0</v>
      </c>
      <c r="D69" s="46">
        <f>IF(
YEAR(D$68)&lt;'Main Page &amp; Assumptions'!$D$14,
0,
IFERROR(
INDEX(
'Olin Debt'!$C:$I,
MATCH("Total Cash Interest Expense",'Olin Debt'!$B:$B,0),
MATCH(D$68,'Olin Debt'!$C$33:$I$33,0)
),
0
)
+
IFERROR(
INDEX(
'Huntsman Debt'!$C:$I,
MATCH("Total Cash Interest Expense",'Huntsman Debt'!$B:$B,0),
MATCH(D$68,'Huntsman Debt'!$C$34:$I$34,0)
),
0
)
)</f>
        <v>0</v>
      </c>
      <c r="E69" s="46">
        <f ca="1">IF(
YEAR(E$68)&lt;'Main Page &amp; Assumptions'!$D$14,
0,
IFERROR(
INDEX(
'Olin Debt'!$C:$I,
MATCH("Total Cash Interest Expense",'Olin Debt'!$B:$B,0),
MATCH(E$68,'Olin Debt'!$C$33:$I$33,0)
),
0
)
+
IFERROR(
INDEX(
'Huntsman Debt'!$C:$I,
MATCH("Total Cash Interest Expense",'Huntsman Debt'!$B:$B,0),
MATCH(E$68,'Huntsman Debt'!$C$34:$I$34,0)
),
0
)
)</f>
        <v>-243.50274300000004</v>
      </c>
      <c r="F69" s="46">
        <f ca="1">IF(
YEAR(F$68)&lt;'Main Page &amp; Assumptions'!$D$14,
0,
IFERROR(
INDEX(
'Olin Debt'!$C:$I,
MATCH("Total Cash Interest Expense",'Olin Debt'!$B:$B,0),
MATCH(F$68,'Olin Debt'!$C$33:$I$33,0)
),
0
)
+
IFERROR(
INDEX(
'Huntsman Debt'!$C:$I,
MATCH("Total Cash Interest Expense",'Huntsman Debt'!$B:$B,0),
MATCH(F$68,'Huntsman Debt'!$C$34:$I$34,0)
),
0
)
)</f>
        <v>-243.50274300000004</v>
      </c>
      <c r="G69" s="46">
        <f ca="1">IF(
YEAR(G$68)&lt;'Main Page &amp; Assumptions'!$D$14,
0,
IFERROR(
INDEX(
'Olin Debt'!$C:$I,
MATCH("Total Cash Interest Expense",'Olin Debt'!$B:$B,0),
MATCH(G$68,'Olin Debt'!$C$33:$I$33,0)
),
0
)
+
IFERROR(
INDEX(
'Huntsman Debt'!$C:$I,
MATCH("Total Cash Interest Expense",'Huntsman Debt'!$B:$B,0),
MATCH(G$68,'Huntsman Debt'!$C$34:$I$34,0)
),
0
)
)</f>
        <v>-243.50274300000004</v>
      </c>
      <c r="H69" s="46">
        <f ca="1">IF(
YEAR(H$68)&lt;'Main Page &amp; Assumptions'!$D$14,
0,
IFERROR(
INDEX(
'Olin Debt'!$C:$I,
MATCH("Total Cash Interest Expense",'Olin Debt'!$B:$B,0),
MATCH(H$68,'Olin Debt'!$C$33:$I$33,0)
),
0
)
+
IFERROR(
INDEX(
'Huntsman Debt'!$C:$I,
MATCH("Total Cash Interest Expense",'Huntsman Debt'!$B:$B,0),
MATCH(H$68,'Huntsman Debt'!$C$34:$I$34,0)
),
0
)
)</f>
        <v>-229.14370400000004</v>
      </c>
      <c r="I69" s="46">
        <f ca="1">IF(
YEAR(I$68)&lt;'Main Page &amp; Assumptions'!$D$14,
0,
IFERROR(
INDEX(
'Olin Debt'!$C:$I,
MATCH("Total Cash Interest Expense",'Olin Debt'!$B:$B,0),
MATCH(I$68,'Olin Debt'!$C$33:$I$33,0)
),
0
)
+
IFERROR(
INDEX(
'Huntsman Debt'!$C:$I,
MATCH("Total Cash Interest Expense",'Huntsman Debt'!$B:$B,0),
MATCH(I$68,'Huntsman Debt'!$C$34:$I$34,0)
),
0
)
)</f>
        <v>-214.78466500000002</v>
      </c>
    </row>
    <row r="70" spans="2:9" x14ac:dyDescent="0.15">
      <c r="B70" t="s">
        <v>562</v>
      </c>
      <c r="C70" s="46">
        <f>-1*IF(
YEAR(C$68)&lt;'Main Page &amp; Assumptions'!$D$14,
0,
-SUMPRODUCT(
$F$5:$F$19,
$H$5:$H$19
)
-SUMPRODUCT(
$F$22:$F$35,
$H$22:$H$35
)
)</f>
        <v>0</v>
      </c>
      <c r="D70" s="46">
        <f>-1*IF(
YEAR(D$68)&lt;'Main Page &amp; Assumptions'!$D$14,
0,
-SUMPRODUCT(
$F$5:$F$19,
$H$5:$H$19
)
-SUMPRODUCT(
$F$22:$F$35,
$H$22:$H$35
)
)</f>
        <v>0</v>
      </c>
      <c r="E70" s="46">
        <f ca="1">-1*IF(
YEAR(E$68)&lt;'Main Page &amp; Assumptions'!$D$14,
0,
-SUMPRODUCT(
$F$5:$F$19,
$H$5:$H$19
)
-SUMPRODUCT(
$F$22:$F$35,
$H$22:$H$35
)
)</f>
        <v>24.982999999999997</v>
      </c>
      <c r="F70" s="46">
        <f ca="1">-1*IF(
YEAR(F$68)&lt;'Main Page &amp; Assumptions'!$D$14,
0,
-SUMPRODUCT(
$F$5:$F$19,
$H$5:$H$19
)
-SUMPRODUCT(
$F$22:$F$35,
$H$22:$H$35
)
)</f>
        <v>24.982999999999997</v>
      </c>
      <c r="G70" s="46">
        <f ca="1">-1*IF(
YEAR(G$68)&lt;'Main Page &amp; Assumptions'!$D$14,
0,
-SUMPRODUCT(
$F$5:$F$19,
$H$5:$H$19
)
-SUMPRODUCT(
$F$22:$F$35,
$H$22:$H$35
)
)</f>
        <v>24.982999999999997</v>
      </c>
      <c r="H70" s="46">
        <f ca="1">-1*IF(
YEAR(H$68)&lt;'Main Page &amp; Assumptions'!$D$14,
0,
-SUMPRODUCT(
$F$5:$F$19,
$H$5:$H$19
)
-SUMPRODUCT(
$F$22:$F$35,
$H$22:$H$35
)
)</f>
        <v>24.982999999999997</v>
      </c>
      <c r="I70" s="46">
        <f ca="1">-1*IF(
YEAR(I$68)&lt;'Main Page &amp; Assumptions'!$D$14,
0,
-SUMPRODUCT(
$F$5:$F$19,
$H$5:$H$19
)
-SUMPRODUCT(
$F$22:$F$35,
$H$22:$H$35
)
)</f>
        <v>24.982999999999997</v>
      </c>
    </row>
    <row r="71" spans="2:9" x14ac:dyDescent="0.15">
      <c r="B71" t="s">
        <v>542</v>
      </c>
      <c r="C71" s="46">
        <f>IF(YEAR(C$68)&lt;'Main Page &amp; Assumptions'!$D$14,0,$C$63)</f>
        <v>0</v>
      </c>
      <c r="D71" s="46">
        <f>IF(YEAR(D$68)&lt;'Main Page &amp; Assumptions'!$D$14,0,$C$63)</f>
        <v>0</v>
      </c>
      <c r="E71" s="46">
        <f>IF(YEAR(E$68)&lt;'Main Page &amp; Assumptions'!$D$14,0,$C$63)</f>
        <v>0</v>
      </c>
      <c r="F71" s="46">
        <f>IF(YEAR(F$68)&lt;'Main Page &amp; Assumptions'!$D$14,0,$C$63)</f>
        <v>0</v>
      </c>
      <c r="G71" s="46">
        <f>IF(YEAR(G$68)&lt;'Main Page &amp; Assumptions'!$D$14,0,$C$63)</f>
        <v>0</v>
      </c>
      <c r="H71" s="46">
        <f>IF(YEAR(H$68)&lt;'Main Page &amp; Assumptions'!$D$14,0,$C$63)</f>
        <v>0</v>
      </c>
      <c r="I71" s="46">
        <f>IF(YEAR(I$68)&lt;'Main Page &amp; Assumptions'!$D$14,0,$C$63)</f>
        <v>0</v>
      </c>
    </row>
    <row r="72" spans="2:9" x14ac:dyDescent="0.15">
      <c r="B72" t="s">
        <v>543</v>
      </c>
      <c r="C72" s="46">
        <f>IF(YEAR(C$68)&lt;'Main Page &amp; Assumptions'!$D$14,0,IFERROR(INDEX('Olin Debt'!$C:$I,MATCH("Debt Issuance Cost Amortization",'Olin Debt'!$B:$B,0),MATCH(C$68,'Olin Debt'!$C$33:$I$33,0)),0)+IFERROR(INDEX('Huntsman Debt'!$C:$I,MATCH("Debt Issuance Cost Amortization",'Huntsman Debt'!$B:$B,0),MATCH(C$68,'Huntsman Debt'!$C$34:$I$34,0)),0)+$J$62)</f>
        <v>0</v>
      </c>
      <c r="D72" s="46">
        <f>IF(YEAR(D$68)&lt;'Main Page &amp; Assumptions'!$D$14,0,IFERROR(INDEX('Olin Debt'!$C:$I,MATCH("Debt Issuance Cost Amortization",'Olin Debt'!$B:$B,0),MATCH(D$68,'Olin Debt'!$C$33:$I$33,0)),0)+IFERROR(INDEX('Huntsman Debt'!$C:$I,MATCH("Debt Issuance Cost Amortization",'Huntsman Debt'!$B:$B,0),MATCH(D$68,'Huntsman Debt'!$C$34:$I$34,0)),0)+$J$62)</f>
        <v>0</v>
      </c>
      <c r="E72" s="46">
        <f ca="1">IF(YEAR(E$68)&lt;'Main Page &amp; Assumptions'!$D$14,0,IFERROR(INDEX('Olin Debt'!$C:$I,MATCH("Debt Issuance Cost Amortization",'Olin Debt'!$B:$B,0),MATCH(E$68,'Olin Debt'!$C$33:$I$33,0)),0)+IFERROR(INDEX('Huntsman Debt'!$C:$I,MATCH("Debt Issuance Cost Amortization",'Huntsman Debt'!$B:$B,0),MATCH(E$68,'Huntsman Debt'!$C$34:$I$34,0)),0)+$J$62)</f>
        <v>-5.9265277777777783</v>
      </c>
      <c r="F72" s="46">
        <f ca="1">IF(YEAR(F$68)&lt;'Main Page &amp; Assumptions'!$D$14,0,IFERROR(INDEX('Olin Debt'!$C:$I,MATCH("Debt Issuance Cost Amortization",'Olin Debt'!$B:$B,0),MATCH(F$68,'Olin Debt'!$C$33:$I$33,0)),0)+IFERROR(INDEX('Huntsman Debt'!$C:$I,MATCH("Debt Issuance Cost Amortization",'Huntsman Debt'!$B:$B,0),MATCH(F$68,'Huntsman Debt'!$C$34:$I$34,0)),0)+$J$62)</f>
        <v>-5.5515277777777774</v>
      </c>
      <c r="G72" s="46">
        <f ca="1">IF(YEAR(G$68)&lt;'Main Page &amp; Assumptions'!$D$14,0,IFERROR(INDEX('Olin Debt'!$C:$I,MATCH("Debt Issuance Cost Amortization",'Olin Debt'!$B:$B,0),MATCH(G$68,'Olin Debt'!$C$33:$I$33,0)),0)+IFERROR(INDEX('Huntsman Debt'!$C:$I,MATCH("Debt Issuance Cost Amortization",'Huntsman Debt'!$B:$B,0),MATCH(G$68,'Huntsman Debt'!$C$34:$I$34,0)),0)+$J$62)</f>
        <v>-5.5515277777777765</v>
      </c>
      <c r="H72" s="46">
        <f ca="1">IF(YEAR(H$68)&lt;'Main Page &amp; Assumptions'!$D$14,0,IFERROR(INDEX('Olin Debt'!$C:$I,MATCH("Debt Issuance Cost Amortization",'Olin Debt'!$B:$B,0),MATCH(H$68,'Olin Debt'!$C$33:$I$33,0)),0)+IFERROR(INDEX('Huntsman Debt'!$C:$I,MATCH("Debt Issuance Cost Amortization",'Huntsman Debt'!$B:$B,0),MATCH(H$68,'Huntsman Debt'!$C$34:$I$34,0)),0)+$J$62)</f>
        <v>-3.0265277777777775</v>
      </c>
      <c r="I72" s="46">
        <f ca="1">IF(YEAR(I$68)&lt;'Main Page &amp; Assumptions'!$D$14,0,IFERROR(INDEX('Olin Debt'!$C:$I,MATCH("Debt Issuance Cost Amortization",'Olin Debt'!$B:$B,0),MATCH(I$68,'Olin Debt'!$C$33:$I$33,0)),0)+IFERROR(INDEX('Huntsman Debt'!$C:$I,MATCH("Debt Issuance Cost Amortization",'Huntsman Debt'!$B:$B,0),MATCH(I$68,'Huntsman Debt'!$C$34:$I$34,0)),0)+$J$62)</f>
        <v>-1.4465277777777781</v>
      </c>
    </row>
    <row r="73" spans="2:9" x14ac:dyDescent="0.15">
      <c r="B73" t="s">
        <v>544</v>
      </c>
      <c r="C73" s="46">
        <f t="shared" ref="C73:I73" si="8">SUM(C69:C72)</f>
        <v>0</v>
      </c>
      <c r="D73" s="46">
        <f t="shared" si="8"/>
        <v>0</v>
      </c>
      <c r="E73" s="46">
        <f t="shared" ca="1" si="8"/>
        <v>-224.44627077777781</v>
      </c>
      <c r="F73" s="46">
        <f t="shared" ca="1" si="8"/>
        <v>-224.07127077777781</v>
      </c>
      <c r="G73" s="46">
        <f t="shared" ca="1" si="8"/>
        <v>-224.07127077777781</v>
      </c>
      <c r="H73" s="46">
        <f t="shared" ca="1" si="8"/>
        <v>-207.18723177777781</v>
      </c>
      <c r="I73" s="46">
        <f t="shared" ca="1" si="8"/>
        <v>-191.2481927777778</v>
      </c>
    </row>
  </sheetData>
  <mergeCells count="3">
    <mergeCell ref="B3:J3"/>
    <mergeCell ref="B5:B19"/>
    <mergeCell ref="B21:B3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5767C-D57B-B84A-AAC8-3B02E43A2754}">
  <sheetPr codeName="Sheet18"/>
  <dimension ref="A1:I42"/>
  <sheetViews>
    <sheetView showGridLines="0" workbookViewId="0">
      <selection activeCell="G10" sqref="G10"/>
    </sheetView>
  </sheetViews>
  <sheetFormatPr baseColWidth="10" defaultRowHeight="13" x14ac:dyDescent="0.15"/>
  <cols>
    <col min="2" max="2" width="43" customWidth="1"/>
  </cols>
  <sheetData>
    <row r="1" spans="1:9" ht="20" x14ac:dyDescent="0.2">
      <c r="A1" s="298" t="str">
        <f>HYPERLINK("#'Table of Contents'!A1", "&lt;---------")</f>
        <v>&lt;---------</v>
      </c>
      <c r="B1" s="58" t="s">
        <v>514</v>
      </c>
    </row>
    <row r="2" spans="1:9" ht="16" x14ac:dyDescent="0.15">
      <c r="B2" s="352" t="s">
        <v>407</v>
      </c>
      <c r="C2" s="352"/>
      <c r="D2" s="352"/>
      <c r="E2" s="352"/>
      <c r="F2" s="352"/>
      <c r="G2" s="352"/>
      <c r="H2" s="352"/>
      <c r="I2" s="352"/>
    </row>
    <row r="3" spans="1:9" x14ac:dyDescent="0.15">
      <c r="B3" s="90"/>
      <c r="C3" s="186"/>
      <c r="D3" s="338" t="s">
        <v>400</v>
      </c>
      <c r="E3" s="339"/>
      <c r="F3" s="339"/>
      <c r="G3" s="339"/>
      <c r="H3" s="339"/>
      <c r="I3" s="340"/>
    </row>
    <row r="4" spans="1:9" x14ac:dyDescent="0.15">
      <c r="B4" s="61"/>
      <c r="C4" s="143">
        <f>'Olin Standalone'!M4</f>
        <v>46022</v>
      </c>
      <c r="D4" s="158">
        <f t="shared" ref="D4:I4" si="0">EDATE(C4,12)</f>
        <v>46387</v>
      </c>
      <c r="E4" s="143">
        <f t="shared" si="0"/>
        <v>46752</v>
      </c>
      <c r="F4" s="143">
        <f t="shared" si="0"/>
        <v>47118</v>
      </c>
      <c r="G4" s="143">
        <f t="shared" si="0"/>
        <v>47483</v>
      </c>
      <c r="H4" s="143">
        <f t="shared" si="0"/>
        <v>47848</v>
      </c>
      <c r="I4" s="161">
        <f t="shared" si="0"/>
        <v>48213</v>
      </c>
    </row>
    <row r="5" spans="1:9" x14ac:dyDescent="0.15">
      <c r="C5" s="45" t="s">
        <v>88</v>
      </c>
      <c r="D5" s="19" t="s">
        <v>88</v>
      </c>
      <c r="E5" s="45" t="s">
        <v>88</v>
      </c>
      <c r="F5" s="45" t="s">
        <v>88</v>
      </c>
      <c r="G5" s="45" t="s">
        <v>88</v>
      </c>
      <c r="H5" s="45" t="s">
        <v>88</v>
      </c>
      <c r="I5" s="93" t="s">
        <v>88</v>
      </c>
    </row>
    <row r="6" spans="1:9" x14ac:dyDescent="0.15">
      <c r="B6" s="59" t="s">
        <v>375</v>
      </c>
      <c r="C6" s="59"/>
      <c r="D6" s="159"/>
      <c r="E6" s="59"/>
      <c r="F6" s="59"/>
      <c r="G6" s="59"/>
      <c r="H6" s="59"/>
      <c r="I6" s="162"/>
    </row>
    <row r="7" spans="1:9" x14ac:dyDescent="0.15">
      <c r="B7" t="s">
        <v>533</v>
      </c>
      <c r="C7" s="261">
        <f>--(YEAR(C$4)&gt;='Main Page &amp; Assumptions'!$D$14)</f>
        <v>0</v>
      </c>
      <c r="D7" s="261">
        <f>--(YEAR(D$4)&gt;='Main Page &amp; Assumptions'!$D$14)</f>
        <v>0</v>
      </c>
      <c r="E7" s="261">
        <f>--(YEAR(E$4)&gt;='Main Page &amp; Assumptions'!$D$14)</f>
        <v>1</v>
      </c>
      <c r="F7" s="261">
        <f>--(YEAR(F$4)&gt;='Main Page &amp; Assumptions'!$D$14)</f>
        <v>1</v>
      </c>
      <c r="G7" s="261">
        <f>--(YEAR(G$4)&gt;='Main Page &amp; Assumptions'!$D$14)</f>
        <v>1</v>
      </c>
      <c r="H7" s="261">
        <f>--(YEAR(H$4)&gt;='Main Page &amp; Assumptions'!$D$14)</f>
        <v>1</v>
      </c>
      <c r="I7" s="261">
        <f>--(YEAR(I$4)&gt;='Main Page &amp; Assumptions'!$D$14)</f>
        <v>1</v>
      </c>
    </row>
    <row r="8" spans="1:9" x14ac:dyDescent="0.15">
      <c r="B8" t="s">
        <v>500</v>
      </c>
      <c r="C8" s="260">
        <f>IF(YEAR(C$4)&lt;YEAR('Main Page &amp; Assumptions'!$D$9),0,'PPA &amp; Goodwill'!$C$18)</f>
        <v>0</v>
      </c>
      <c r="D8" s="100">
        <f>IF(YEAR(D$4)&lt;YEAR('Main Page &amp; Assumptions'!$D$9),0,'PPA &amp; Goodwill'!$C$18)</f>
        <v>0</v>
      </c>
      <c r="E8" s="53">
        <f>IF(YEAR(E$4)&lt;YEAR('Main Page &amp; Assumptions'!$D$9),0,'PPA &amp; Goodwill'!$C$18)</f>
        <v>306</v>
      </c>
      <c r="F8" s="53">
        <f>IF(YEAR(F$4)&lt;YEAR('Main Page &amp; Assumptions'!$D$9),0,'PPA &amp; Goodwill'!$C$18)</f>
        <v>306</v>
      </c>
      <c r="G8" s="53">
        <f>IF(YEAR(G$4)&lt;YEAR('Main Page &amp; Assumptions'!$D$9),0,'PPA &amp; Goodwill'!$C$18)</f>
        <v>306</v>
      </c>
      <c r="H8" s="53">
        <f>IF(YEAR(H$4)&lt;YEAR('Main Page &amp; Assumptions'!$D$9),0,'PPA &amp; Goodwill'!$C$18)</f>
        <v>306</v>
      </c>
      <c r="I8" s="101">
        <f>IF(YEAR(I$4)&lt;YEAR('Main Page &amp; Assumptions'!$D$9),0,'PPA &amp; Goodwill'!$C$18)</f>
        <v>306</v>
      </c>
    </row>
    <row r="9" spans="1:9" x14ac:dyDescent="0.15">
      <c r="B9" t="s">
        <v>75</v>
      </c>
      <c r="C9" s="260">
        <f>IF(YEAR(C$4)&lt;YEAR('Main Page &amp; Assumptions'!$D$9),0,'Main Page &amp; Assumptions'!$J$21)</f>
        <v>0</v>
      </c>
      <c r="D9" s="100">
        <f>IF(YEAR(D$4)&lt;YEAR('Main Page &amp; Assumptions'!$D$9),0,'Main Page &amp; Assumptions'!$J$21)</f>
        <v>0</v>
      </c>
      <c r="E9" s="53">
        <f>IF(YEAR(E$4)&lt;YEAR('Main Page &amp; Assumptions'!$D$9),0,'Main Page &amp; Assumptions'!$J$21)</f>
        <v>10</v>
      </c>
      <c r="F9" s="53">
        <f>IF(YEAR(F$4)&lt;YEAR('Main Page &amp; Assumptions'!$D$9),0,'Main Page &amp; Assumptions'!$J$21)</f>
        <v>10</v>
      </c>
      <c r="G9" s="53">
        <f>IF(YEAR(G$4)&lt;YEAR('Main Page &amp; Assumptions'!$D$9),0,'Main Page &amp; Assumptions'!$J$21)</f>
        <v>10</v>
      </c>
      <c r="H9" s="53">
        <f>IF(YEAR(H$4)&lt;YEAR('Main Page &amp; Assumptions'!$D$9),0,'Main Page &amp; Assumptions'!$J$21)</f>
        <v>10</v>
      </c>
      <c r="I9" s="101">
        <f>IF(YEAR(I$4)&lt;YEAR('Main Page &amp; Assumptions'!$D$9),0,'Main Page &amp; Assumptions'!$J$21)</f>
        <v>10</v>
      </c>
    </row>
    <row r="10" spans="1:9" x14ac:dyDescent="0.15">
      <c r="B10" t="s">
        <v>463</v>
      </c>
      <c r="C10" s="260">
        <f>IF(YEAR(C$4)&lt;YEAR('Main Page &amp; Assumptions'!$D$9),0,'PPA &amp; Goodwill'!$C$19)</f>
        <v>0</v>
      </c>
      <c r="D10" s="257">
        <f>IF(YEAR(D$4)&lt;YEAR('Main Page &amp; Assumptions'!$D$9),0,'PPA &amp; Goodwill'!$C$19)</f>
        <v>0</v>
      </c>
      <c r="E10" s="258">
        <f>IF(YEAR(E$4)&lt;YEAR('Main Page &amp; Assumptions'!$D$9),0,'PPA &amp; Goodwill'!$C$19)</f>
        <v>102</v>
      </c>
      <c r="F10" s="258">
        <f>IF(YEAR(F$4)&lt;YEAR('Main Page &amp; Assumptions'!$D$9),0,'PPA &amp; Goodwill'!$C$19)</f>
        <v>102</v>
      </c>
      <c r="G10" s="258">
        <f>IF(YEAR(G$4)&lt;YEAR('Main Page &amp; Assumptions'!$D$9),0,'PPA &amp; Goodwill'!$C$19)</f>
        <v>102</v>
      </c>
      <c r="H10" s="258">
        <f>IF(YEAR(H$4)&lt;YEAR('Main Page &amp; Assumptions'!$D$9),0,'PPA &amp; Goodwill'!$C$19)</f>
        <v>102</v>
      </c>
      <c r="I10" s="259">
        <f>IF(YEAR(I$4)&lt;YEAR('Main Page &amp; Assumptions'!$D$9),0,'PPA &amp; Goodwill'!$C$19)</f>
        <v>102</v>
      </c>
    </row>
    <row r="11" spans="1:9" x14ac:dyDescent="0.15">
      <c r="B11" t="s">
        <v>501</v>
      </c>
      <c r="C11" s="261">
        <f>IF(YEAR(C$4)&lt;YEAR('Main Page &amp; Assumptions'!$D$9),0,'Main Page &amp; Assumptions'!$J$24)</f>
        <v>0</v>
      </c>
      <c r="D11" s="257">
        <f>IF(YEAR(D$4)&lt;YEAR('Main Page &amp; Assumptions'!$D$9),0,'Main Page &amp; Assumptions'!$J$24)</f>
        <v>0</v>
      </c>
      <c r="E11" s="258">
        <f>IF(YEAR(E$4)&lt;YEAR('Main Page &amp; Assumptions'!$D$9),0,'Main Page &amp; Assumptions'!$J$24)</f>
        <v>10</v>
      </c>
      <c r="F11" s="258">
        <f>IF(YEAR(F$4)&lt;YEAR('Main Page &amp; Assumptions'!$D$9),0,'Main Page &amp; Assumptions'!$J$24)</f>
        <v>10</v>
      </c>
      <c r="G11" s="258">
        <f>IF(YEAR(G$4)&lt;YEAR('Main Page &amp; Assumptions'!$D$9),0,'Main Page &amp; Assumptions'!$J$24)</f>
        <v>10</v>
      </c>
      <c r="H11" s="258">
        <f>IF(YEAR(H$4)&lt;YEAR('Main Page &amp; Assumptions'!$D$9),0,'Main Page &amp; Assumptions'!$J$24)</f>
        <v>10</v>
      </c>
      <c r="I11" s="259">
        <f>IF(YEAR(I$4)&lt;YEAR('Main Page &amp; Assumptions'!$D$9),0,'Main Page &amp; Assumptions'!$J$24)</f>
        <v>10</v>
      </c>
    </row>
    <row r="12" spans="1:9" x14ac:dyDescent="0.15">
      <c r="C12" s="40"/>
      <c r="D12" s="106"/>
      <c r="E12" s="40"/>
      <c r="F12" s="40"/>
      <c r="G12" s="40"/>
      <c r="H12" s="40"/>
      <c r="I12" s="107"/>
    </row>
    <row r="13" spans="1:9" x14ac:dyDescent="0.15">
      <c r="B13" s="249" t="s">
        <v>502</v>
      </c>
      <c r="C13" s="249"/>
      <c r="D13" s="251"/>
      <c r="E13" s="249"/>
      <c r="F13" s="249"/>
      <c r="G13" s="249"/>
      <c r="H13" s="249"/>
      <c r="I13" s="254"/>
    </row>
    <row r="14" spans="1:9" x14ac:dyDescent="0.15">
      <c r="B14" s="234"/>
      <c r="C14" s="234"/>
      <c r="D14" s="252"/>
      <c r="E14" s="234"/>
      <c r="F14" s="234"/>
      <c r="G14" s="234"/>
      <c r="H14" s="234"/>
      <c r="I14" s="255"/>
    </row>
    <row r="15" spans="1:9" x14ac:dyDescent="0.15">
      <c r="B15" s="234" t="s">
        <v>503</v>
      </c>
      <c r="C15" s="234">
        <f>'Olin D&amp;A'!L34</f>
        <v>438.09999999999991</v>
      </c>
      <c r="D15" s="252">
        <f>'Olin D&amp;A'!M34</f>
        <v>470.50688256320001</v>
      </c>
      <c r="E15" s="234">
        <f>'Olin D&amp;A'!N34</f>
        <v>483.00839455934727</v>
      </c>
      <c r="F15" s="234">
        <f>'Olin D&amp;A'!O34</f>
        <v>495.93962035090345</v>
      </c>
      <c r="G15" s="234">
        <f>'Olin D&amp;A'!P34</f>
        <v>509.53175735596682</v>
      </c>
      <c r="H15" s="234">
        <f>'Olin D&amp;A'!Q34</f>
        <v>523.75088622830901</v>
      </c>
      <c r="I15" s="255">
        <f>'Olin D&amp;A'!R34</f>
        <v>538.68366220912026</v>
      </c>
    </row>
    <row r="16" spans="1:9" x14ac:dyDescent="0.15">
      <c r="B16" s="234" t="s">
        <v>504</v>
      </c>
      <c r="C16" s="234">
        <f>'Huntsman D&amp;A'!L23</f>
        <v>251</v>
      </c>
      <c r="D16" s="252">
        <f>'Huntsman D&amp;A'!M23</f>
        <v>262.22576471794872</v>
      </c>
      <c r="E16" s="234">
        <f>'Huntsman D&amp;A'!N23</f>
        <v>269.22411502497215</v>
      </c>
      <c r="F16" s="234">
        <f>'Huntsman D&amp;A'!O23</f>
        <v>276.77272116456948</v>
      </c>
      <c r="G16" s="234">
        <f>'Huntsman D&amp;A'!P23</f>
        <v>284.84616209299651</v>
      </c>
      <c r="H16" s="234">
        <f>'Huntsman D&amp;A'!Q23</f>
        <v>293.42106648449408</v>
      </c>
      <c r="I16" s="255">
        <f>'Huntsman D&amp;A'!R23</f>
        <v>302.53536805639766</v>
      </c>
    </row>
    <row r="17" spans="2:9" x14ac:dyDescent="0.15">
      <c r="B17" s="234" t="s">
        <v>505</v>
      </c>
      <c r="C17" s="234">
        <f>'Huntsman D&amp;A'!L23*'Pro Forma D&amp;A'!C7</f>
        <v>0</v>
      </c>
      <c r="D17" s="252">
        <f>'Huntsman D&amp;A'!M23*'Pro Forma D&amp;A'!D7</f>
        <v>0</v>
      </c>
      <c r="E17" s="234">
        <f>'Huntsman D&amp;A'!N23*'Pro Forma D&amp;A'!E7</f>
        <v>269.22411502497215</v>
      </c>
      <c r="F17" s="234">
        <f>'Huntsman D&amp;A'!O23*'Pro Forma D&amp;A'!F7</f>
        <v>276.77272116456948</v>
      </c>
      <c r="G17" s="234">
        <f>'Huntsman D&amp;A'!P23*'Pro Forma D&amp;A'!G7</f>
        <v>284.84616209299651</v>
      </c>
      <c r="H17" s="234">
        <f>'Huntsman D&amp;A'!Q23*'Pro Forma D&amp;A'!H7</f>
        <v>293.42106648449408</v>
      </c>
      <c r="I17" s="255">
        <f>'Huntsman D&amp;A'!R23*'Pro Forma D&amp;A'!I7</f>
        <v>302.53536805639766</v>
      </c>
    </row>
    <row r="18" spans="2:9" x14ac:dyDescent="0.15">
      <c r="B18" s="234" t="s">
        <v>506</v>
      </c>
      <c r="C18" s="234">
        <f>'PPA &amp; Goodwill'!F10</f>
        <v>0</v>
      </c>
      <c r="D18" s="252">
        <f>'PPA &amp; Goodwill'!F10</f>
        <v>0</v>
      </c>
      <c r="E18" s="234">
        <f>'PPA &amp; Goodwill'!G10</f>
        <v>30.6</v>
      </c>
      <c r="F18" s="234">
        <f>'PPA &amp; Goodwill'!H10</f>
        <v>30.6</v>
      </c>
      <c r="G18" s="234">
        <f>'PPA &amp; Goodwill'!I10</f>
        <v>30.6</v>
      </c>
      <c r="H18" s="234">
        <f>'PPA &amp; Goodwill'!J10</f>
        <v>30.6</v>
      </c>
      <c r="I18" s="255">
        <f>'PPA &amp; Goodwill'!K10</f>
        <v>30.6</v>
      </c>
    </row>
    <row r="19" spans="2:9" x14ac:dyDescent="0.15">
      <c r="B19" s="234" t="s">
        <v>507</v>
      </c>
      <c r="C19" s="234">
        <f>C15+C17+C18</f>
        <v>438.09999999999991</v>
      </c>
      <c r="D19" s="252">
        <f t="shared" ref="D19:I19" si="1">D15+D17+D18</f>
        <v>470.50688256320001</v>
      </c>
      <c r="E19" s="234">
        <f t="shared" si="1"/>
        <v>782.83250958431938</v>
      </c>
      <c r="F19" s="234">
        <f t="shared" si="1"/>
        <v>803.31234151547289</v>
      </c>
      <c r="G19" s="234">
        <f t="shared" si="1"/>
        <v>824.97791944896335</v>
      </c>
      <c r="H19" s="234">
        <f t="shared" si="1"/>
        <v>847.77195271280311</v>
      </c>
      <c r="I19" s="255">
        <f t="shared" si="1"/>
        <v>871.81903026551788</v>
      </c>
    </row>
    <row r="20" spans="2:9" x14ac:dyDescent="0.15">
      <c r="B20" s="234"/>
      <c r="C20" s="234"/>
      <c r="D20" s="252"/>
      <c r="E20" s="234"/>
      <c r="F20" s="234"/>
      <c r="G20" s="234"/>
      <c r="H20" s="234"/>
      <c r="I20" s="255"/>
    </row>
    <row r="21" spans="2:9" x14ac:dyDescent="0.15">
      <c r="B21" s="249" t="s">
        <v>508</v>
      </c>
      <c r="C21" s="249"/>
      <c r="D21" s="251"/>
      <c r="E21" s="249"/>
      <c r="F21" s="249"/>
      <c r="G21" s="249"/>
      <c r="H21" s="249"/>
      <c r="I21" s="254"/>
    </row>
    <row r="22" spans="2:9" x14ac:dyDescent="0.15">
      <c r="B22" s="234"/>
      <c r="C22" s="234"/>
      <c r="D22" s="252"/>
      <c r="E22" s="234"/>
      <c r="F22" s="234"/>
      <c r="G22" s="234"/>
      <c r="H22" s="234"/>
      <c r="I22" s="255"/>
    </row>
    <row r="23" spans="2:9" x14ac:dyDescent="0.15">
      <c r="B23" s="234" t="s">
        <v>509</v>
      </c>
      <c r="C23" s="234">
        <f>'Olin D&amp;A'!L35</f>
        <v>83.5</v>
      </c>
      <c r="D23" s="252">
        <f>'Olin D&amp;A'!M35</f>
        <v>35.799999999999997</v>
      </c>
      <c r="E23" s="234">
        <f>'Olin D&amp;A'!N35</f>
        <v>35.700000000000003</v>
      </c>
      <c r="F23" s="234">
        <f>'Olin D&amp;A'!O35</f>
        <v>35.5</v>
      </c>
      <c r="G23" s="234">
        <f>'Olin D&amp;A'!P35</f>
        <v>35.5</v>
      </c>
      <c r="H23" s="234">
        <f>'Olin D&amp;A'!Q35</f>
        <v>26.6</v>
      </c>
      <c r="I23" s="255">
        <f>'Olin D&amp;A'!R35</f>
        <v>26.6</v>
      </c>
    </row>
    <row r="24" spans="2:9" x14ac:dyDescent="0.15">
      <c r="B24" s="234" t="s">
        <v>510</v>
      </c>
      <c r="C24" s="234">
        <f>'Huntsman D&amp;A'!L35</f>
        <v>36</v>
      </c>
      <c r="D24" s="252">
        <f>'Huntsman D&amp;A'!M35</f>
        <v>34</v>
      </c>
      <c r="E24" s="234">
        <f>'Huntsman D&amp;A'!N35</f>
        <v>33</v>
      </c>
      <c r="F24" s="234">
        <f>'Huntsman D&amp;A'!O35</f>
        <v>30</v>
      </c>
      <c r="G24" s="234">
        <f>'Huntsman D&amp;A'!P35</f>
        <v>27</v>
      </c>
      <c r="H24" s="234">
        <f>'Huntsman D&amp;A'!Q35</f>
        <v>25</v>
      </c>
      <c r="I24" s="255">
        <f>'Huntsman D&amp;A'!R35</f>
        <v>25</v>
      </c>
    </row>
    <row r="25" spans="2:9" x14ac:dyDescent="0.15">
      <c r="B25" s="234" t="s">
        <v>511</v>
      </c>
      <c r="C25" s="234">
        <f t="shared" ref="C25:I25" si="2">IFERROR(C10/C11*C7,0)</f>
        <v>0</v>
      </c>
      <c r="D25" s="252">
        <f t="shared" si="2"/>
        <v>0</v>
      </c>
      <c r="E25" s="234">
        <f t="shared" si="2"/>
        <v>10.199999999999999</v>
      </c>
      <c r="F25" s="234">
        <f t="shared" si="2"/>
        <v>10.199999999999999</v>
      </c>
      <c r="G25" s="234">
        <f t="shared" si="2"/>
        <v>10.199999999999999</v>
      </c>
      <c r="H25" s="234">
        <f t="shared" si="2"/>
        <v>10.199999999999999</v>
      </c>
      <c r="I25" s="255">
        <f t="shared" si="2"/>
        <v>10.199999999999999</v>
      </c>
    </row>
    <row r="26" spans="2:9" x14ac:dyDescent="0.15">
      <c r="B26" s="234" t="s">
        <v>512</v>
      </c>
      <c r="C26" s="234">
        <f>C23+(C24*C7)-(C24*C7)+C25</f>
        <v>83.5</v>
      </c>
      <c r="D26" s="252">
        <f t="shared" ref="D26:I26" si="3">D23+(D24*D7)-(D24*D7)+D25</f>
        <v>35.799999999999997</v>
      </c>
      <c r="E26" s="234">
        <f t="shared" si="3"/>
        <v>45.900000000000006</v>
      </c>
      <c r="F26" s="234">
        <f t="shared" si="3"/>
        <v>45.7</v>
      </c>
      <c r="G26" s="234">
        <f t="shared" si="3"/>
        <v>45.7</v>
      </c>
      <c r="H26" s="234">
        <f t="shared" si="3"/>
        <v>36.799999999999997</v>
      </c>
      <c r="I26" s="255">
        <f t="shared" si="3"/>
        <v>36.799999999999997</v>
      </c>
    </row>
    <row r="27" spans="2:9" x14ac:dyDescent="0.15">
      <c r="B27" s="234"/>
      <c r="C27" s="234"/>
      <c r="D27" s="252"/>
      <c r="E27" s="234"/>
      <c r="F27" s="234"/>
      <c r="G27" s="234"/>
      <c r="H27" s="234"/>
      <c r="I27" s="255"/>
    </row>
    <row r="28" spans="2:9" x14ac:dyDescent="0.15">
      <c r="B28" s="234"/>
      <c r="C28" s="234"/>
      <c r="D28" s="252"/>
      <c r="E28" s="234"/>
      <c r="F28" s="234"/>
      <c r="G28" s="234"/>
      <c r="H28" s="234"/>
      <c r="I28" s="255"/>
    </row>
    <row r="29" spans="2:9" x14ac:dyDescent="0.15">
      <c r="B29" s="234" t="s">
        <v>507</v>
      </c>
      <c r="C29" s="234">
        <f t="shared" ref="C29:I29" si="4">C19</f>
        <v>438.09999999999991</v>
      </c>
      <c r="D29" s="252">
        <f t="shared" si="4"/>
        <v>470.50688256320001</v>
      </c>
      <c r="E29" s="234">
        <f t="shared" si="4"/>
        <v>782.83250958431938</v>
      </c>
      <c r="F29" s="234">
        <f t="shared" si="4"/>
        <v>803.31234151547289</v>
      </c>
      <c r="G29" s="234">
        <f t="shared" si="4"/>
        <v>824.97791944896335</v>
      </c>
      <c r="H29" s="234">
        <f t="shared" si="4"/>
        <v>847.77195271280311</v>
      </c>
      <c r="I29" s="255">
        <f t="shared" si="4"/>
        <v>871.81903026551788</v>
      </c>
    </row>
    <row r="30" spans="2:9" x14ac:dyDescent="0.15">
      <c r="B30" s="234" t="s">
        <v>512</v>
      </c>
      <c r="C30" s="234">
        <f>C26</f>
        <v>83.5</v>
      </c>
      <c r="D30" s="252">
        <f t="shared" ref="D30:I30" si="5">D26</f>
        <v>35.799999999999997</v>
      </c>
      <c r="E30" s="234">
        <f t="shared" si="5"/>
        <v>45.900000000000006</v>
      </c>
      <c r="F30" s="234">
        <f t="shared" si="5"/>
        <v>45.7</v>
      </c>
      <c r="G30" s="234">
        <f t="shared" si="5"/>
        <v>45.7</v>
      </c>
      <c r="H30" s="234">
        <f t="shared" si="5"/>
        <v>36.799999999999997</v>
      </c>
      <c r="I30" s="255">
        <f t="shared" si="5"/>
        <v>36.799999999999997</v>
      </c>
    </row>
    <row r="31" spans="2:9" ht="14" thickBot="1" x14ac:dyDescent="0.2">
      <c r="B31" s="250" t="s">
        <v>513</v>
      </c>
      <c r="C31" s="250">
        <f>SUM(C29:C30)</f>
        <v>521.59999999999991</v>
      </c>
      <c r="D31" s="253">
        <f t="shared" ref="D31:I31" si="6">SUM(D29:D30)</f>
        <v>506.30688256320002</v>
      </c>
      <c r="E31" s="250">
        <f t="shared" si="6"/>
        <v>828.73250958431936</v>
      </c>
      <c r="F31" s="250">
        <f t="shared" si="6"/>
        <v>849.01234151547294</v>
      </c>
      <c r="G31" s="250">
        <f t="shared" si="6"/>
        <v>870.67791944896339</v>
      </c>
      <c r="H31" s="250">
        <f t="shared" si="6"/>
        <v>884.57195271280307</v>
      </c>
      <c r="I31" s="256">
        <f t="shared" si="6"/>
        <v>908.61903026551784</v>
      </c>
    </row>
    <row r="32" spans="2:9" ht="14" thickTop="1" x14ac:dyDescent="0.15">
      <c r="D32" s="315"/>
      <c r="E32" s="316"/>
      <c r="F32" s="316"/>
      <c r="G32" s="316"/>
      <c r="H32" s="316"/>
      <c r="I32" s="317"/>
    </row>
    <row r="33" spans="2:9" x14ac:dyDescent="0.15">
      <c r="D33" s="3"/>
      <c r="I33" s="5"/>
    </row>
    <row r="34" spans="2:9" x14ac:dyDescent="0.15">
      <c r="B34" s="59" t="s">
        <v>569</v>
      </c>
      <c r="C34" s="59"/>
      <c r="D34" s="159"/>
      <c r="E34" s="59"/>
      <c r="F34" s="59"/>
      <c r="G34" s="59"/>
      <c r="H34" s="59"/>
      <c r="I34" s="162"/>
    </row>
    <row r="35" spans="2:9" x14ac:dyDescent="0.15">
      <c r="D35" s="3"/>
      <c r="I35" s="5"/>
    </row>
    <row r="36" spans="2:9" x14ac:dyDescent="0.15">
      <c r="B36" t="s">
        <v>533</v>
      </c>
      <c r="C36">
        <f>--(YEAR(C$4)&gt;='Main Page &amp; Assumptions'!$D$14)</f>
        <v>0</v>
      </c>
      <c r="D36" s="3">
        <f>--(YEAR(D$4)&gt;='Main Page &amp; Assumptions'!$D$14)</f>
        <v>0</v>
      </c>
      <c r="E36">
        <f>--(YEAR(E$4)&gt;='Main Page &amp; Assumptions'!$D$14)</f>
        <v>1</v>
      </c>
      <c r="F36">
        <f>--(YEAR(F$4)&gt;='Main Page &amp; Assumptions'!$D$14)</f>
        <v>1</v>
      </c>
      <c r="G36">
        <f>--(YEAR(G$4)&gt;='Main Page &amp; Assumptions'!$D$14)</f>
        <v>1</v>
      </c>
      <c r="H36">
        <f>--(YEAR(H$4)&gt;='Main Page &amp; Assumptions'!$D$14)</f>
        <v>1</v>
      </c>
      <c r="I36" s="5">
        <f>--(YEAR(I$4)&gt;='Main Page &amp; Assumptions'!$D$14)</f>
        <v>1</v>
      </c>
    </row>
    <row r="37" spans="2:9" x14ac:dyDescent="0.15">
      <c r="D37" s="3"/>
      <c r="I37" s="5"/>
    </row>
    <row r="38" spans="2:9" x14ac:dyDescent="0.15">
      <c r="B38" t="s">
        <v>534</v>
      </c>
      <c r="C38">
        <f t="shared" ref="C38:I38" si="7">C$24*C$36</f>
        <v>0</v>
      </c>
      <c r="D38" s="3">
        <f t="shared" si="7"/>
        <v>0</v>
      </c>
      <c r="E38">
        <f t="shared" si="7"/>
        <v>33</v>
      </c>
      <c r="F38">
        <f t="shared" si="7"/>
        <v>30</v>
      </c>
      <c r="G38">
        <f t="shared" si="7"/>
        <v>27</v>
      </c>
      <c r="H38">
        <f t="shared" si="7"/>
        <v>25</v>
      </c>
      <c r="I38" s="5">
        <f t="shared" si="7"/>
        <v>25</v>
      </c>
    </row>
    <row r="39" spans="2:9" x14ac:dyDescent="0.15">
      <c r="B39" t="s">
        <v>535</v>
      </c>
      <c r="C39">
        <f xml:space="preserve"> C$36*'PPA &amp; Goodwill'!$C$18/'Main Page &amp; Assumptions'!$J$20</f>
        <v>0</v>
      </c>
      <c r="D39" s="3">
        <f t="shared" ref="D39:I39" si="8">IF(D$36=0,0,D$8/D$9)</f>
        <v>0</v>
      </c>
      <c r="E39">
        <f t="shared" si="8"/>
        <v>30.6</v>
      </c>
      <c r="F39">
        <f t="shared" si="8"/>
        <v>30.6</v>
      </c>
      <c r="G39">
        <f t="shared" si="8"/>
        <v>30.6</v>
      </c>
      <c r="H39">
        <f t="shared" si="8"/>
        <v>30.6</v>
      </c>
      <c r="I39" s="5">
        <f t="shared" si="8"/>
        <v>30.6</v>
      </c>
    </row>
    <row r="40" spans="2:9" x14ac:dyDescent="0.15">
      <c r="B40" t="s">
        <v>536</v>
      </c>
      <c r="C40">
        <f t="shared" ref="C40:I40" si="9">IF(C$36=0,0,C$10/C$11)</f>
        <v>0</v>
      </c>
      <c r="D40" s="3">
        <f t="shared" si="9"/>
        <v>0</v>
      </c>
      <c r="E40">
        <f t="shared" si="9"/>
        <v>10.199999999999999</v>
      </c>
      <c r="F40">
        <f t="shared" si="9"/>
        <v>10.199999999999999</v>
      </c>
      <c r="G40">
        <f t="shared" si="9"/>
        <v>10.199999999999999</v>
      </c>
      <c r="H40">
        <f t="shared" si="9"/>
        <v>10.199999999999999</v>
      </c>
      <c r="I40" s="5">
        <f t="shared" si="9"/>
        <v>10.199999999999999</v>
      </c>
    </row>
    <row r="41" spans="2:9" x14ac:dyDescent="0.15">
      <c r="B41" t="s">
        <v>537</v>
      </c>
      <c r="C41">
        <f>C39+C40</f>
        <v>0</v>
      </c>
      <c r="D41" s="3">
        <f t="shared" ref="D41:I41" si="10">D39+D40</f>
        <v>0</v>
      </c>
      <c r="E41">
        <f t="shared" si="10"/>
        <v>40.799999999999997</v>
      </c>
      <c r="F41">
        <f t="shared" si="10"/>
        <v>40.799999999999997</v>
      </c>
      <c r="G41">
        <f t="shared" si="10"/>
        <v>40.799999999999997</v>
      </c>
      <c r="H41">
        <f t="shared" si="10"/>
        <v>40.799999999999997</v>
      </c>
      <c r="I41" s="5">
        <f t="shared" si="10"/>
        <v>40.799999999999997</v>
      </c>
    </row>
    <row r="42" spans="2:9" x14ac:dyDescent="0.15">
      <c r="B42" t="s">
        <v>538</v>
      </c>
      <c r="C42">
        <f>C38-C41</f>
        <v>0</v>
      </c>
      <c r="D42" s="7">
        <f t="shared" ref="D42:I42" si="11">D38-D41</f>
        <v>0</v>
      </c>
      <c r="E42" s="9">
        <f t="shared" si="11"/>
        <v>-7.7999999999999972</v>
      </c>
      <c r="F42" s="9">
        <f t="shared" si="11"/>
        <v>-10.799999999999997</v>
      </c>
      <c r="G42" s="9">
        <f t="shared" si="11"/>
        <v>-13.799999999999997</v>
      </c>
      <c r="H42" s="9">
        <f t="shared" si="11"/>
        <v>-15.799999999999997</v>
      </c>
      <c r="I42" s="6">
        <f t="shared" si="11"/>
        <v>-15.799999999999997</v>
      </c>
    </row>
  </sheetData>
  <mergeCells count="2">
    <mergeCell ref="B2:I2"/>
    <mergeCell ref="D3:I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94602-940C-7C48-8978-55D58155FC54}">
  <sheetPr codeName="Sheet10"/>
  <dimension ref="A1:W149"/>
  <sheetViews>
    <sheetView showGridLines="0" topLeftCell="B64" workbookViewId="0">
      <selection activeCell="N101" sqref="N101"/>
    </sheetView>
  </sheetViews>
  <sheetFormatPr baseColWidth="10" defaultRowHeight="13" x14ac:dyDescent="0.15"/>
  <cols>
    <col min="1" max="1" width="21.1640625" hidden="1" customWidth="1"/>
    <col min="2" max="2" width="5.5" customWidth="1"/>
    <col min="3" max="3" width="45.33203125" customWidth="1"/>
  </cols>
  <sheetData>
    <row r="1" spans="1:19" ht="20" x14ac:dyDescent="0.2">
      <c r="B1" s="298" t="str">
        <f>HYPERLINK("#'Table of Contents'!A1", "&lt;---------")</f>
        <v>&lt;---------</v>
      </c>
      <c r="C1" s="58" t="s">
        <v>412</v>
      </c>
    </row>
    <row r="2" spans="1:19" ht="18" x14ac:dyDescent="0.15">
      <c r="C2" s="341" t="s">
        <v>398</v>
      </c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</row>
    <row r="3" spans="1:19" x14ac:dyDescent="0.15">
      <c r="C3" s="90"/>
      <c r="D3" s="356" t="s">
        <v>399</v>
      </c>
      <c r="E3" s="356"/>
      <c r="F3" s="356"/>
      <c r="G3" s="356"/>
      <c r="H3" s="356"/>
      <c r="I3" s="356"/>
      <c r="J3" s="356"/>
      <c r="K3" s="356"/>
      <c r="L3" s="356"/>
      <c r="M3" s="356"/>
      <c r="N3" s="338" t="s">
        <v>400</v>
      </c>
      <c r="O3" s="339"/>
      <c r="P3" s="339"/>
      <c r="Q3" s="339"/>
      <c r="R3" s="339"/>
      <c r="S3" s="340"/>
    </row>
    <row r="4" spans="1:19" x14ac:dyDescent="0.15">
      <c r="C4" s="59" t="s">
        <v>86</v>
      </c>
      <c r="D4" s="60">
        <v>42735</v>
      </c>
      <c r="E4" s="60">
        <f t="shared" ref="E4:S4" si="0">EDATE(D4,12)</f>
        <v>43100</v>
      </c>
      <c r="F4" s="60">
        <f t="shared" si="0"/>
        <v>43465</v>
      </c>
      <c r="G4" s="60">
        <f t="shared" si="0"/>
        <v>43830</v>
      </c>
      <c r="H4" s="60">
        <f t="shared" si="0"/>
        <v>44196</v>
      </c>
      <c r="I4" s="60">
        <f t="shared" si="0"/>
        <v>44561</v>
      </c>
      <c r="J4" s="60">
        <f t="shared" si="0"/>
        <v>44926</v>
      </c>
      <c r="K4" s="60">
        <f t="shared" si="0"/>
        <v>45291</v>
      </c>
      <c r="L4" s="60">
        <f t="shared" si="0"/>
        <v>45657</v>
      </c>
      <c r="M4" s="60">
        <f t="shared" si="0"/>
        <v>46022</v>
      </c>
      <c r="N4" s="91">
        <f t="shared" si="0"/>
        <v>46387</v>
      </c>
      <c r="O4" s="60">
        <f t="shared" si="0"/>
        <v>46752</v>
      </c>
      <c r="P4" s="60">
        <f t="shared" si="0"/>
        <v>47118</v>
      </c>
      <c r="Q4" s="60">
        <f t="shared" si="0"/>
        <v>47483</v>
      </c>
      <c r="R4" s="60">
        <f t="shared" si="0"/>
        <v>47848</v>
      </c>
      <c r="S4" s="92">
        <f t="shared" si="0"/>
        <v>48213</v>
      </c>
    </row>
    <row r="5" spans="1:19" x14ac:dyDescent="0.15">
      <c r="D5" s="45" t="s">
        <v>88</v>
      </c>
      <c r="E5" s="45" t="s">
        <v>88</v>
      </c>
      <c r="F5" s="45" t="s">
        <v>88</v>
      </c>
      <c r="G5" s="45" t="s">
        <v>88</v>
      </c>
      <c r="H5" s="45" t="s">
        <v>88</v>
      </c>
      <c r="I5" s="45" t="s">
        <v>88</v>
      </c>
      <c r="J5" s="45" t="s">
        <v>88</v>
      </c>
      <c r="K5" s="45" t="s">
        <v>88</v>
      </c>
      <c r="L5" s="45" t="s">
        <v>88</v>
      </c>
      <c r="M5" s="45" t="s">
        <v>88</v>
      </c>
      <c r="N5" s="19" t="s">
        <v>88</v>
      </c>
      <c r="O5" s="45" t="s">
        <v>88</v>
      </c>
      <c r="P5" s="45" t="s">
        <v>88</v>
      </c>
      <c r="Q5" s="45" t="s">
        <v>88</v>
      </c>
      <c r="R5" s="45" t="s">
        <v>88</v>
      </c>
      <c r="S5" s="93" t="s">
        <v>88</v>
      </c>
    </row>
    <row r="6" spans="1:19" x14ac:dyDescent="0.15">
      <c r="C6" s="87" t="s">
        <v>401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121"/>
      <c r="O6" s="87"/>
      <c r="P6" s="87"/>
      <c r="Q6" s="87"/>
      <c r="R6" s="87"/>
      <c r="S6" s="120"/>
    </row>
    <row r="7" spans="1:19" x14ac:dyDescent="0.15">
      <c r="A7" t="s">
        <v>298</v>
      </c>
      <c r="C7" t="s">
        <v>298</v>
      </c>
      <c r="D7" s="42"/>
      <c r="E7" s="42">
        <f>E34/D34 - 1</f>
        <v>0.12931935286275342</v>
      </c>
      <c r="F7" s="42">
        <f t="shared" ref="F7:M7" si="1">F34/E34 - 1</f>
        <v>0.10811371322825614</v>
      </c>
      <c r="G7" s="42">
        <f t="shared" si="1"/>
        <v>-0.12036970386259915</v>
      </c>
      <c r="H7" s="42">
        <f t="shared" si="1"/>
        <v>-5.7610474631751174E-2</v>
      </c>
      <c r="I7" s="42">
        <f t="shared" si="1"/>
        <v>0.5475164987843002</v>
      </c>
      <c r="J7" s="42">
        <f t="shared" si="1"/>
        <v>5.225237357753687E-2</v>
      </c>
      <c r="K7" s="42">
        <f t="shared" si="1"/>
        <v>-0.27123994795332873</v>
      </c>
      <c r="L7" s="42">
        <f t="shared" si="1"/>
        <v>-4.2865505634421153E-2</v>
      </c>
      <c r="M7" s="42">
        <f t="shared" si="1"/>
        <v>3.6803718597574919E-2</v>
      </c>
      <c r="N7" s="63">
        <v>6.1699999999999998E-2</v>
      </c>
      <c r="O7" s="64">
        <v>-4.0000000000000001E-3</v>
      </c>
      <c r="P7" s="64">
        <v>7.2900000000000006E-2</v>
      </c>
      <c r="Q7" s="64">
        <v>3.0800000000000001E-2</v>
      </c>
      <c r="R7" s="64">
        <v>6.0999999999999999E-2</v>
      </c>
      <c r="S7" s="65">
        <v>0.04</v>
      </c>
    </row>
    <row r="8" spans="1:19" x14ac:dyDescent="0.15">
      <c r="A8" t="s">
        <v>182</v>
      </c>
      <c r="C8" t="s">
        <v>182</v>
      </c>
      <c r="D8" s="42">
        <f>D37/D34</f>
        <v>0.11301480920981515</v>
      </c>
      <c r="E8" s="42">
        <f t="shared" ref="E8:M8" si="2">E37/E34</f>
        <v>0.11626571373875311</v>
      </c>
      <c r="F8" s="42">
        <f t="shared" si="2"/>
        <v>0.14583723240379493</v>
      </c>
      <c r="G8" s="42">
        <f t="shared" si="2"/>
        <v>0.10900163666121113</v>
      </c>
      <c r="H8" s="42">
        <f t="shared" si="2"/>
        <v>6.6585620006946858E-2</v>
      </c>
      <c r="I8" s="42">
        <f t="shared" si="2"/>
        <v>0.25722173591003972</v>
      </c>
      <c r="J8" s="42">
        <f t="shared" si="2"/>
        <v>0.23259956058957787</v>
      </c>
      <c r="K8" s="42">
        <f t="shared" si="2"/>
        <v>0.17403775793941167</v>
      </c>
      <c r="L8" s="42">
        <f t="shared" si="2"/>
        <v>0.11738352624577605</v>
      </c>
      <c r="M8" s="42">
        <f t="shared" si="2"/>
        <v>7.7571967909391221E-2</v>
      </c>
      <c r="N8" s="66">
        <v>9.2999999999999999E-2</v>
      </c>
      <c r="O8" s="67">
        <v>0.1123</v>
      </c>
      <c r="P8" s="67">
        <v>0.1467</v>
      </c>
      <c r="Q8" s="67">
        <v>0.1744</v>
      </c>
      <c r="R8" s="67">
        <v>0.20810000000000001</v>
      </c>
      <c r="S8" s="68">
        <v>0.22919999999999999</v>
      </c>
    </row>
    <row r="9" spans="1:19" x14ac:dyDescent="0.15">
      <c r="A9" t="s">
        <v>299</v>
      </c>
      <c r="C9" t="s">
        <v>299</v>
      </c>
      <c r="D9" s="42">
        <f>D38/D34</f>
        <v>5.622815551471913E-2</v>
      </c>
      <c r="E9" s="42">
        <f t="shared" ref="E9:M9" si="3">E38/E34</f>
        <v>5.6234445791589566E-2</v>
      </c>
      <c r="F9" s="42">
        <f t="shared" si="3"/>
        <v>6.1214206533162487E-2</v>
      </c>
      <c r="G9" s="42">
        <f t="shared" si="3"/>
        <v>6.7577741407528633E-2</v>
      </c>
      <c r="H9" s="42">
        <f t="shared" si="3"/>
        <v>7.3289336575199718E-2</v>
      </c>
      <c r="I9" s="42">
        <f t="shared" si="3"/>
        <v>4.6786972818889855E-2</v>
      </c>
      <c r="J9" s="42">
        <f t="shared" si="3"/>
        <v>4.0058872464324567E-2</v>
      </c>
      <c r="K9" s="42">
        <f t="shared" si="3"/>
        <v>5.6593004536806671E-2</v>
      </c>
      <c r="L9" s="42">
        <f t="shared" si="3"/>
        <v>5.9647406002966315E-2</v>
      </c>
      <c r="M9" s="42">
        <f t="shared" si="3"/>
        <v>6.5478999528079285E-2</v>
      </c>
      <c r="N9" s="66">
        <f>M9</f>
        <v>6.5478999528079285E-2</v>
      </c>
      <c r="O9" s="67">
        <f t="shared" ref="O9:S9" si="4">N9</f>
        <v>6.5478999528079285E-2</v>
      </c>
      <c r="P9" s="67">
        <f t="shared" si="4"/>
        <v>6.5478999528079285E-2</v>
      </c>
      <c r="Q9" s="67">
        <f t="shared" si="4"/>
        <v>6.5478999528079285E-2</v>
      </c>
      <c r="R9" s="67">
        <f t="shared" si="4"/>
        <v>6.5478999528079285E-2</v>
      </c>
      <c r="S9" s="68">
        <f t="shared" si="4"/>
        <v>6.5478999528079285E-2</v>
      </c>
    </row>
    <row r="10" spans="1:19" x14ac:dyDescent="0.15">
      <c r="A10" t="s">
        <v>300</v>
      </c>
      <c r="C10" t="s">
        <v>300</v>
      </c>
      <c r="D10" s="42">
        <f>D39/D34</f>
        <v>0</v>
      </c>
      <c r="E10" s="42">
        <f t="shared" ref="E10:M10" si="5">E39/E34</f>
        <v>0</v>
      </c>
      <c r="F10" s="42">
        <f t="shared" si="5"/>
        <v>0</v>
      </c>
      <c r="G10" s="42">
        <f t="shared" si="5"/>
        <v>0</v>
      </c>
      <c r="H10" s="42">
        <f t="shared" si="5"/>
        <v>0</v>
      </c>
      <c r="I10" s="42">
        <f t="shared" si="5"/>
        <v>0</v>
      </c>
      <c r="J10" s="42">
        <f t="shared" si="5"/>
        <v>1.9517501759774747E-3</v>
      </c>
      <c r="K10" s="42">
        <f t="shared" si="5"/>
        <v>2.926972047416947E-3</v>
      </c>
      <c r="L10" s="42">
        <f t="shared" si="5"/>
        <v>2.8134126389504745E-3</v>
      </c>
      <c r="M10" s="42">
        <f t="shared" si="5"/>
        <v>2.846271826333176E-3</v>
      </c>
      <c r="N10" s="66">
        <f>M10</f>
        <v>2.846271826333176E-3</v>
      </c>
      <c r="O10" s="67">
        <f t="shared" ref="O10:S10" si="6">N10</f>
        <v>2.846271826333176E-3</v>
      </c>
      <c r="P10" s="67">
        <f t="shared" si="6"/>
        <v>2.846271826333176E-3</v>
      </c>
      <c r="Q10" s="67">
        <f t="shared" si="6"/>
        <v>2.846271826333176E-3</v>
      </c>
      <c r="R10" s="67">
        <f t="shared" si="6"/>
        <v>2.846271826333176E-3</v>
      </c>
      <c r="S10" s="68">
        <f t="shared" si="6"/>
        <v>2.846271826333176E-3</v>
      </c>
    </row>
    <row r="11" spans="1:19" x14ac:dyDescent="0.15">
      <c r="A11" t="s">
        <v>311</v>
      </c>
      <c r="C11" t="s">
        <v>311</v>
      </c>
      <c r="D11" s="42">
        <f>D$42/D$34</f>
        <v>-1.9097034554822899E-3</v>
      </c>
      <c r="E11" s="42">
        <f t="shared" ref="E11:M11" si="7">E$42/E$34</f>
        <v>-5.2645013081488098E-4</v>
      </c>
      <c r="F11" s="42">
        <f t="shared" si="7"/>
        <v>-9.2138034292624639E-4</v>
      </c>
      <c r="G11" s="42">
        <f t="shared" si="7"/>
        <v>-6.5466448445171852E-5</v>
      </c>
      <c r="H11" s="42">
        <f t="shared" si="7"/>
        <v>1.7367141368530741E-5</v>
      </c>
      <c r="I11" s="42">
        <f t="shared" si="7"/>
        <v>0</v>
      </c>
      <c r="J11" s="42">
        <f t="shared" si="7"/>
        <v>-3.5195494976642986E-4</v>
      </c>
      <c r="K11" s="42">
        <f t="shared" si="7"/>
        <v>-4.3904580711254208E-5</v>
      </c>
      <c r="L11" s="42">
        <f t="shared" si="7"/>
        <v>-1.2232228865002065E-4</v>
      </c>
      <c r="M11" s="42">
        <f t="shared" si="7"/>
        <v>-7.3737612081170364E-5</v>
      </c>
      <c r="N11" s="66">
        <f>M11</f>
        <v>-7.3737612081170364E-5</v>
      </c>
      <c r="O11" s="67">
        <v>0</v>
      </c>
      <c r="P11" s="67">
        <v>0</v>
      </c>
      <c r="Q11" s="67">
        <v>0</v>
      </c>
      <c r="R11" s="67">
        <v>0</v>
      </c>
      <c r="S11" s="68">
        <v>0</v>
      </c>
    </row>
    <row r="12" spans="1:19" x14ac:dyDescent="0.15">
      <c r="A12" t="s">
        <v>252</v>
      </c>
      <c r="C12" t="s">
        <v>252</v>
      </c>
      <c r="D12" s="40">
        <f>D$47</f>
        <v>0</v>
      </c>
      <c r="E12" s="40">
        <f t="shared" ref="E12:M12" si="8">E$47</f>
        <v>0</v>
      </c>
      <c r="F12" s="40">
        <f t="shared" si="8"/>
        <v>0</v>
      </c>
      <c r="G12" s="40">
        <f t="shared" si="8"/>
        <v>0</v>
      </c>
      <c r="H12" s="40">
        <f t="shared" si="8"/>
        <v>0</v>
      </c>
      <c r="I12" s="40">
        <f t="shared" si="8"/>
        <v>0</v>
      </c>
      <c r="J12" s="40">
        <f t="shared" si="8"/>
        <v>0</v>
      </c>
      <c r="K12" s="40">
        <f t="shared" si="8"/>
        <v>0</v>
      </c>
      <c r="L12" s="40">
        <f t="shared" si="8"/>
        <v>0</v>
      </c>
      <c r="M12" s="40">
        <f t="shared" si="8"/>
        <v>0</v>
      </c>
      <c r="N12" s="72">
        <v>0</v>
      </c>
      <c r="O12" s="73">
        <v>0</v>
      </c>
      <c r="P12" s="73">
        <v>0</v>
      </c>
      <c r="Q12" s="73">
        <v>0</v>
      </c>
      <c r="R12" s="73">
        <v>0</v>
      </c>
      <c r="S12" s="74">
        <v>0</v>
      </c>
    </row>
    <row r="13" spans="1:19" x14ac:dyDescent="0.15"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114"/>
      <c r="O13" s="76"/>
      <c r="P13" s="76"/>
      <c r="Q13" s="76"/>
      <c r="R13" s="76"/>
      <c r="S13" s="117"/>
    </row>
    <row r="14" spans="1:19" x14ac:dyDescent="0.15">
      <c r="A14" t="s">
        <v>208</v>
      </c>
      <c r="C14" s="59" t="s">
        <v>402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121"/>
      <c r="O14" s="87"/>
      <c r="P14" s="87"/>
      <c r="Q14" s="87"/>
      <c r="R14" s="87"/>
      <c r="S14" s="120"/>
    </row>
    <row r="15" spans="1:19" x14ac:dyDescent="0.15">
      <c r="A15" t="s">
        <v>209</v>
      </c>
      <c r="C15" t="s">
        <v>302</v>
      </c>
      <c r="D15" s="39">
        <f>IFERROR(
INDEX('Olin Raw'!$B$120:$K$163,
MATCH($A15,'Olin Raw'!$A$120:$A$163,0),
MATCH(D$32,'Olin Raw'!$B$116:$K$116,0)
),"")</f>
        <v>0</v>
      </c>
      <c r="E15" s="39">
        <f>IFERROR(
INDEX('Olin Raw'!$B$120:$K$163,
MATCH($A15,'Olin Raw'!$A$120:$A$163,0),
MATCH(E$32,'Olin Raw'!$B$116:$K$116,0)
),"")</f>
        <v>0</v>
      </c>
      <c r="F15" s="39">
        <f>IFERROR(
INDEX('Olin Raw'!$B$120:$K$163,
MATCH($A15,'Olin Raw'!$A$120:$A$163,0),
MATCH(F$32,'Olin Raw'!$B$116:$K$116,0)
),"")</f>
        <v>0</v>
      </c>
      <c r="G15" s="39">
        <f>IFERROR(
INDEX('Olin Raw'!$B$120:$K$163,
MATCH($A15,'Olin Raw'!$A$120:$A$163,0),
MATCH(G$32,'Olin Raw'!$B$116:$K$116,0)
),"")</f>
        <v>0</v>
      </c>
      <c r="H15" s="39">
        <f>IFERROR(
INDEX('Olin Raw'!$B$120:$K$163,
MATCH($A15,'Olin Raw'!$A$120:$A$163,0),
MATCH(H$32,'Olin Raw'!$B$116:$K$116,0)
),"")</f>
        <v>0</v>
      </c>
      <c r="I15" s="39">
        <f>IFERROR(
INDEX('Olin Raw'!$B$120:$K$163,
MATCH($A15,'Olin Raw'!$A$120:$A$163,0),
MATCH(I$32,'Olin Raw'!$B$116:$K$116,0)
),"")</f>
        <v>0</v>
      </c>
      <c r="J15" s="39">
        <f>IFERROR(
INDEX('Olin Raw'!$B$120:$K$163,
MATCH($A15,'Olin Raw'!$A$120:$A$163,0),
MATCH(J$32,'Olin Raw'!$B$116:$K$116,0)
),"")</f>
        <v>0</v>
      </c>
      <c r="K15" s="39">
        <f>IFERROR(
INDEX('Olin Raw'!$B$120:$K$163,
MATCH($A15,'Olin Raw'!$A$120:$A$163,0),
MATCH(K$32,'Olin Raw'!$B$116:$K$116,0)
),"")</f>
        <v>47</v>
      </c>
      <c r="L15" s="39">
        <f>IFERROR(
INDEX('Olin Raw'!$B$120:$K$163,
MATCH($A15,'Olin Raw'!$A$120:$A$163,0),
MATCH(L$32,'Olin Raw'!$B$116:$K$116,0)
),"")</f>
        <v>56</v>
      </c>
      <c r="M15" s="39">
        <f>IFERROR(
INDEX('Olin Raw'!$B$120:$K$163,
MATCH($A15,'Olin Raw'!$A$120:$A$163,0),
MATCH(M$32,'Olin Raw'!$B$116:$K$116,0)
),"")</f>
        <v>0</v>
      </c>
      <c r="N15" s="77">
        <v>49</v>
      </c>
      <c r="O15" s="78">
        <f>N15</f>
        <v>49</v>
      </c>
      <c r="P15" s="78">
        <f t="shared" ref="P15:S15" si="9">O15</f>
        <v>49</v>
      </c>
      <c r="Q15" s="78">
        <f t="shared" si="9"/>
        <v>49</v>
      </c>
      <c r="R15" s="78">
        <f t="shared" si="9"/>
        <v>49</v>
      </c>
      <c r="S15" s="79">
        <f t="shared" si="9"/>
        <v>49</v>
      </c>
    </row>
    <row r="16" spans="1:19" x14ac:dyDescent="0.15">
      <c r="A16" t="s">
        <v>208</v>
      </c>
      <c r="C16" t="s">
        <v>303</v>
      </c>
      <c r="D16" s="39">
        <f>IFERROR(
INDEX('Olin Raw'!$B$120:$K$163,
MATCH($A16,'Olin Raw'!$A$120:$A$163,0),
MATCH(D$32,'Olin Raw'!$B$116:$K$116,0)
),"")</f>
        <v>47</v>
      </c>
      <c r="E16" s="39">
        <f>IFERROR(
INDEX('Olin Raw'!$B$120:$K$163,
MATCH($A16,'Olin Raw'!$A$120:$A$163,0),
MATCH(E$32,'Olin Raw'!$B$116:$K$116,0)
),"")</f>
        <v>45</v>
      </c>
      <c r="F16" s="39">
        <f>IFERROR(
INDEX('Olin Raw'!$B$120:$K$163,
MATCH($A16,'Olin Raw'!$A$120:$A$163,0),
MATCH(F$32,'Olin Raw'!$B$116:$K$116,0)
),"")</f>
        <v>44</v>
      </c>
      <c r="G16" s="39">
        <f>IFERROR(
INDEX('Olin Raw'!$B$120:$K$163,
MATCH($A16,'Olin Raw'!$A$120:$A$163,0),
MATCH(G$32,'Olin Raw'!$B$116:$K$116,0)
),"")</f>
        <v>47</v>
      </c>
      <c r="H16" s="39">
        <f>IFERROR(
INDEX('Olin Raw'!$B$120:$K$163,
MATCH($A16,'Olin Raw'!$A$120:$A$163,0),
MATCH(H$32,'Olin Raw'!$B$116:$K$116,0)
),"")</f>
        <v>46</v>
      </c>
      <c r="I16" s="39">
        <f>IFERROR(
INDEX('Olin Raw'!$B$120:$K$163,
MATCH($A16,'Olin Raw'!$A$120:$A$163,0),
MATCH(I$32,'Olin Raw'!$B$116:$K$116,0)
),"")</f>
        <v>48</v>
      </c>
      <c r="J16" s="39">
        <f>IFERROR(
INDEX('Olin Raw'!$B$120:$K$163,
MATCH($A16,'Olin Raw'!$A$120:$A$163,0),
MATCH(J$32,'Olin Raw'!$B$116:$K$116,0)
),"")</f>
        <v>48</v>
      </c>
      <c r="K16" s="39">
        <f>IFERROR(
INDEX('Olin Raw'!$B$120:$K$163,
MATCH($A16,'Olin Raw'!$A$120:$A$163,0),
MATCH(K$32,'Olin Raw'!$B$116:$K$116,0)
),"")</f>
        <v>56</v>
      </c>
      <c r="L16" s="39">
        <f>IFERROR(
INDEX('Olin Raw'!$B$120:$K$163,
MATCH($A16,'Olin Raw'!$A$120:$A$163,0),
MATCH(L$32,'Olin Raw'!$B$116:$K$116,0)
),"")</f>
        <v>52</v>
      </c>
      <c r="M16" s="39">
        <f>IFERROR(
INDEX('Olin Raw'!$B$120:$K$163,
MATCH($A16,'Olin Raw'!$A$120:$A$163,0),
MATCH(M$32,'Olin Raw'!$B$116:$K$116,0)
),"")</f>
        <v>46</v>
      </c>
      <c r="N16" s="80">
        <f t="shared" ref="N16:N21" si="10">M16</f>
        <v>46</v>
      </c>
      <c r="O16" s="81">
        <f t="shared" ref="O16:S16" si="11">N16</f>
        <v>46</v>
      </c>
      <c r="P16" s="81">
        <f t="shared" si="11"/>
        <v>46</v>
      </c>
      <c r="Q16" s="81">
        <f t="shared" si="11"/>
        <v>46</v>
      </c>
      <c r="R16" s="81">
        <f t="shared" si="11"/>
        <v>46</v>
      </c>
      <c r="S16" s="82">
        <f t="shared" si="11"/>
        <v>46</v>
      </c>
    </row>
    <row r="17" spans="1:19" x14ac:dyDescent="0.15">
      <c r="A17" t="s">
        <v>210</v>
      </c>
      <c r="C17" t="s">
        <v>304</v>
      </c>
      <c r="D17" s="39">
        <f>IFERROR(
INDEX('Olin Raw'!$B$120:$K$163,
MATCH($A17,'Olin Raw'!$A$120:$A$163,0),
MATCH(D$32,'Olin Raw'!$B$116:$K$116,0)
),"")</f>
        <v>42</v>
      </c>
      <c r="E17" s="39">
        <f>IFERROR(
INDEX('Olin Raw'!$B$120:$K$163,
MATCH($A17,'Olin Raw'!$A$120:$A$163,0),
MATCH(E$32,'Olin Raw'!$B$116:$K$116,0)
),"")</f>
        <v>44</v>
      </c>
      <c r="F17" s="39">
        <f>IFERROR(
INDEX('Olin Raw'!$B$120:$K$163,
MATCH($A17,'Olin Raw'!$A$120:$A$163,0),
MATCH(F$32,'Olin Raw'!$B$116:$K$116,0)
),"")</f>
        <v>39</v>
      </c>
      <c r="G17" s="39">
        <f>IFERROR(
INDEX('Olin Raw'!$B$120:$K$163,
MATCH($A17,'Olin Raw'!$A$120:$A$163,0),
MATCH(G$32,'Olin Raw'!$B$116:$K$116,0)
),"")</f>
        <v>44</v>
      </c>
      <c r="H17" s="39">
        <f>IFERROR(
INDEX('Olin Raw'!$B$120:$K$163,
MATCH($A17,'Olin Raw'!$A$120:$A$163,0),
MATCH(H$32,'Olin Raw'!$B$116:$K$116,0)
),"")</f>
        <v>50</v>
      </c>
      <c r="I17" s="39">
        <f>IFERROR(
INDEX('Olin Raw'!$B$120:$K$163,
MATCH($A17,'Olin Raw'!$A$120:$A$163,0),
MATCH(I$32,'Olin Raw'!$B$116:$K$116,0)
),"")</f>
        <v>47</v>
      </c>
      <c r="J17" s="39">
        <f>IFERROR(
INDEX('Olin Raw'!$B$120:$K$163,
MATCH($A17,'Olin Raw'!$A$120:$A$163,0),
MATCH(J$32,'Olin Raw'!$B$116:$K$116,0)
),"")</f>
        <v>42</v>
      </c>
      <c r="K17" s="39">
        <f>IFERROR(
INDEX('Olin Raw'!$B$120:$K$163,
MATCH($A17,'Olin Raw'!$A$120:$A$163,0),
MATCH(K$32,'Olin Raw'!$B$116:$K$116,0)
),"")</f>
        <v>50</v>
      </c>
      <c r="L17" s="39">
        <f>IFERROR(
INDEX('Olin Raw'!$B$120:$K$163,
MATCH($A17,'Olin Raw'!$A$120:$A$163,0),
MATCH(L$32,'Olin Raw'!$B$116:$K$116,0)
),"")</f>
        <v>54</v>
      </c>
      <c r="M17" s="39">
        <f>IFERROR(
INDEX('Olin Raw'!$B$120:$K$163,
MATCH($A17,'Olin Raw'!$A$120:$A$163,0),
MATCH(M$32,'Olin Raw'!$B$116:$K$116,0)
),"")</f>
        <v>47</v>
      </c>
      <c r="N17" s="80">
        <f t="shared" si="10"/>
        <v>47</v>
      </c>
      <c r="O17" s="81">
        <f t="shared" ref="O17:S17" si="12">N17</f>
        <v>47</v>
      </c>
      <c r="P17" s="81">
        <f t="shared" si="12"/>
        <v>47</v>
      </c>
      <c r="Q17" s="81">
        <f t="shared" si="12"/>
        <v>47</v>
      </c>
      <c r="R17" s="81">
        <f t="shared" si="12"/>
        <v>47</v>
      </c>
      <c r="S17" s="82">
        <f t="shared" si="12"/>
        <v>47</v>
      </c>
    </row>
    <row r="18" spans="1:19" x14ac:dyDescent="0.15">
      <c r="A18" t="s">
        <v>312</v>
      </c>
      <c r="C18" t="s">
        <v>305</v>
      </c>
      <c r="D18" s="42">
        <f t="shared" ref="D18:M18" si="13">D$67/D$34</f>
        <v>0</v>
      </c>
      <c r="E18" s="42">
        <f t="shared" si="13"/>
        <v>0</v>
      </c>
      <c r="F18" s="42">
        <f t="shared" si="13"/>
        <v>0</v>
      </c>
      <c r="G18" s="42">
        <f t="shared" si="13"/>
        <v>0</v>
      </c>
      <c r="H18" s="42">
        <f t="shared" si="13"/>
        <v>0</v>
      </c>
      <c r="I18" s="42">
        <f t="shared" si="13"/>
        <v>0</v>
      </c>
      <c r="J18" s="42">
        <f t="shared" si="13"/>
        <v>0</v>
      </c>
      <c r="K18" s="42">
        <f t="shared" si="13"/>
        <v>0</v>
      </c>
      <c r="L18" s="42">
        <f t="shared" si="13"/>
        <v>0</v>
      </c>
      <c r="M18" s="42">
        <f t="shared" si="13"/>
        <v>0</v>
      </c>
      <c r="N18" s="66">
        <f t="shared" si="10"/>
        <v>0</v>
      </c>
      <c r="O18" s="67">
        <f>N18</f>
        <v>0</v>
      </c>
      <c r="P18" s="67">
        <f t="shared" ref="P18:S18" si="14">O18</f>
        <v>0</v>
      </c>
      <c r="Q18" s="67">
        <f t="shared" si="14"/>
        <v>0</v>
      </c>
      <c r="R18" s="67">
        <f t="shared" si="14"/>
        <v>0</v>
      </c>
      <c r="S18" s="68">
        <f t="shared" si="14"/>
        <v>0</v>
      </c>
    </row>
    <row r="19" spans="1:19" x14ac:dyDescent="0.15">
      <c r="A19" t="s">
        <v>305</v>
      </c>
      <c r="C19" t="s">
        <v>306</v>
      </c>
      <c r="D19" s="42">
        <f t="shared" ref="D19:M19" si="15">D$68/D$34</f>
        <v>5.5489496630994842E-3</v>
      </c>
      <c r="E19" s="42">
        <f t="shared" si="15"/>
        <v>7.6734094824835687E-3</v>
      </c>
      <c r="F19" s="42">
        <f t="shared" si="15"/>
        <v>5.0387987503779097E-3</v>
      </c>
      <c r="G19" s="42">
        <f t="shared" si="15"/>
        <v>3.7806873977086746E-3</v>
      </c>
      <c r="H19" s="42">
        <f t="shared" si="15"/>
        <v>1.1583883292810003E-2</v>
      </c>
      <c r="I19" s="42">
        <f t="shared" si="15"/>
        <v>1.0403339842434852E-2</v>
      </c>
      <c r="J19" s="42">
        <f t="shared" si="15"/>
        <v>5.620613894754805E-3</v>
      </c>
      <c r="K19" s="42">
        <f t="shared" si="15"/>
        <v>7.917459388262842E-3</v>
      </c>
      <c r="L19" s="42">
        <f t="shared" si="15"/>
        <v>9.3882356538890835E-3</v>
      </c>
      <c r="M19" s="42">
        <f t="shared" si="15"/>
        <v>1.5912576687116566E-2</v>
      </c>
      <c r="N19" s="66">
        <f t="shared" si="10"/>
        <v>1.5912576687116566E-2</v>
      </c>
      <c r="O19" s="67">
        <v>8.0999999999999996E-3</v>
      </c>
      <c r="P19" s="67">
        <v>8.0999999999999996E-3</v>
      </c>
      <c r="Q19" s="67">
        <v>8.0999999999999996E-3</v>
      </c>
      <c r="R19" s="67">
        <v>8.0999999999999996E-3</v>
      </c>
      <c r="S19" s="68">
        <v>8.0999999999999996E-3</v>
      </c>
    </row>
    <row r="20" spans="1:19" x14ac:dyDescent="0.15">
      <c r="A20" t="s">
        <v>306</v>
      </c>
      <c r="C20" t="s">
        <v>307</v>
      </c>
      <c r="D20" s="42">
        <f t="shared" ref="D20:M20" si="16">D$82/D$34</f>
        <v>3.9941627932115441E-2</v>
      </c>
      <c r="E20" s="42">
        <f t="shared" si="16"/>
        <v>3.7681066938931786E-2</v>
      </c>
      <c r="F20" s="42">
        <f t="shared" si="16"/>
        <v>4.4154273621168708E-2</v>
      </c>
      <c r="G20" s="42">
        <f t="shared" si="16"/>
        <v>5.4500818330605563E-2</v>
      </c>
      <c r="H20" s="42">
        <f t="shared" si="16"/>
        <v>6.5665161514414733E-2</v>
      </c>
      <c r="I20" s="42">
        <f t="shared" si="16"/>
        <v>5.3520526114964197E-2</v>
      </c>
      <c r="J20" s="42">
        <f t="shared" si="16"/>
        <v>5.1908022439794366E-2</v>
      </c>
      <c r="K20" s="42">
        <f t="shared" si="16"/>
        <v>5.8597980389287277E-2</v>
      </c>
      <c r="L20" s="42">
        <f t="shared" si="16"/>
        <v>6.4616748979373403E-2</v>
      </c>
      <c r="M20" s="42">
        <f t="shared" si="16"/>
        <v>8.5683105238319957E-2</v>
      </c>
      <c r="N20" s="66">
        <f t="shared" si="10"/>
        <v>8.5683105238319957E-2</v>
      </c>
      <c r="O20" s="67">
        <f t="shared" ref="O20:S20" si="17">N20</f>
        <v>8.5683105238319957E-2</v>
      </c>
      <c r="P20" s="67">
        <f t="shared" si="17"/>
        <v>8.5683105238319957E-2</v>
      </c>
      <c r="Q20" s="67">
        <f t="shared" si="17"/>
        <v>8.5683105238319957E-2</v>
      </c>
      <c r="R20" s="67">
        <f t="shared" si="17"/>
        <v>8.5683105238319957E-2</v>
      </c>
      <c r="S20" s="68">
        <f t="shared" si="17"/>
        <v>8.5683105238319957E-2</v>
      </c>
    </row>
    <row r="21" spans="1:19" x14ac:dyDescent="0.15">
      <c r="A21" t="s">
        <v>307</v>
      </c>
      <c r="C21" t="s">
        <v>308</v>
      </c>
      <c r="D21" s="42">
        <f t="shared" ref="D21:M21" si="18">D$85/D$34</f>
        <v>8.953986956365078E-3</v>
      </c>
      <c r="E21" s="42">
        <f t="shared" si="18"/>
        <v>7.5936443111479807E-3</v>
      </c>
      <c r="F21" s="42">
        <f t="shared" si="18"/>
        <v>7.0831113862455195E-3</v>
      </c>
      <c r="G21" s="42">
        <f t="shared" si="18"/>
        <v>1.5581014729950901E-2</v>
      </c>
      <c r="H21" s="42">
        <f t="shared" si="18"/>
        <v>1.1340743313650573E-2</v>
      </c>
      <c r="I21" s="42">
        <f t="shared" si="18"/>
        <v>1.7552128925100441E-2</v>
      </c>
      <c r="J21" s="42">
        <f t="shared" si="18"/>
        <v>2.4242230327851368E-2</v>
      </c>
      <c r="K21" s="42">
        <f t="shared" si="18"/>
        <v>4.004097760866384E-2</v>
      </c>
      <c r="L21" s="42">
        <f t="shared" si="18"/>
        <v>3.3485726517943147E-2</v>
      </c>
      <c r="M21" s="42">
        <f t="shared" si="18"/>
        <v>1.9569962246342613E-2</v>
      </c>
      <c r="N21" s="69">
        <f t="shared" si="10"/>
        <v>1.9569962246342613E-2</v>
      </c>
      <c r="O21" s="70">
        <f t="shared" ref="O21:S21" si="19">N21</f>
        <v>1.9569962246342613E-2</v>
      </c>
      <c r="P21" s="70">
        <f t="shared" si="19"/>
        <v>1.9569962246342613E-2</v>
      </c>
      <c r="Q21" s="70">
        <f t="shared" si="19"/>
        <v>1.9569962246342613E-2</v>
      </c>
      <c r="R21" s="70">
        <f t="shared" si="19"/>
        <v>1.9569962246342613E-2</v>
      </c>
      <c r="S21" s="71">
        <f t="shared" si="19"/>
        <v>1.9569962246342613E-2</v>
      </c>
    </row>
    <row r="22" spans="1:19" x14ac:dyDescent="0.15"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115"/>
      <c r="O22" s="54"/>
      <c r="P22" s="54"/>
      <c r="Q22" s="54"/>
      <c r="R22" s="54"/>
      <c r="S22" s="118"/>
    </row>
    <row r="23" spans="1:19" x14ac:dyDescent="0.15">
      <c r="A23" t="s">
        <v>308</v>
      </c>
      <c r="C23" s="59" t="s">
        <v>312</v>
      </c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121"/>
      <c r="O23" s="87"/>
      <c r="P23" s="87"/>
      <c r="Q23" s="87"/>
      <c r="R23" s="87"/>
      <c r="S23" s="120"/>
    </row>
    <row r="24" spans="1:19" x14ac:dyDescent="0.15">
      <c r="A24" t="s">
        <v>309</v>
      </c>
      <c r="C24" t="s">
        <v>309</v>
      </c>
      <c r="D24" s="42">
        <f t="shared" ref="D24:M24" si="20">D$77/D$34</f>
        <v>0.1296616581991136</v>
      </c>
      <c r="E24" s="42">
        <f t="shared" si="20"/>
        <v>0.19240954629570545</v>
      </c>
      <c r="F24" s="42">
        <f t="shared" si="20"/>
        <v>0.16813751601618174</v>
      </c>
      <c r="G24" s="42">
        <f t="shared" si="20"/>
        <v>0.19711947626841245</v>
      </c>
      <c r="H24" s="42">
        <f t="shared" si="20"/>
        <v>0.20883987495658216</v>
      </c>
      <c r="I24" s="42">
        <f t="shared" si="20"/>
        <v>0.13816129104661862</v>
      </c>
      <c r="J24" s="42">
        <f t="shared" si="20"/>
        <v>1.2265096734284678E-2</v>
      </c>
      <c r="K24" s="42">
        <f t="shared" si="20"/>
        <v>2.1088833601639104E-2</v>
      </c>
      <c r="L24" s="42">
        <f t="shared" si="20"/>
        <v>2.5718261188666838E-2</v>
      </c>
      <c r="M24" s="42">
        <f t="shared" si="20"/>
        <v>3.5379306276545543E-2</v>
      </c>
      <c r="N24" s="63">
        <f>M24</f>
        <v>3.5379306276545543E-2</v>
      </c>
      <c r="O24" s="64">
        <f t="shared" ref="O24:S24" si="21">N24</f>
        <v>3.5379306276545543E-2</v>
      </c>
      <c r="P24" s="64">
        <f t="shared" si="21"/>
        <v>3.5379306276545543E-2</v>
      </c>
      <c r="Q24" s="64">
        <f t="shared" si="21"/>
        <v>3.5379306276545543E-2</v>
      </c>
      <c r="R24" s="64">
        <f t="shared" si="21"/>
        <v>3.5379306276545543E-2</v>
      </c>
      <c r="S24" s="65">
        <f t="shared" si="21"/>
        <v>3.5379306276545543E-2</v>
      </c>
    </row>
    <row r="25" spans="1:19" x14ac:dyDescent="0.15">
      <c r="A25" t="s">
        <v>310</v>
      </c>
      <c r="C25" t="s">
        <v>310</v>
      </c>
      <c r="D25" s="42">
        <f t="shared" ref="D25:M25" si="22">D$93/D$34</f>
        <v>0.17969228551868266</v>
      </c>
      <c r="E25" s="42">
        <f t="shared" si="22"/>
        <v>0.22139620955905814</v>
      </c>
      <c r="F25" s="42">
        <f t="shared" si="22"/>
        <v>0.2049495400296569</v>
      </c>
      <c r="G25" s="42">
        <f t="shared" si="22"/>
        <v>0.31013093289689037</v>
      </c>
      <c r="H25" s="42">
        <f t="shared" si="22"/>
        <v>0.23280653004515456</v>
      </c>
      <c r="I25" s="42">
        <f t="shared" si="22"/>
        <v>0.11742194689470967</v>
      </c>
      <c r="J25" s="42">
        <f t="shared" si="22"/>
        <v>9.1817580683005898E-2</v>
      </c>
      <c r="K25" s="42">
        <f t="shared" si="22"/>
        <v>0.12427923313332358</v>
      </c>
      <c r="L25" s="42">
        <f t="shared" si="22"/>
        <v>0.11434075931560678</v>
      </c>
      <c r="M25" s="42">
        <f t="shared" si="22"/>
        <v>0.11657916470033035</v>
      </c>
      <c r="N25" s="69">
        <f>M25</f>
        <v>0.11657916470033035</v>
      </c>
      <c r="O25" s="70">
        <f t="shared" ref="O25:S25" si="23">N25</f>
        <v>0.11657916470033035</v>
      </c>
      <c r="P25" s="70">
        <f t="shared" si="23"/>
        <v>0.11657916470033035</v>
      </c>
      <c r="Q25" s="70">
        <f t="shared" si="23"/>
        <v>0.11657916470033035</v>
      </c>
      <c r="R25" s="70">
        <f t="shared" si="23"/>
        <v>0.11657916470033035</v>
      </c>
      <c r="S25" s="71">
        <f t="shared" si="23"/>
        <v>0.11657916470033035</v>
      </c>
    </row>
    <row r="26" spans="1:19" x14ac:dyDescent="0.15"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116"/>
      <c r="O26" s="49"/>
      <c r="P26" s="49"/>
      <c r="Q26" s="49"/>
      <c r="R26" s="49"/>
      <c r="S26" s="119"/>
    </row>
    <row r="27" spans="1:19" x14ac:dyDescent="0.15">
      <c r="A27" t="s">
        <v>48</v>
      </c>
      <c r="C27" t="s">
        <v>48</v>
      </c>
      <c r="D27" s="86">
        <f>'Main Page &amp; Assumptions'!$J$18</f>
        <v>0.24</v>
      </c>
      <c r="E27" s="84">
        <f>'Main Page &amp; Assumptions'!$J$18</f>
        <v>0.24</v>
      </c>
      <c r="F27" s="84">
        <f>'Main Page &amp; Assumptions'!$J$18</f>
        <v>0.24</v>
      </c>
      <c r="G27" s="84">
        <f>'Main Page &amp; Assumptions'!$J$18</f>
        <v>0.24</v>
      </c>
      <c r="H27" s="84">
        <f>'Main Page &amp; Assumptions'!$J$18</f>
        <v>0.24</v>
      </c>
      <c r="I27" s="84">
        <f>'Main Page &amp; Assumptions'!$J$18</f>
        <v>0.24</v>
      </c>
      <c r="J27" s="84">
        <f>'Main Page &amp; Assumptions'!$J$18</f>
        <v>0.24</v>
      </c>
      <c r="K27" s="84">
        <f>'Main Page &amp; Assumptions'!$J$18</f>
        <v>0.24</v>
      </c>
      <c r="L27" s="84">
        <f>'Main Page &amp; Assumptions'!$J$18</f>
        <v>0.24</v>
      </c>
      <c r="M27" s="84">
        <f>'Main Page &amp; Assumptions'!$J$18</f>
        <v>0.24</v>
      </c>
      <c r="N27" s="83">
        <v>0.24</v>
      </c>
      <c r="O27" s="84">
        <v>0.24</v>
      </c>
      <c r="P27" s="84">
        <v>0.24</v>
      </c>
      <c r="Q27" s="84">
        <v>0.24</v>
      </c>
      <c r="R27" s="84">
        <v>0.24</v>
      </c>
      <c r="S27" s="85">
        <v>0.24</v>
      </c>
    </row>
    <row r="30" spans="1:19" ht="16" x14ac:dyDescent="0.15">
      <c r="C30" s="343" t="s">
        <v>403</v>
      </c>
      <c r="D30" s="343"/>
      <c r="E30" s="343"/>
      <c r="F30" s="343"/>
      <c r="G30" s="343"/>
      <c r="H30" s="343"/>
      <c r="I30" s="343"/>
      <c r="J30" s="343"/>
      <c r="K30" s="343"/>
      <c r="L30" s="343"/>
      <c r="M30" s="343"/>
      <c r="N30" s="343"/>
      <c r="O30" s="343"/>
      <c r="P30" s="343"/>
      <c r="Q30" s="343"/>
      <c r="R30" s="343"/>
      <c r="S30" s="343"/>
    </row>
    <row r="31" spans="1:19" x14ac:dyDescent="0.15">
      <c r="C31" s="90"/>
      <c r="D31" s="356" t="s">
        <v>399</v>
      </c>
      <c r="E31" s="356"/>
      <c r="F31" s="356"/>
      <c r="G31" s="356"/>
      <c r="H31" s="356"/>
      <c r="I31" s="356"/>
      <c r="J31" s="356"/>
      <c r="K31" s="356"/>
      <c r="L31" s="356"/>
      <c r="M31" s="356"/>
      <c r="N31" s="338" t="s">
        <v>400</v>
      </c>
      <c r="O31" s="339"/>
      <c r="P31" s="339"/>
      <c r="Q31" s="339"/>
      <c r="R31" s="339"/>
      <c r="S31" s="340"/>
    </row>
    <row r="32" spans="1:19" x14ac:dyDescent="0.15">
      <c r="C32" s="59" t="s">
        <v>86</v>
      </c>
      <c r="D32" s="60">
        <v>42735</v>
      </c>
      <c r="E32" s="60">
        <f t="shared" ref="E32:S32" si="24">EDATE(D32,12)</f>
        <v>43100</v>
      </c>
      <c r="F32" s="60">
        <f t="shared" si="24"/>
        <v>43465</v>
      </c>
      <c r="G32" s="60">
        <f t="shared" si="24"/>
        <v>43830</v>
      </c>
      <c r="H32" s="60">
        <f t="shared" si="24"/>
        <v>44196</v>
      </c>
      <c r="I32" s="60">
        <f t="shared" si="24"/>
        <v>44561</v>
      </c>
      <c r="J32" s="60">
        <f t="shared" si="24"/>
        <v>44926</v>
      </c>
      <c r="K32" s="60">
        <f t="shared" si="24"/>
        <v>45291</v>
      </c>
      <c r="L32" s="60">
        <f t="shared" si="24"/>
        <v>45657</v>
      </c>
      <c r="M32" s="60">
        <f t="shared" si="24"/>
        <v>46022</v>
      </c>
      <c r="N32" s="91">
        <f t="shared" si="24"/>
        <v>46387</v>
      </c>
      <c r="O32" s="60">
        <f t="shared" si="24"/>
        <v>46752</v>
      </c>
      <c r="P32" s="60">
        <f t="shared" si="24"/>
        <v>47118</v>
      </c>
      <c r="Q32" s="60">
        <f t="shared" si="24"/>
        <v>47483</v>
      </c>
      <c r="R32" s="60">
        <f t="shared" si="24"/>
        <v>47848</v>
      </c>
      <c r="S32" s="92">
        <f t="shared" si="24"/>
        <v>48213</v>
      </c>
    </row>
    <row r="33" spans="1:19" x14ac:dyDescent="0.15">
      <c r="D33" s="45" t="s">
        <v>88</v>
      </c>
      <c r="E33" s="45" t="s">
        <v>88</v>
      </c>
      <c r="F33" s="45" t="s">
        <v>88</v>
      </c>
      <c r="G33" s="45" t="s">
        <v>88</v>
      </c>
      <c r="H33" s="45" t="s">
        <v>88</v>
      </c>
      <c r="I33" s="45" t="s">
        <v>88</v>
      </c>
      <c r="J33" s="45" t="s">
        <v>88</v>
      </c>
      <c r="K33" s="45" t="s">
        <v>88</v>
      </c>
      <c r="L33" s="45" t="s">
        <v>88</v>
      </c>
      <c r="M33" s="45" t="s">
        <v>88</v>
      </c>
      <c r="N33" s="19" t="s">
        <v>88</v>
      </c>
      <c r="O33" s="45" t="s">
        <v>88</v>
      </c>
      <c r="P33" s="45" t="s">
        <v>88</v>
      </c>
      <c r="Q33" s="45" t="s">
        <v>88</v>
      </c>
      <c r="R33" s="45" t="s">
        <v>88</v>
      </c>
      <c r="S33" s="93" t="s">
        <v>88</v>
      </c>
    </row>
    <row r="34" spans="1:19" x14ac:dyDescent="0.15">
      <c r="A34" t="s">
        <v>91</v>
      </c>
      <c r="C34" s="88" t="s">
        <v>229</v>
      </c>
      <c r="D34" s="89">
        <f>IFERROR(
INDEX('Olin Raw'!$B$6:$K$33,
MATCH(TRIM($A34),'Olin Raw'!$M$6:$M$33,0),
MATCH(D$32,'Olin Raw'!$B$3:$K$3,0)
),"")</f>
        <v>5550.6</v>
      </c>
      <c r="E34" s="89">
        <f>IFERROR(
INDEX('Olin Raw'!$B$6:$K$33,
MATCH(TRIM($A34),'Olin Raw'!$M$6:$M$33,0),
MATCH(E$32,'Olin Raw'!$B$3:$K$3,0)
),"")</f>
        <v>6268.4</v>
      </c>
      <c r="F34" s="89">
        <f>IFERROR(
INDEX('Olin Raw'!$B$6:$K$33,
MATCH(TRIM($A34),'Olin Raw'!$M$6:$M$33,0),
MATCH(F$32,'Olin Raw'!$B$3:$K$3,0)
),"")</f>
        <v>6946.1</v>
      </c>
      <c r="G34" s="89">
        <f>IFERROR(
INDEX('Olin Raw'!$B$6:$K$33,
MATCH(TRIM($A34),'Olin Raw'!$M$6:$M$33,0),
MATCH(G$32,'Olin Raw'!$B$3:$K$3,0)
),"")</f>
        <v>6110</v>
      </c>
      <c r="H34" s="89">
        <f>IFERROR(
INDEX('Olin Raw'!$B$6:$K$33,
MATCH(TRIM($A34),'Olin Raw'!$M$6:$M$33,0),
MATCH(H$32,'Olin Raw'!$B$3:$K$3,0)
),"")</f>
        <v>5758</v>
      </c>
      <c r="I34" s="89">
        <f>IFERROR(
INDEX('Olin Raw'!$B$6:$K$33,
MATCH(TRIM($A34),'Olin Raw'!$M$6:$M$33,0),
MATCH(I$32,'Olin Raw'!$B$3:$K$3,0)
),"")</f>
        <v>8910.6</v>
      </c>
      <c r="J34" s="89">
        <f>IFERROR(
INDEX('Olin Raw'!$B$6:$K$33,
MATCH(TRIM($A34),'Olin Raw'!$M$6:$M$33,0),
MATCH(J$32,'Olin Raw'!$B$3:$K$3,0)
),"")</f>
        <v>9376.2000000000007</v>
      </c>
      <c r="K34" s="89">
        <f>IFERROR(
INDEX('Olin Raw'!$B$6:$K$33,
MATCH(TRIM($A34),'Olin Raw'!$M$6:$M$33,0),
MATCH(K$32,'Olin Raw'!$B$3:$K$3,0)
),"")</f>
        <v>6833</v>
      </c>
      <c r="L34" s="89">
        <f>IFERROR(
INDEX('Olin Raw'!$B$6:$K$33,
MATCH(TRIM($A34),'Olin Raw'!$M$6:$M$33,0),
MATCH(L$32,'Olin Raw'!$B$3:$K$3,0)
),"")</f>
        <v>6540.1</v>
      </c>
      <c r="M34" s="89">
        <f>IFERROR(
INDEX('Olin Raw'!$B$6:$K$33,
MATCH(TRIM($A34),'Olin Raw'!$M$6:$M$33,0),
MATCH(M$32,'Olin Raw'!$B$3:$K$3,0)
),"")</f>
        <v>6780.8</v>
      </c>
      <c r="N34" s="94">
        <f>M34*(1+N$7)</f>
        <v>7199.1753600000011</v>
      </c>
      <c r="O34" s="89">
        <f t="shared" ref="O34:S34" si="25">N34*(1+O$7)</f>
        <v>7170.378658560001</v>
      </c>
      <c r="P34" s="89">
        <f t="shared" si="25"/>
        <v>7693.0992627690248</v>
      </c>
      <c r="Q34" s="89">
        <f t="shared" si="25"/>
        <v>7930.0467200623107</v>
      </c>
      <c r="R34" s="89">
        <f t="shared" si="25"/>
        <v>8413.7795699861108</v>
      </c>
      <c r="S34" s="95">
        <f t="shared" si="25"/>
        <v>8750.3307527855559</v>
      </c>
    </row>
    <row r="35" spans="1:19" x14ac:dyDescent="0.15">
      <c r="C35" s="48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96"/>
      <c r="O35" s="57"/>
      <c r="P35" s="57"/>
      <c r="Q35" s="57"/>
      <c r="R35" s="57"/>
      <c r="S35" s="97"/>
    </row>
    <row r="36" spans="1:19" x14ac:dyDescent="0.15">
      <c r="A36" t="s">
        <v>241</v>
      </c>
      <c r="C36" s="2" t="s">
        <v>242</v>
      </c>
      <c r="D36" s="39">
        <f>IFERROR(
INDEX('Olin Raw'!$B$6:$K$33,
MATCH(TRIM($A36),'Olin Raw'!$M$6:$M$33,0),
MATCH(D$32,'Olin Raw'!$B$3:$K$3,0)
),"")</f>
        <v>4923.3</v>
      </c>
      <c r="E36" s="39">
        <f>IFERROR(
INDEX('Olin Raw'!$B$6:$K$33,
MATCH(TRIM($A36),'Olin Raw'!$M$6:$M$33,0),
MATCH(E$32,'Olin Raw'!$B$3:$K$3,0)
),"")</f>
        <v>5539.6</v>
      </c>
      <c r="F36" s="39">
        <f>IFERROR(
INDEX('Olin Raw'!$B$6:$K$33,
MATCH(TRIM($A36),'Olin Raw'!$M$6:$M$33,0),
MATCH(F$32,'Olin Raw'!$B$3:$K$3,0)
),"")</f>
        <v>5933.1</v>
      </c>
      <c r="G36" s="39">
        <f>IFERROR(
INDEX('Olin Raw'!$B$6:$K$33,
MATCH(TRIM($A36),'Olin Raw'!$M$6:$M$33,0),
MATCH(G$32,'Olin Raw'!$B$3:$K$3,0)
),"")</f>
        <v>5444</v>
      </c>
      <c r="H36" s="39">
        <f>IFERROR(
INDEX('Olin Raw'!$B$6:$K$33,
MATCH(TRIM($A36),'Olin Raw'!$M$6:$M$33,0),
MATCH(H$32,'Olin Raw'!$B$3:$K$3,0)
),"")</f>
        <v>5374.6</v>
      </c>
      <c r="I36" s="39">
        <f>IFERROR(
INDEX('Olin Raw'!$B$6:$K$33,
MATCH(TRIM($A36),'Olin Raw'!$M$6:$M$33,0),
MATCH(I$32,'Olin Raw'!$B$3:$K$3,0)
),"")</f>
        <v>6618.6</v>
      </c>
      <c r="J36" s="39">
        <f>IFERROR(
INDEX('Olin Raw'!$B$6:$K$33,
MATCH(TRIM($A36),'Olin Raw'!$M$6:$M$33,0),
MATCH(J$32,'Olin Raw'!$B$3:$K$3,0)
),"")</f>
        <v>7195.3</v>
      </c>
      <c r="K36" s="39">
        <f>IFERROR(
INDEX('Olin Raw'!$B$6:$K$33,
MATCH(TRIM($A36),'Olin Raw'!$M$6:$M$33,0),
MATCH(K$32,'Olin Raw'!$B$3:$K$3,0)
),"")</f>
        <v>5643.8</v>
      </c>
      <c r="L36" s="39">
        <f>IFERROR(
INDEX('Olin Raw'!$B$6:$K$33,
MATCH(TRIM($A36),'Olin Raw'!$M$6:$M$33,0),
MATCH(L$32,'Olin Raw'!$B$3:$K$3,0)
),"")</f>
        <v>5772.4</v>
      </c>
      <c r="M36" s="39">
        <f>IFERROR(
INDEX('Olin Raw'!$B$6:$K$33,
MATCH(TRIM($A36),'Olin Raw'!$M$6:$M$33,0),
MATCH(M$32,'Olin Raw'!$B$3:$K$3,0)
),"")</f>
        <v>6254.8</v>
      </c>
      <c r="N36" s="98">
        <f>N34*(1-N$8)</f>
        <v>6529.6520515200009</v>
      </c>
      <c r="O36" s="39">
        <f t="shared" ref="O36:S36" si="26">O34*(1-O$8)</f>
        <v>6365.1451352037129</v>
      </c>
      <c r="P36" s="39">
        <f t="shared" si="26"/>
        <v>6564.5216009208089</v>
      </c>
      <c r="Q36" s="39">
        <f t="shared" si="26"/>
        <v>6547.0465720834436</v>
      </c>
      <c r="R36" s="39">
        <f t="shared" si="26"/>
        <v>6662.8720414720019</v>
      </c>
      <c r="S36" s="99">
        <f t="shared" si="26"/>
        <v>6744.7549442471072</v>
      </c>
    </row>
    <row r="37" spans="1:19" x14ac:dyDescent="0.15">
      <c r="A37" t="s">
        <v>93</v>
      </c>
      <c r="C37" t="s">
        <v>93</v>
      </c>
      <c r="D37" s="39">
        <f>IFERROR(
INDEX('Olin Raw'!$B$6:$K$33,
MATCH(TRIM($A37),'Olin Raw'!$M$6:$M$33,0),
MATCH(D$32,'Olin Raw'!$B$3:$K$3,0)
),"")</f>
        <v>627.29999999999995</v>
      </c>
      <c r="E37" s="39">
        <f>IFERROR(
INDEX('Olin Raw'!$B$6:$K$33,
MATCH(TRIM($A37),'Olin Raw'!$M$6:$M$33,0),
MATCH(E$32,'Olin Raw'!$B$3:$K$3,0)
),"")</f>
        <v>728.8</v>
      </c>
      <c r="F37" s="39">
        <f>IFERROR(
INDEX('Olin Raw'!$B$6:$K$33,
MATCH(TRIM($A37),'Olin Raw'!$M$6:$M$33,0),
MATCH(F$32,'Olin Raw'!$B$3:$K$3,0)
),"")</f>
        <v>1013</v>
      </c>
      <c r="G37" s="39">
        <f>IFERROR(
INDEX('Olin Raw'!$B$6:$K$33,
MATCH(TRIM($A37),'Olin Raw'!$M$6:$M$33,0),
MATCH(G$32,'Olin Raw'!$B$3:$K$3,0)
),"")</f>
        <v>666</v>
      </c>
      <c r="H37" s="39">
        <f>IFERROR(
INDEX('Olin Raw'!$B$6:$K$33,
MATCH(TRIM($A37),'Olin Raw'!$M$6:$M$33,0),
MATCH(H$32,'Olin Raw'!$B$3:$K$3,0)
),"")</f>
        <v>383.4</v>
      </c>
      <c r="I37" s="39">
        <f>IFERROR(
INDEX('Olin Raw'!$B$6:$K$33,
MATCH(TRIM($A37),'Olin Raw'!$M$6:$M$33,0),
MATCH(I$32,'Olin Raw'!$B$3:$K$3,0)
),"")</f>
        <v>2292</v>
      </c>
      <c r="J37" s="39">
        <f>IFERROR(
INDEX('Olin Raw'!$B$6:$K$33,
MATCH(TRIM($A37),'Olin Raw'!$M$6:$M$33,0),
MATCH(J$32,'Olin Raw'!$B$3:$K$3,0)
),"")</f>
        <v>2180.9</v>
      </c>
      <c r="K37" s="39">
        <f>IFERROR(
INDEX('Olin Raw'!$B$6:$K$33,
MATCH(TRIM($A37),'Olin Raw'!$M$6:$M$33,0),
MATCH(K$32,'Olin Raw'!$B$3:$K$3,0)
),"")</f>
        <v>1189.2</v>
      </c>
      <c r="L37" s="39">
        <f>IFERROR(
INDEX('Olin Raw'!$B$6:$K$33,
MATCH(TRIM($A37),'Olin Raw'!$M$6:$M$33,0),
MATCH(L$32,'Olin Raw'!$B$3:$K$3,0)
),"")</f>
        <v>767.7</v>
      </c>
      <c r="M37" s="39">
        <f>IFERROR(
INDEX('Olin Raw'!$B$6:$K$33,
MATCH(TRIM($A37),'Olin Raw'!$M$6:$M$33,0),
MATCH(M$32,'Olin Raw'!$B$3:$K$3,0)
),"")</f>
        <v>526</v>
      </c>
      <c r="N37" s="98">
        <f>N$34-N$36</f>
        <v>669.5233084800002</v>
      </c>
      <c r="O37" s="39">
        <f t="shared" ref="O37:S37" si="27">O$34-O$36</f>
        <v>805.23352335628806</v>
      </c>
      <c r="P37" s="39">
        <f t="shared" si="27"/>
        <v>1128.5776618482159</v>
      </c>
      <c r="Q37" s="39">
        <f t="shared" si="27"/>
        <v>1383.0001479788671</v>
      </c>
      <c r="R37" s="39">
        <f t="shared" si="27"/>
        <v>1750.9075285141089</v>
      </c>
      <c r="S37" s="99">
        <f t="shared" si="27"/>
        <v>2005.5758085384487</v>
      </c>
    </row>
    <row r="38" spans="1:19" x14ac:dyDescent="0.15">
      <c r="A38" t="s">
        <v>243</v>
      </c>
      <c r="C38" s="2" t="s">
        <v>230</v>
      </c>
      <c r="D38" s="39">
        <f>IFERROR(
INDEX('Olin Raw'!$B$6:$K$33,
MATCH(TRIM($A38),'Olin Raw'!$M$6:$M$33,0),
MATCH(D$32,'Olin Raw'!$B$3:$K$3,0)
),"")</f>
        <v>312.10000000000002</v>
      </c>
      <c r="E38" s="39">
        <f>IFERROR(
INDEX('Olin Raw'!$B$6:$K$33,
MATCH(TRIM($A38),'Olin Raw'!$M$6:$M$33,0),
MATCH(E$32,'Olin Raw'!$B$3:$K$3,0)
),"")</f>
        <v>352.5</v>
      </c>
      <c r="F38" s="39">
        <f>IFERROR(
INDEX('Olin Raw'!$B$6:$K$33,
MATCH(TRIM($A38),'Olin Raw'!$M$6:$M$33,0),
MATCH(F$32,'Olin Raw'!$B$3:$K$3,0)
),"")</f>
        <v>425.2</v>
      </c>
      <c r="G38" s="39">
        <f>IFERROR(
INDEX('Olin Raw'!$B$6:$K$33,
MATCH(TRIM($A38),'Olin Raw'!$M$6:$M$33,0),
MATCH(G$32,'Olin Raw'!$B$3:$K$3,0)
),"")</f>
        <v>412.9</v>
      </c>
      <c r="H38" s="39">
        <f>IFERROR(
INDEX('Olin Raw'!$B$6:$K$33,
MATCH(TRIM($A38),'Olin Raw'!$M$6:$M$33,0),
MATCH(H$32,'Olin Raw'!$B$3:$K$3,0)
),"")</f>
        <v>422</v>
      </c>
      <c r="I38" s="39">
        <f>IFERROR(
INDEX('Olin Raw'!$B$6:$K$33,
MATCH(TRIM($A38),'Olin Raw'!$M$6:$M$33,0),
MATCH(I$32,'Olin Raw'!$B$3:$K$3,0)
),"")</f>
        <v>416.9</v>
      </c>
      <c r="J38" s="39">
        <f>IFERROR(
INDEX('Olin Raw'!$B$6:$K$33,
MATCH(TRIM($A38),'Olin Raw'!$M$6:$M$33,0),
MATCH(J$32,'Olin Raw'!$B$3:$K$3,0)
),"")</f>
        <v>375.6</v>
      </c>
      <c r="K38" s="39">
        <f>IFERROR(
INDEX('Olin Raw'!$B$6:$K$33,
MATCH(TRIM($A38),'Olin Raw'!$M$6:$M$33,0),
MATCH(K$32,'Olin Raw'!$B$3:$K$3,0)
),"")</f>
        <v>386.7</v>
      </c>
      <c r="L38" s="39">
        <f>IFERROR(
INDEX('Olin Raw'!$B$6:$K$33,
MATCH(TRIM($A38),'Olin Raw'!$M$6:$M$33,0),
MATCH(L$32,'Olin Raw'!$B$3:$K$3,0)
),"")</f>
        <v>390.1</v>
      </c>
      <c r="M38" s="39">
        <f>IFERROR(
INDEX('Olin Raw'!$B$6:$K$33,
MATCH(TRIM($A38),'Olin Raw'!$M$6:$M$33,0),
MATCH(M$32,'Olin Raw'!$B$3:$K$3,0)
),"")</f>
        <v>444</v>
      </c>
      <c r="N38" s="98">
        <f t="shared" ref="N38:S38" si="28">N$34*N$9</f>
        <v>471.39480000000009</v>
      </c>
      <c r="O38" s="39">
        <f t="shared" si="28"/>
        <v>469.50922080000009</v>
      </c>
      <c r="P38" s="39">
        <f t="shared" si="28"/>
        <v>503.73644299632008</v>
      </c>
      <c r="Q38" s="39">
        <f t="shared" si="28"/>
        <v>519.25152544060677</v>
      </c>
      <c r="R38" s="39">
        <f t="shared" si="28"/>
        <v>550.92586849248369</v>
      </c>
      <c r="S38" s="99">
        <f t="shared" si="28"/>
        <v>572.96290323218307</v>
      </c>
    </row>
    <row r="39" spans="1:19" x14ac:dyDescent="0.15">
      <c r="A39" t="s">
        <v>244</v>
      </c>
      <c r="C39" s="2" t="s">
        <v>231</v>
      </c>
      <c r="D39" s="39">
        <f>IFERROR(
INDEX('Olin Raw'!$B$6:$K$33,
MATCH(TRIM($A39),'Olin Raw'!$M$6:$M$33,0),
MATCH(D$32,'Olin Raw'!$B$3:$K$3,0)
),"")</f>
        <v>0</v>
      </c>
      <c r="E39" s="39">
        <f>IFERROR(
INDEX('Olin Raw'!$B$6:$K$33,
MATCH(TRIM($A39),'Olin Raw'!$M$6:$M$33,0),
MATCH(E$32,'Olin Raw'!$B$3:$K$3,0)
),"")</f>
        <v>0</v>
      </c>
      <c r="F39" s="39">
        <f>IFERROR(
INDEX('Olin Raw'!$B$6:$K$33,
MATCH(TRIM($A39),'Olin Raw'!$M$6:$M$33,0),
MATCH(F$32,'Olin Raw'!$B$3:$K$3,0)
),"")</f>
        <v>0</v>
      </c>
      <c r="G39" s="39">
        <f>IFERROR(
INDEX('Olin Raw'!$B$6:$K$33,
MATCH(TRIM($A39),'Olin Raw'!$M$6:$M$33,0),
MATCH(G$32,'Olin Raw'!$B$3:$K$3,0)
),"")</f>
        <v>0</v>
      </c>
      <c r="H39" s="39">
        <f>IFERROR(
INDEX('Olin Raw'!$B$6:$K$33,
MATCH(TRIM($A39),'Olin Raw'!$M$6:$M$33,0),
MATCH(H$32,'Olin Raw'!$B$3:$K$3,0)
),"")</f>
        <v>0</v>
      </c>
      <c r="I39" s="39">
        <f>IFERROR(
INDEX('Olin Raw'!$B$6:$K$33,
MATCH(TRIM($A39),'Olin Raw'!$M$6:$M$33,0),
MATCH(I$32,'Olin Raw'!$B$3:$K$3,0)
),"")</f>
        <v>0</v>
      </c>
      <c r="J39" s="39">
        <f>IFERROR(
INDEX('Olin Raw'!$B$6:$K$33,
MATCH(TRIM($A39),'Olin Raw'!$M$6:$M$33,0),
MATCH(J$32,'Olin Raw'!$B$3:$K$3,0)
),"")</f>
        <v>18.3</v>
      </c>
      <c r="K39" s="39">
        <f>IFERROR(
INDEX('Olin Raw'!$B$6:$K$33,
MATCH(TRIM($A39),'Olin Raw'!$M$6:$M$33,0),
MATCH(K$32,'Olin Raw'!$B$3:$K$3,0)
),"")</f>
        <v>20</v>
      </c>
      <c r="L39" s="39">
        <f>IFERROR(
INDEX('Olin Raw'!$B$6:$K$33,
MATCH(TRIM($A39),'Olin Raw'!$M$6:$M$33,0),
MATCH(L$32,'Olin Raw'!$B$3:$K$3,0)
),"")</f>
        <v>18.399999999999999</v>
      </c>
      <c r="M39" s="39">
        <f>IFERROR(
INDEX('Olin Raw'!$B$6:$K$33,
MATCH(TRIM($A39),'Olin Raw'!$M$6:$M$33,0),
MATCH(M$32,'Olin Raw'!$B$3:$K$3,0)
),"")</f>
        <v>19.3</v>
      </c>
      <c r="N39" s="98">
        <f t="shared" ref="N39:S39" si="29">N$34*N$10</f>
        <v>20.490810000000003</v>
      </c>
      <c r="O39" s="39">
        <f t="shared" si="29"/>
        <v>20.408846760000003</v>
      </c>
      <c r="P39" s="39">
        <f t="shared" si="29"/>
        <v>21.896651688804003</v>
      </c>
      <c r="Q39" s="39">
        <f t="shared" si="29"/>
        <v>22.571068560819164</v>
      </c>
      <c r="R39" s="39">
        <f t="shared" si="29"/>
        <v>23.94790374302913</v>
      </c>
      <c r="S39" s="99">
        <f t="shared" si="29"/>
        <v>24.905819892750298</v>
      </c>
    </row>
    <row r="40" spans="1:19" x14ac:dyDescent="0.15">
      <c r="A40" t="s">
        <v>245</v>
      </c>
      <c r="C40" s="2" t="s">
        <v>240</v>
      </c>
      <c r="D40" s="355" t="s">
        <v>461</v>
      </c>
      <c r="E40" s="355"/>
      <c r="F40" s="355"/>
      <c r="G40" s="355"/>
      <c r="H40" s="355"/>
      <c r="I40" s="355"/>
      <c r="J40" s="355"/>
      <c r="K40" s="355"/>
      <c r="L40" s="355"/>
      <c r="M40" s="355"/>
      <c r="N40" s="3"/>
      <c r="S40" s="5"/>
    </row>
    <row r="41" spans="1:19" x14ac:dyDescent="0.15">
      <c r="A41" t="s">
        <v>246</v>
      </c>
      <c r="C41" s="2" t="s">
        <v>246</v>
      </c>
      <c r="D41" s="39">
        <f>IFERROR(
INDEX('Olin Raw'!$B$6:$K$33,
MATCH(TRIM($A41),'Olin Raw'!$M$6:$M$33,0),
MATCH(D$32,'Olin Raw'!$B$3:$K$3,0)
),"")</f>
        <v>161.69999999999999</v>
      </c>
      <c r="E41" s="39">
        <f>IFERROR(
INDEX('Olin Raw'!$B$6:$K$33,
MATCH(TRIM($A41),'Olin Raw'!$M$6:$M$33,0),
MATCH(E$32,'Olin Raw'!$B$3:$K$3,0)
),"")</f>
        <v>50.4</v>
      </c>
      <c r="F41" s="39">
        <f>IFERROR(
INDEX('Olin Raw'!$B$6:$K$33,
MATCH(TRIM($A41),'Olin Raw'!$M$6:$M$33,0),
MATCH(F$32,'Olin Raw'!$B$3:$K$3,0)
),"")</f>
        <v>-88.1</v>
      </c>
      <c r="G41" s="39">
        <f>IFERROR(
INDEX('Olin Raw'!$B$6:$K$33,
MATCH(TRIM($A41),'Olin Raw'!$M$6:$M$33,0),
MATCH(G$32,'Olin Raw'!$B$3:$K$3,0)
),"")</f>
        <v>71.7</v>
      </c>
      <c r="H41" s="39">
        <f>IFERROR(
INDEX('Olin Raw'!$B$6:$K$33,
MATCH(TRIM($A41),'Olin Raw'!$M$6:$M$33,0),
MATCH(H$32,'Olin Raw'!$B$3:$K$3,0)
),"")</f>
        <v>708</v>
      </c>
      <c r="I41" s="39">
        <f>IFERROR(
INDEX('Olin Raw'!$B$6:$K$33,
MATCH(TRIM($A41),'Olin Raw'!$M$6:$M$33,0),
MATCH(I$32,'Olin Raw'!$B$3:$K$3,0)
),"")</f>
        <v>24.3</v>
      </c>
      <c r="J41" s="39">
        <f>IFERROR(
INDEX('Olin Raw'!$B$6:$K$33,
MATCH(TRIM($A41),'Olin Raw'!$M$6:$M$33,0),
MATCH(J$32,'Olin Raw'!$B$3:$K$3,0)
),"")</f>
        <v>11.3</v>
      </c>
      <c r="K41" s="39">
        <f>IFERROR(
INDEX('Olin Raw'!$B$6:$K$33,
MATCH(TRIM($A41),'Olin Raw'!$M$6:$M$33,0),
MATCH(K$32,'Olin Raw'!$B$3:$K$3,0)
),"")</f>
        <v>70.7</v>
      </c>
      <c r="L41" s="39">
        <f>IFERROR(
INDEX('Olin Raw'!$B$6:$K$33,
MATCH(TRIM($A41),'Olin Raw'!$M$6:$M$33,0),
MATCH(L$32,'Olin Raw'!$B$3:$K$3,0)
),"")</f>
        <v>63.5</v>
      </c>
      <c r="M41" s="39">
        <f>IFERROR(
INDEX('Olin Raw'!$B$6:$K$33,
MATCH(TRIM($A41),'Olin Raw'!$M$6:$M$33,0),
MATCH(M$32,'Olin Raw'!$B$3:$K$3,0)
),"")</f>
        <v>57.9</v>
      </c>
      <c r="N41" s="104">
        <v>0</v>
      </c>
      <c r="O41" s="50">
        <v>0</v>
      </c>
      <c r="P41" s="50">
        <v>0</v>
      </c>
      <c r="Q41" s="50">
        <v>0</v>
      </c>
      <c r="R41" s="50">
        <v>0</v>
      </c>
      <c r="S41" s="105">
        <v>0</v>
      </c>
    </row>
    <row r="42" spans="1:19" x14ac:dyDescent="0.15">
      <c r="A42" t="s">
        <v>247</v>
      </c>
      <c r="C42" s="2" t="s">
        <v>248</v>
      </c>
      <c r="D42" s="39">
        <f>IFERROR(
INDEX('Olin Raw'!$B$6:$K$33,
MATCH(TRIM($A42),'Olin Raw'!$M$6:$M$33,0),
MATCH(D$32,'Olin Raw'!$B$3:$K$3,0)
),"")</f>
        <v>-10.6</v>
      </c>
      <c r="E42" s="39">
        <f>IFERROR(
INDEX('Olin Raw'!$B$6:$K$33,
MATCH(TRIM($A42),'Olin Raw'!$M$6:$M$33,0),
MATCH(E$32,'Olin Raw'!$B$3:$K$3,0)
),"")</f>
        <v>-3.3</v>
      </c>
      <c r="F42" s="39">
        <f>IFERROR(
INDEX('Olin Raw'!$B$6:$K$33,
MATCH(TRIM($A42),'Olin Raw'!$M$6:$M$33,0),
MATCH(F$32,'Olin Raw'!$B$3:$K$3,0)
),"")</f>
        <v>-6.4</v>
      </c>
      <c r="G42" s="39">
        <f>IFERROR(
INDEX('Olin Raw'!$B$6:$K$33,
MATCH(TRIM($A42),'Olin Raw'!$M$6:$M$33,0),
MATCH(G$32,'Olin Raw'!$B$3:$K$3,0)
),"")</f>
        <v>-0.4</v>
      </c>
      <c r="H42" s="39">
        <f>IFERROR(
INDEX('Olin Raw'!$B$6:$K$33,
MATCH(TRIM($A42),'Olin Raw'!$M$6:$M$33,0),
MATCH(H$32,'Olin Raw'!$B$3:$K$3,0)
),"")</f>
        <v>0.1</v>
      </c>
      <c r="I42" s="39">
        <f>IFERROR(
INDEX('Olin Raw'!$B$6:$K$33,
MATCH(TRIM($A42),'Olin Raw'!$M$6:$M$33,0),
MATCH(I$32,'Olin Raw'!$B$3:$K$3,0)
),"")</f>
        <v>0</v>
      </c>
      <c r="J42" s="39">
        <f>IFERROR(
INDEX('Olin Raw'!$B$6:$K$33,
MATCH(TRIM($A42),'Olin Raw'!$M$6:$M$33,0),
MATCH(J$32,'Olin Raw'!$B$3:$K$3,0)
),"")</f>
        <v>-3.3</v>
      </c>
      <c r="K42" s="39">
        <f>IFERROR(
INDEX('Olin Raw'!$B$6:$K$33,
MATCH(TRIM($A42),'Olin Raw'!$M$6:$M$33,0),
MATCH(K$32,'Olin Raw'!$B$3:$K$3,0)
),"")</f>
        <v>-0.3</v>
      </c>
      <c r="L42" s="39">
        <f>IFERROR(
INDEX('Olin Raw'!$B$6:$K$33,
MATCH(TRIM($A42),'Olin Raw'!$M$6:$M$33,0),
MATCH(L$32,'Olin Raw'!$B$3:$K$3,0)
),"")</f>
        <v>-0.8</v>
      </c>
      <c r="M42" s="39">
        <f>IFERROR(
INDEX('Olin Raw'!$B$6:$K$33,
MATCH(TRIM($A42),'Olin Raw'!$M$6:$M$33,0),
MATCH(M$32,'Olin Raw'!$B$3:$K$3,0)
),"")</f>
        <v>-0.5</v>
      </c>
      <c r="N42" s="100">
        <f t="shared" ref="N42:S42" si="30">N$11*N$34</f>
        <v>-0.53085000000000004</v>
      </c>
      <c r="O42" s="53">
        <f t="shared" si="30"/>
        <v>0</v>
      </c>
      <c r="P42" s="53">
        <f t="shared" si="30"/>
        <v>0</v>
      </c>
      <c r="Q42" s="53">
        <f t="shared" si="30"/>
        <v>0</v>
      </c>
      <c r="R42" s="53">
        <f t="shared" si="30"/>
        <v>0</v>
      </c>
      <c r="S42" s="101">
        <f t="shared" si="30"/>
        <v>0</v>
      </c>
    </row>
    <row r="43" spans="1:19" x14ac:dyDescent="0.15">
      <c r="A43" t="s">
        <v>100</v>
      </c>
      <c r="C43" t="s">
        <v>553</v>
      </c>
      <c r="D43" s="39">
        <f>IFERROR(
INDEX('Olin Raw'!$B$6:$K$33,
MATCH(TRIM($A43),'Olin Raw'!$M$6:$M$33,0),
MATCH(D$32,'Olin Raw'!$B$3:$K$3,0)
),"")</f>
        <v>5398</v>
      </c>
      <c r="E43" s="39">
        <f>IFERROR(
INDEX('Olin Raw'!$B$6:$K$33,
MATCH(TRIM($A43),'Olin Raw'!$M$6:$M$33,0),
MATCH(E$32,'Olin Raw'!$B$3:$K$3,0)
),"")</f>
        <v>5937.4</v>
      </c>
      <c r="F43" s="39">
        <f>IFERROR(
INDEX('Olin Raw'!$B$6:$K$33,
MATCH(TRIM($A43),'Olin Raw'!$M$6:$M$33,0),
MATCH(F$32,'Olin Raw'!$B$3:$K$3,0)
),"")</f>
        <v>6269.2</v>
      </c>
      <c r="G43" s="39">
        <f>IFERROR(
INDEX('Olin Raw'!$B$6:$K$33,
MATCH(TRIM($A43),'Olin Raw'!$M$6:$M$33,0),
MATCH(G$32,'Olin Raw'!$B$3:$K$3,0)
),"")</f>
        <v>5932.2</v>
      </c>
      <c r="H43" s="39">
        <f>IFERROR(
INDEX('Olin Raw'!$B$6:$K$33,
MATCH(TRIM($A43),'Olin Raw'!$M$6:$M$33,0),
MATCH(H$32,'Olin Raw'!$B$3:$K$3,0)
),"")</f>
        <v>6504.7</v>
      </c>
      <c r="I43" s="39">
        <f>IFERROR(
INDEX('Olin Raw'!$B$6:$K$33,
MATCH(TRIM($A43),'Olin Raw'!$M$6:$M$33,0),
MATCH(I$32,'Olin Raw'!$B$3:$K$3,0)
),"")</f>
        <v>7059.8</v>
      </c>
      <c r="J43" s="39">
        <f>IFERROR(
INDEX('Olin Raw'!$B$6:$K$33,
MATCH(TRIM($A43),'Olin Raw'!$M$6:$M$33,0),
MATCH(J$32,'Olin Raw'!$B$3:$K$3,0)
),"")</f>
        <v>7597.2</v>
      </c>
      <c r="K43" s="39">
        <f>IFERROR(
INDEX('Olin Raw'!$B$6:$K$33,
MATCH(TRIM($A43),'Olin Raw'!$M$6:$M$33,0),
MATCH(K$32,'Olin Raw'!$B$3:$K$3,0)
),"")</f>
        <v>6120.9</v>
      </c>
      <c r="L43" s="39">
        <f>IFERROR(
INDEX('Olin Raw'!$B$6:$K$33,
MATCH(TRIM($A43),'Olin Raw'!$M$6:$M$33,0),
MATCH(L$32,'Olin Raw'!$B$3:$K$3,0)
),"")</f>
        <v>6243.6</v>
      </c>
      <c r="M43" s="39">
        <f>IFERROR(
INDEX('Olin Raw'!$B$6:$K$33,
MATCH(TRIM($A43),'Olin Raw'!$M$6:$M$33,0),
MATCH(M$32,'Olin Raw'!$B$3:$K$3,0)
),"")</f>
        <v>6775.5</v>
      </c>
      <c r="N43" s="98">
        <f>SUM(N$38:N$42)+N36</f>
        <v>7021.0068115200011</v>
      </c>
      <c r="O43" s="39">
        <f t="shared" ref="O43:S43" si="31">SUM(O$38:O$42)+O36</f>
        <v>6855.063202763713</v>
      </c>
      <c r="P43" s="39">
        <f t="shared" si="31"/>
        <v>7090.1546956059328</v>
      </c>
      <c r="Q43" s="39">
        <f t="shared" si="31"/>
        <v>7088.8691660848699</v>
      </c>
      <c r="R43" s="39">
        <f t="shared" si="31"/>
        <v>7237.7458137075146</v>
      </c>
      <c r="S43" s="99">
        <f t="shared" si="31"/>
        <v>7342.6236673720405</v>
      </c>
    </row>
    <row r="44" spans="1:19" x14ac:dyDescent="0.15">
      <c r="A44" t="s">
        <v>101</v>
      </c>
      <c r="C44" s="88" t="s">
        <v>101</v>
      </c>
      <c r="D44" s="89">
        <f>IFERROR(
INDEX('Olin Raw'!$B$6:$K$33,
MATCH(TRIM($A44),'Olin Raw'!$M$6:$M$33,0),
MATCH(D$32,'Olin Raw'!$B$3:$K$3,0)
),"")</f>
        <v>152.6</v>
      </c>
      <c r="E44" s="89">
        <f>IFERROR(
INDEX('Olin Raw'!$B$6:$K$33,
MATCH(TRIM($A44),'Olin Raw'!$M$6:$M$33,0),
MATCH(E$32,'Olin Raw'!$B$3:$K$3,0)
),"")</f>
        <v>331</v>
      </c>
      <c r="F44" s="89">
        <f>IFERROR(
INDEX('Olin Raw'!$B$6:$K$33,
MATCH(TRIM($A44),'Olin Raw'!$M$6:$M$33,0),
MATCH(F$32,'Olin Raw'!$B$3:$K$3,0)
),"")</f>
        <v>676.9</v>
      </c>
      <c r="G44" s="89">
        <f>IFERROR(
INDEX('Olin Raw'!$B$6:$K$33,
MATCH(TRIM($A44),'Olin Raw'!$M$6:$M$33,0),
MATCH(G$32,'Olin Raw'!$B$3:$K$3,0)
),"")</f>
        <v>177.8</v>
      </c>
      <c r="H44" s="89">
        <f>IFERROR(
INDEX('Olin Raw'!$B$6:$K$33,
MATCH(TRIM($A44),'Olin Raw'!$M$6:$M$33,0),
MATCH(H$32,'Olin Raw'!$B$3:$K$3,0)
),"")</f>
        <v>-746.7</v>
      </c>
      <c r="I44" s="89">
        <f>IFERROR(
INDEX('Olin Raw'!$B$6:$K$33,
MATCH(TRIM($A44),'Olin Raw'!$M$6:$M$33,0),
MATCH(I$32,'Olin Raw'!$B$3:$K$3,0)
),"")</f>
        <v>1850.8</v>
      </c>
      <c r="J44" s="89">
        <f>IFERROR(
INDEX('Olin Raw'!$B$6:$K$33,
MATCH(TRIM($A44),'Olin Raw'!$M$6:$M$33,0),
MATCH(J$32,'Olin Raw'!$B$3:$K$3,0)
),"")</f>
        <v>1779</v>
      </c>
      <c r="K44" s="89">
        <f>IFERROR(
INDEX('Olin Raw'!$B$6:$K$33,
MATCH(TRIM($A44),'Olin Raw'!$M$6:$M$33,0),
MATCH(K$32,'Olin Raw'!$B$3:$K$3,0)
),"")</f>
        <v>712.1</v>
      </c>
      <c r="L44" s="89">
        <f>IFERROR(
INDEX('Olin Raw'!$B$6:$K$33,
MATCH(TRIM($A44),'Olin Raw'!$M$6:$M$33,0),
MATCH(L$32,'Olin Raw'!$B$3:$K$3,0)
),"")</f>
        <v>296.5</v>
      </c>
      <c r="M44" s="89">
        <f>IFERROR(
INDEX('Olin Raw'!$B$6:$K$33,
MATCH(TRIM($A44),'Olin Raw'!$M$6:$M$33,0),
MATCH(M$32,'Olin Raw'!$B$3:$K$3,0)
),"")</f>
        <v>5.3</v>
      </c>
      <c r="N44" s="94">
        <f>N$34-N$43</f>
        <v>178.16854848000003</v>
      </c>
      <c r="O44" s="89">
        <f t="shared" ref="O44:S44" si="32">O$34-O$43</f>
        <v>315.31545579628801</v>
      </c>
      <c r="P44" s="89">
        <f t="shared" si="32"/>
        <v>602.94456716309196</v>
      </c>
      <c r="Q44" s="89">
        <f t="shared" si="32"/>
        <v>841.17755397744077</v>
      </c>
      <c r="R44" s="89">
        <f t="shared" si="32"/>
        <v>1176.0337562785962</v>
      </c>
      <c r="S44" s="95">
        <f t="shared" si="32"/>
        <v>1407.7070854135154</v>
      </c>
    </row>
    <row r="45" spans="1:19" x14ac:dyDescent="0.1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96"/>
      <c r="O45" s="57"/>
      <c r="P45" s="57"/>
      <c r="Q45" s="57"/>
      <c r="R45" s="57"/>
      <c r="S45" s="97"/>
    </row>
    <row r="46" spans="1:19" x14ac:dyDescent="0.15">
      <c r="A46" t="s">
        <v>249</v>
      </c>
      <c r="C46" s="2" t="s">
        <v>250</v>
      </c>
      <c r="D46" s="39">
        <f>IFERROR(
INDEX('Olin Raw'!$B$6:$K$33,
MATCH(TRIM($A46),'Olin Raw'!$M$6:$M$33,0),
MATCH(D$32,'Olin Raw'!$B$3:$K$3,0)
),"")</f>
        <v>-186.8</v>
      </c>
      <c r="E46" s="39">
        <f>IFERROR(
INDEX('Olin Raw'!$B$6:$K$33,
MATCH(TRIM($A46),'Olin Raw'!$M$6:$M$33,0),
MATCH(E$32,'Olin Raw'!$B$3:$K$3,0)
),"")</f>
        <v>-213.8</v>
      </c>
      <c r="F46" s="39">
        <f>IFERROR(
INDEX('Olin Raw'!$B$6:$K$33,
MATCH(TRIM($A46),'Olin Raw'!$M$6:$M$33,0),
MATCH(F$32,'Olin Raw'!$B$3:$K$3,0)
),"")</f>
        <v>-261.3</v>
      </c>
      <c r="G46" s="39">
        <f>IFERROR(
INDEX('Olin Raw'!$B$6:$K$33,
MATCH(TRIM($A46),'Olin Raw'!$M$6:$M$33,0),
MATCH(G$32,'Olin Raw'!$B$3:$K$3,0)
),"")</f>
        <v>-242.2</v>
      </c>
      <c r="H46" s="39">
        <f>IFERROR(
INDEX('Olin Raw'!$B$6:$K$33,
MATCH(TRIM($A46),'Olin Raw'!$M$6:$M$33,0),
MATCH(H$32,'Olin Raw'!$B$3:$K$3,0)
),"")</f>
        <v>-288.2</v>
      </c>
      <c r="I46" s="39">
        <f>IFERROR(
INDEX('Olin Raw'!$B$6:$K$33,
MATCH(TRIM($A46),'Olin Raw'!$M$6:$M$33,0),
MATCH(I$32,'Olin Raw'!$B$3:$K$3,0)
),"")</f>
        <v>-347.8</v>
      </c>
      <c r="J46" s="39">
        <f>IFERROR(
INDEX('Olin Raw'!$B$6:$K$33,
MATCH(TRIM($A46),'Olin Raw'!$M$6:$M$33,0),
MATCH(J$32,'Olin Raw'!$B$3:$K$3,0)
),"")</f>
        <v>-141.69999999999999</v>
      </c>
      <c r="K46" s="39">
        <f>IFERROR(
INDEX('Olin Raw'!$B$6:$K$33,
MATCH(TRIM($A46),'Olin Raw'!$M$6:$M$33,0),
MATCH(K$32,'Olin Raw'!$B$3:$K$3,0)
),"")</f>
        <v>-176.8</v>
      </c>
      <c r="L46" s="39">
        <f>IFERROR(
INDEX('Olin Raw'!$B$6:$K$33,
MATCH(TRIM($A46),'Olin Raw'!$M$6:$M$33,0),
MATCH(L$32,'Olin Raw'!$B$3:$K$3,0)
),"")</f>
        <v>-180.8</v>
      </c>
      <c r="M46" s="39">
        <f>IFERROR(
INDEX('Olin Raw'!$B$6:$K$33,
MATCH(TRIM($A46),'Olin Raw'!$M$6:$M$33,0),
MATCH(M$32,'Olin Raw'!$B$3:$K$3,0)
),"")</f>
        <v>-187</v>
      </c>
      <c r="N46" s="98">
        <f ca="1">'Olin Debt'!D$46</f>
        <v>-158.25123600000001</v>
      </c>
      <c r="O46" s="39">
        <f ca="1">'Olin Debt'!E$46</f>
        <v>-155.26849300000003</v>
      </c>
      <c r="P46" s="39">
        <f ca="1">'Olin Debt'!F$46</f>
        <v>-154.89349300000003</v>
      </c>
      <c r="Q46" s="39">
        <f ca="1">'Olin Debt'!G$46</f>
        <v>-154.89349300000003</v>
      </c>
      <c r="R46" s="39">
        <f ca="1">'Olin Debt'!H$46</f>
        <v>-139.50945400000003</v>
      </c>
      <c r="S46" s="99">
        <f ca="1">'Olin Debt'!I$46</f>
        <v>-123.57041500000001</v>
      </c>
    </row>
    <row r="47" spans="1:19" x14ac:dyDescent="0.15">
      <c r="A47" t="s">
        <v>251</v>
      </c>
      <c r="C47" s="2" t="s">
        <v>252</v>
      </c>
      <c r="D47" s="39">
        <f>IFERROR(
INDEX('Olin Raw'!$B$6:$K$33,
MATCH(TRIM($A47),'Olin Raw'!$M$6:$M$33,0),
MATCH(D$32,'Olin Raw'!$B$3:$K$3,0)
),"")</f>
        <v>0</v>
      </c>
      <c r="E47" s="39">
        <f>IFERROR(
INDEX('Olin Raw'!$B$6:$K$33,
MATCH(TRIM($A47),'Olin Raw'!$M$6:$M$33,0),
MATCH(E$32,'Olin Raw'!$B$3:$K$3,0)
),"")</f>
        <v>0</v>
      </c>
      <c r="F47" s="39">
        <f>IFERROR(
INDEX('Olin Raw'!$B$6:$K$33,
MATCH(TRIM($A47),'Olin Raw'!$M$6:$M$33,0),
MATCH(F$32,'Olin Raw'!$B$3:$K$3,0)
),"")</f>
        <v>0</v>
      </c>
      <c r="G47" s="39">
        <f>IFERROR(
INDEX('Olin Raw'!$B$6:$K$33,
MATCH(TRIM($A47),'Olin Raw'!$M$6:$M$33,0),
MATCH(G$32,'Olin Raw'!$B$3:$K$3,0)
),"")</f>
        <v>0</v>
      </c>
      <c r="H47" s="39">
        <f>IFERROR(
INDEX('Olin Raw'!$B$6:$K$33,
MATCH(TRIM($A47),'Olin Raw'!$M$6:$M$33,0),
MATCH(H$32,'Olin Raw'!$B$3:$K$3,0)
),"")</f>
        <v>0</v>
      </c>
      <c r="I47" s="39">
        <f>IFERROR(
INDEX('Olin Raw'!$B$6:$K$33,
MATCH(TRIM($A47),'Olin Raw'!$M$6:$M$33,0),
MATCH(I$32,'Olin Raw'!$B$3:$K$3,0)
),"")</f>
        <v>0</v>
      </c>
      <c r="J47" s="39">
        <f>IFERROR(
INDEX('Olin Raw'!$B$6:$K$33,
MATCH(TRIM($A47),'Olin Raw'!$M$6:$M$33,0),
MATCH(J$32,'Olin Raw'!$B$3:$K$3,0)
),"")</f>
        <v>0</v>
      </c>
      <c r="K47" s="39">
        <f>IFERROR(
INDEX('Olin Raw'!$B$6:$K$33,
MATCH(TRIM($A47),'Olin Raw'!$M$6:$M$33,0),
MATCH(K$32,'Olin Raw'!$B$3:$K$3,0)
),"")</f>
        <v>0</v>
      </c>
      <c r="L47" s="39">
        <f>IFERROR(
INDEX('Olin Raw'!$B$6:$K$33,
MATCH(TRIM($A47),'Olin Raw'!$M$6:$M$33,0),
MATCH(L$32,'Olin Raw'!$B$3:$K$3,0)
),"")</f>
        <v>0</v>
      </c>
      <c r="M47" s="39">
        <f>IFERROR(
INDEX('Olin Raw'!$B$6:$K$33,
MATCH(TRIM($A47),'Olin Raw'!$M$6:$M$33,0),
MATCH(M$32,'Olin Raw'!$B$3:$K$3,0)
),"")</f>
        <v>0</v>
      </c>
      <c r="N47" s="102">
        <f>N12</f>
        <v>0</v>
      </c>
      <c r="O47" s="55">
        <f t="shared" ref="O47:S47" si="33">O12</f>
        <v>0</v>
      </c>
      <c r="P47" s="55">
        <f t="shared" si="33"/>
        <v>0</v>
      </c>
      <c r="Q47" s="55">
        <f t="shared" si="33"/>
        <v>0</v>
      </c>
      <c r="R47" s="55">
        <f t="shared" si="33"/>
        <v>0</v>
      </c>
      <c r="S47" s="103">
        <f t="shared" si="33"/>
        <v>0</v>
      </c>
    </row>
    <row r="48" spans="1:19" x14ac:dyDescent="0.15">
      <c r="A48" t="s">
        <v>253</v>
      </c>
      <c r="C48" s="2" t="s">
        <v>254</v>
      </c>
      <c r="D48" s="39">
        <f>IFERROR(
INDEX('Olin Raw'!$B$6:$K$33,
MATCH(TRIM($A48),'Olin Raw'!$M$6:$M$33,0),
MATCH(D$32,'Olin Raw'!$B$3:$K$3,0)
),"")</f>
        <v>0</v>
      </c>
      <c r="E48" s="39">
        <f>IFERROR(
INDEX('Olin Raw'!$B$6:$K$33,
MATCH(TRIM($A48),'Olin Raw'!$M$6:$M$33,0),
MATCH(E$32,'Olin Raw'!$B$3:$K$3,0)
),"")</f>
        <v>0</v>
      </c>
      <c r="F48" s="39">
        <f>IFERROR(
INDEX('Olin Raw'!$B$6:$K$33,
MATCH(TRIM($A48),'Olin Raw'!$M$6:$M$33,0),
MATCH(F$32,'Olin Raw'!$B$3:$K$3,0)
),"")</f>
        <v>21.7</v>
      </c>
      <c r="G48" s="39">
        <f>IFERROR(
INDEX('Olin Raw'!$B$6:$K$33,
MATCH(TRIM($A48),'Olin Raw'!$M$6:$M$33,0),
MATCH(G$32,'Olin Raw'!$B$3:$K$3,0)
),"")</f>
        <v>27.5</v>
      </c>
      <c r="H48" s="39">
        <f>IFERROR(
INDEX('Olin Raw'!$B$6:$K$33,
MATCH(TRIM($A48),'Olin Raw'!$M$6:$M$33,0),
MATCH(H$32,'Olin Raw'!$B$3:$K$3,0)
),"")</f>
        <v>14.9</v>
      </c>
      <c r="I48" s="39">
        <f>IFERROR(
INDEX('Olin Raw'!$B$6:$K$33,
MATCH(TRIM($A48),'Olin Raw'!$M$6:$M$33,0),
MATCH(I$32,'Olin Raw'!$B$3:$K$3,0)
),"")</f>
        <v>35.700000000000003</v>
      </c>
      <c r="J48" s="39">
        <f>IFERROR(
INDEX('Olin Raw'!$B$6:$K$33,
MATCH(TRIM($A48),'Olin Raw'!$M$6:$M$33,0),
MATCH(J$32,'Olin Raw'!$B$3:$K$3,0)
),"")</f>
        <v>38.700000000000003</v>
      </c>
      <c r="K48" s="39">
        <f>IFERROR(
INDEX('Olin Raw'!$B$6:$K$33,
MATCH(TRIM($A48),'Olin Raw'!$M$6:$M$33,0),
MATCH(K$32,'Olin Raw'!$B$3:$K$3,0)
),"")</f>
        <v>24</v>
      </c>
      <c r="L48" s="39">
        <f>IFERROR(
INDEX('Olin Raw'!$B$6:$K$33,
MATCH(TRIM($A48),'Olin Raw'!$M$6:$M$33,0),
MATCH(L$32,'Olin Raw'!$B$3:$K$3,0)
),"")</f>
        <v>26</v>
      </c>
      <c r="M48" s="39">
        <f>IFERROR(
INDEX('Olin Raw'!$B$6:$K$33,
MATCH(TRIM($A48),'Olin Raw'!$M$6:$M$33,0),
MATCH(M$32,'Olin Raw'!$B$3:$K$3,0)
),"")</f>
        <v>20.6</v>
      </c>
      <c r="N48" s="98">
        <f>AVERAGE($K$48:$M$48)</f>
        <v>23.533333333333331</v>
      </c>
      <c r="O48" s="39">
        <f t="shared" ref="O48:S48" si="34">AVERAGE($K$48:$M$48)</f>
        <v>23.533333333333331</v>
      </c>
      <c r="P48" s="39">
        <f t="shared" si="34"/>
        <v>23.533333333333331</v>
      </c>
      <c r="Q48" s="39">
        <f t="shared" si="34"/>
        <v>23.533333333333331</v>
      </c>
      <c r="R48" s="39">
        <f t="shared" si="34"/>
        <v>23.533333333333331</v>
      </c>
      <c r="S48" s="99">
        <f t="shared" si="34"/>
        <v>23.533333333333331</v>
      </c>
    </row>
    <row r="49" spans="1:23" x14ac:dyDescent="0.15">
      <c r="A49" t="s">
        <v>105</v>
      </c>
      <c r="C49" s="48" t="s">
        <v>255</v>
      </c>
      <c r="D49" s="57">
        <f>IFERROR(
INDEX('Olin Raw'!$B$6:$K$33,
MATCH(TRIM($A49),'Olin Raw'!$M$6:$M$33,0),
MATCH(D$32,'Olin Raw'!$B$3:$K$3,0)
),"")</f>
        <v>-34.200000000000003</v>
      </c>
      <c r="E49" s="57">
        <f>IFERROR(
INDEX('Olin Raw'!$B$6:$K$33,
MATCH(TRIM($A49),'Olin Raw'!$M$6:$M$33,0),
MATCH(E$32,'Olin Raw'!$B$3:$K$3,0)
),"")</f>
        <v>117.2</v>
      </c>
      <c r="F49" s="57">
        <f>IFERROR(
INDEX('Olin Raw'!$B$6:$K$33,
MATCH(TRIM($A49),'Olin Raw'!$M$6:$M$33,0),
MATCH(F$32,'Olin Raw'!$B$3:$K$3,0)
),"")</f>
        <v>437.3</v>
      </c>
      <c r="G49" s="57">
        <f>IFERROR(
INDEX('Olin Raw'!$B$6:$K$33,
MATCH(TRIM($A49),'Olin Raw'!$M$6:$M$33,0),
MATCH(G$32,'Olin Raw'!$B$3:$K$3,0)
),"")</f>
        <v>-36.9</v>
      </c>
      <c r="H49" s="57">
        <f>IFERROR(
INDEX('Olin Raw'!$B$6:$K$33,
MATCH(TRIM($A49),'Olin Raw'!$M$6:$M$33,0),
MATCH(H$32,'Olin Raw'!$B$3:$K$3,0)
),"")</f>
        <v>-1020</v>
      </c>
      <c r="I49" s="57">
        <f>IFERROR(
INDEX('Olin Raw'!$B$6:$K$33,
MATCH(TRIM($A49),'Olin Raw'!$M$6:$M$33,0),
MATCH(I$32,'Olin Raw'!$B$3:$K$3,0)
),"")</f>
        <v>1538.7</v>
      </c>
      <c r="J49" s="57">
        <f>IFERROR(
INDEX('Olin Raw'!$B$6:$K$33,
MATCH(TRIM($A49),'Olin Raw'!$M$6:$M$33,0),
MATCH(J$32,'Olin Raw'!$B$3:$K$3,0)
),"")</f>
        <v>1676</v>
      </c>
      <c r="K49" s="57">
        <f>IFERROR(
INDEX('Olin Raw'!$B$6:$K$33,
MATCH(TRIM($A49),'Olin Raw'!$M$6:$M$33,0),
MATCH(K$32,'Olin Raw'!$B$3:$K$3,0)
),"")</f>
        <v>559.29999999999995</v>
      </c>
      <c r="L49" s="57">
        <f>IFERROR(
INDEX('Olin Raw'!$B$6:$K$33,
MATCH(TRIM($A49),'Olin Raw'!$M$6:$M$33,0),
MATCH(L$32,'Olin Raw'!$B$3:$K$3,0)
),"")</f>
        <v>141.69999999999999</v>
      </c>
      <c r="M49" s="57">
        <f>IFERROR(
INDEX('Olin Raw'!$B$6:$K$33,
MATCH(TRIM($A49),'Olin Raw'!$M$6:$M$33,0),
MATCH(M$32,'Olin Raw'!$B$3:$K$3,0)
),"")</f>
        <v>-161.1</v>
      </c>
      <c r="N49" s="96">
        <f ca="1">N$44+N$46+N$47+N$48</f>
        <v>43.450645813333352</v>
      </c>
      <c r="O49" s="57">
        <f t="shared" ref="O49:S49" ca="1" si="35">O$44+O$46+O$47+O$48</f>
        <v>183.5802961296213</v>
      </c>
      <c r="P49" s="57">
        <f t="shared" ca="1" si="35"/>
        <v>471.58440749642523</v>
      </c>
      <c r="Q49" s="57">
        <f t="shared" ca="1" si="35"/>
        <v>709.81739431077403</v>
      </c>
      <c r="R49" s="57">
        <f t="shared" ca="1" si="35"/>
        <v>1060.0576356119295</v>
      </c>
      <c r="S49" s="97">
        <f t="shared" ca="1" si="35"/>
        <v>1307.6700037468488</v>
      </c>
    </row>
    <row r="50" spans="1:23" x14ac:dyDescent="0.15">
      <c r="A50" t="s">
        <v>256</v>
      </c>
      <c r="C50" s="2" t="s">
        <v>257</v>
      </c>
      <c r="D50" s="39">
        <f>IFERROR(
INDEX('Olin Raw'!$B$6:$K$33,
MATCH(TRIM($A50),'Olin Raw'!$M$6:$M$33,0),
MATCH(D$32,'Olin Raw'!$B$3:$K$3,0)
),"")</f>
        <v>-30.3</v>
      </c>
      <c r="E50" s="39">
        <f>IFERROR(
INDEX('Olin Raw'!$B$6:$K$33,
MATCH(TRIM($A50),'Olin Raw'!$M$6:$M$33,0),
MATCH(E$32,'Olin Raw'!$B$3:$K$3,0)
),"")</f>
        <v>5.6</v>
      </c>
      <c r="F50" s="39">
        <f>IFERROR(
INDEX('Olin Raw'!$B$6:$K$33,
MATCH(TRIM($A50),'Olin Raw'!$M$6:$M$33,0),
MATCH(F$32,'Olin Raw'!$B$3:$K$3,0)
),"")</f>
        <v>109.3</v>
      </c>
      <c r="G50" s="39">
        <f>IFERROR(
INDEX('Olin Raw'!$B$6:$K$33,
MATCH(TRIM($A50),'Olin Raw'!$M$6:$M$33,0),
MATCH(G$32,'Olin Raw'!$B$3:$K$3,0)
),"")</f>
        <v>-25.6</v>
      </c>
      <c r="H50" s="39">
        <f>IFERROR(
INDEX('Olin Raw'!$B$6:$K$33,
MATCH(TRIM($A50),'Olin Raw'!$M$6:$M$33,0),
MATCH(H$32,'Olin Raw'!$B$3:$K$3,0)
),"")</f>
        <v>-50.1</v>
      </c>
      <c r="I50" s="39">
        <f>IFERROR(
INDEX('Olin Raw'!$B$6:$K$33,
MATCH(TRIM($A50),'Olin Raw'!$M$6:$M$33,0),
MATCH(I$32,'Olin Raw'!$B$3:$K$3,0)
),"")</f>
        <v>242</v>
      </c>
      <c r="J50" s="39">
        <f>IFERROR(
INDEX('Olin Raw'!$B$6:$K$33,
MATCH(TRIM($A50),'Olin Raw'!$M$6:$M$33,0),
MATCH(J$32,'Olin Raw'!$B$3:$K$3,0)
),"")</f>
        <v>349.1</v>
      </c>
      <c r="K50" s="39">
        <f>IFERROR(
INDEX('Olin Raw'!$B$6:$K$33,
MATCH(TRIM($A50),'Olin Raw'!$M$6:$M$33,0),
MATCH(K$32,'Olin Raw'!$B$3:$K$3,0)
),"")</f>
        <v>107.3</v>
      </c>
      <c r="L50" s="39">
        <f>IFERROR(
INDEX('Olin Raw'!$B$6:$K$33,
MATCH(TRIM($A50),'Olin Raw'!$M$6:$M$33,0),
MATCH(L$32,'Olin Raw'!$B$3:$K$3,0)
),"")</f>
        <v>36.700000000000003</v>
      </c>
      <c r="M50" s="39">
        <f>IFERROR(
INDEX('Olin Raw'!$B$6:$K$33,
MATCH(TRIM($A50),'Olin Raw'!$M$6:$M$33,0),
MATCH(M$32,'Olin Raw'!$B$3:$K$3,0)
),"")</f>
        <v>-60</v>
      </c>
      <c r="N50" s="98">
        <f t="shared" ref="N50:S50" ca="1" si="36">N$49*N$27</f>
        <v>10.428154995200003</v>
      </c>
      <c r="O50" s="39">
        <f t="shared" ca="1" si="36"/>
        <v>44.059271071109109</v>
      </c>
      <c r="P50" s="39">
        <f t="shared" ca="1" si="36"/>
        <v>113.18025779914205</v>
      </c>
      <c r="Q50" s="39">
        <f t="shared" ca="1" si="36"/>
        <v>170.35617463458576</v>
      </c>
      <c r="R50" s="39">
        <f t="shared" ca="1" si="36"/>
        <v>254.41383254686309</v>
      </c>
      <c r="S50" s="99">
        <f t="shared" ca="1" si="36"/>
        <v>313.84080089924367</v>
      </c>
    </row>
    <row r="51" spans="1:23" x14ac:dyDescent="0.15">
      <c r="A51" t="s">
        <v>107</v>
      </c>
      <c r="C51" s="88" t="s">
        <v>107</v>
      </c>
      <c r="D51" s="89">
        <f>IFERROR(
INDEX('Olin Raw'!$B$6:$K$33,
MATCH(TRIM($A51),'Olin Raw'!$M$6:$M$33,0),
MATCH(D$32,'Olin Raw'!$B$3:$K$3,0)
),"")</f>
        <v>-3.9</v>
      </c>
      <c r="E51" s="89">
        <f>IFERROR(
INDEX('Olin Raw'!$B$6:$K$33,
MATCH(TRIM($A51),'Olin Raw'!$M$6:$M$33,0),
MATCH(E$32,'Olin Raw'!$B$3:$K$3,0)
),"")</f>
        <v>549.5</v>
      </c>
      <c r="F51" s="89">
        <f>IFERROR(
INDEX('Olin Raw'!$B$6:$K$33,
MATCH(TRIM($A51),'Olin Raw'!$M$6:$M$33,0),
MATCH(F$32,'Olin Raw'!$B$3:$K$3,0)
),"")</f>
        <v>327.9</v>
      </c>
      <c r="G51" s="89">
        <f>IFERROR(
INDEX('Olin Raw'!$B$6:$K$33,
MATCH(TRIM($A51),'Olin Raw'!$M$6:$M$33,0),
MATCH(G$32,'Olin Raw'!$B$3:$K$3,0)
),"")</f>
        <v>-11.3</v>
      </c>
      <c r="H51" s="89">
        <f>IFERROR(
INDEX('Olin Raw'!$B$6:$K$33,
MATCH(TRIM($A51),'Olin Raw'!$M$6:$M$33,0),
MATCH(H$32,'Olin Raw'!$B$3:$K$3,0)
),"")</f>
        <v>-969.9</v>
      </c>
      <c r="I51" s="89">
        <f>IFERROR(
INDEX('Olin Raw'!$B$6:$K$33,
MATCH(TRIM($A51),'Olin Raw'!$M$6:$M$33,0),
MATCH(I$32,'Olin Raw'!$B$3:$K$3,0)
),"")</f>
        <v>1296.7</v>
      </c>
      <c r="J51" s="89">
        <f>IFERROR(
INDEX('Olin Raw'!$B$6:$K$33,
MATCH(TRIM($A51),'Olin Raw'!$M$6:$M$33,0),
MATCH(J$32,'Olin Raw'!$B$3:$K$3,0)
),"")</f>
        <v>1326.9</v>
      </c>
      <c r="K51" s="89">
        <f>IFERROR(
INDEX('Olin Raw'!$B$6:$K$33,
MATCH(TRIM($A51),'Olin Raw'!$M$6:$M$33,0),
MATCH(K$32,'Olin Raw'!$B$3:$K$3,0)
),"")</f>
        <v>460.2</v>
      </c>
      <c r="L51" s="89">
        <f>IFERROR(
INDEX('Olin Raw'!$B$6:$K$33,
MATCH(TRIM($A51),'Olin Raw'!$M$6:$M$33,0),
MATCH(L$32,'Olin Raw'!$B$3:$K$3,0)
),"")</f>
        <v>108.6</v>
      </c>
      <c r="M51" s="89">
        <f>IFERROR(
INDEX('Olin Raw'!$B$6:$K$33,
MATCH(TRIM($A51),'Olin Raw'!$M$6:$M$33,0),
MATCH(M$32,'Olin Raw'!$B$3:$K$3,0)
),"")</f>
        <v>-100.5</v>
      </c>
      <c r="N51" s="94">
        <f t="shared" ref="N51:S51" ca="1" si="37">N49-N50</f>
        <v>33.022490818133349</v>
      </c>
      <c r="O51" s="89">
        <f t="shared" ca="1" si="37"/>
        <v>139.52102505851218</v>
      </c>
      <c r="P51" s="89">
        <f t="shared" ca="1" si="37"/>
        <v>358.40414969728317</v>
      </c>
      <c r="Q51" s="89">
        <f t="shared" ca="1" si="37"/>
        <v>539.46121967618831</v>
      </c>
      <c r="R51" s="89">
        <f t="shared" ca="1" si="37"/>
        <v>805.64380306506644</v>
      </c>
      <c r="S51" s="95">
        <f t="shared" ca="1" si="37"/>
        <v>993.82920284760507</v>
      </c>
    </row>
    <row r="52" spans="1:23" x14ac:dyDescent="0.15">
      <c r="C52" s="41" t="s">
        <v>359</v>
      </c>
      <c r="D52" s="39">
        <f t="shared" ref="D52:M52" si="38">D$51-D$113</f>
        <v>0</v>
      </c>
      <c r="E52" s="39">
        <f t="shared" si="38"/>
        <v>0</v>
      </c>
      <c r="F52" s="39">
        <f t="shared" si="38"/>
        <v>0</v>
      </c>
      <c r="G52" s="39">
        <f t="shared" si="38"/>
        <v>0</v>
      </c>
      <c r="H52" s="39">
        <f t="shared" si="38"/>
        <v>0</v>
      </c>
      <c r="I52" s="39">
        <f t="shared" si="38"/>
        <v>0</v>
      </c>
      <c r="J52" s="39">
        <f t="shared" si="38"/>
        <v>0</v>
      </c>
      <c r="K52" s="39">
        <f t="shared" si="38"/>
        <v>8.1999999999999886</v>
      </c>
      <c r="L52" s="39">
        <f t="shared" si="38"/>
        <v>3.5999999999999943</v>
      </c>
      <c r="M52" s="39">
        <f t="shared" si="38"/>
        <v>0.59999999999999432</v>
      </c>
      <c r="N52" s="104">
        <v>3</v>
      </c>
      <c r="O52" s="50">
        <f>$N$52</f>
        <v>3</v>
      </c>
      <c r="P52" s="50">
        <f t="shared" ref="P52:S52" si="39">$N$52</f>
        <v>3</v>
      </c>
      <c r="Q52" s="50">
        <f t="shared" si="39"/>
        <v>3</v>
      </c>
      <c r="R52" s="50">
        <f t="shared" si="39"/>
        <v>3</v>
      </c>
      <c r="S52" s="105">
        <f t="shared" si="39"/>
        <v>3</v>
      </c>
    </row>
    <row r="53" spans="1:23" x14ac:dyDescent="0.15">
      <c r="C53" s="41"/>
      <c r="N53" s="104"/>
      <c r="O53" s="50"/>
      <c r="P53" s="50"/>
      <c r="Q53" s="50"/>
      <c r="R53" s="50"/>
      <c r="S53" s="105"/>
    </row>
    <row r="54" spans="1:23" x14ac:dyDescent="0.15">
      <c r="A54" t="s">
        <v>112</v>
      </c>
      <c r="C54" t="s">
        <v>112</v>
      </c>
      <c r="D54">
        <f>IFERROR(
INDEX('Olin Raw'!$B$6:$K$33,
MATCH(TRIM($A54),'Olin Raw'!$M$6:$M$33,0),
MATCH(D$32,'Olin Raw'!$B$3:$K$3,0)
),"")</f>
        <v>165</v>
      </c>
      <c r="E54">
        <f>IFERROR(
INDEX('Olin Raw'!$B$6:$K$33,
MATCH(TRIM($A54),'Olin Raw'!$M$6:$M$33,0),
MATCH(E$32,'Olin Raw'!$B$3:$K$3,0)
),"")</f>
        <v>166</v>
      </c>
      <c r="F54">
        <f>IFERROR(
INDEX('Olin Raw'!$B$6:$K$33,
MATCH(TRIM($A54),'Olin Raw'!$M$6:$M$33,0),
MATCH(F$32,'Olin Raw'!$B$3:$K$3,0)
),"")</f>
        <v>167</v>
      </c>
      <c r="G54">
        <f>IFERROR(
INDEX('Olin Raw'!$B$6:$K$33,
MATCH(TRIM($A54),'Olin Raw'!$M$6:$M$33,0),
MATCH(G$32,'Olin Raw'!$B$3:$K$3,0)
),"")</f>
        <v>162</v>
      </c>
      <c r="H54">
        <f>IFERROR(
INDEX('Olin Raw'!$B$6:$K$33,
MATCH(TRIM($A54),'Olin Raw'!$M$6:$M$33,0),
MATCH(H$32,'Olin Raw'!$B$3:$K$3,0)
),"")</f>
        <v>158</v>
      </c>
      <c r="I54">
        <f>IFERROR(
INDEX('Olin Raw'!$B$6:$K$33,
MATCH(TRIM($A54),'Olin Raw'!$M$6:$M$33,0),
MATCH(I$32,'Olin Raw'!$B$3:$K$3,0)
),"")</f>
        <v>159</v>
      </c>
      <c r="J54">
        <f>IFERROR(
INDEX('Olin Raw'!$B$6:$K$33,
MATCH(TRIM($A54),'Olin Raw'!$M$6:$M$33,0),
MATCH(J$32,'Olin Raw'!$B$3:$K$3,0)
),"")</f>
        <v>145</v>
      </c>
      <c r="K54">
        <f>IFERROR(
INDEX('Olin Raw'!$B$6:$K$33,
MATCH(TRIM($A54),'Olin Raw'!$M$6:$M$33,0),
MATCH(K$32,'Olin Raw'!$B$3:$K$3,0)
),"")</f>
        <v>126</v>
      </c>
      <c r="L54">
        <f>IFERROR(
INDEX('Olin Raw'!$B$6:$K$33,
MATCH(TRIM($A54),'Olin Raw'!$M$6:$M$33,0),
MATCH(L$32,'Olin Raw'!$B$3:$K$3,0)
),"")</f>
        <v>118</v>
      </c>
      <c r="M54">
        <f>IFERROR(
INDEX('Olin Raw'!$B$6:$K$33,
MATCH(TRIM($A54),'Olin Raw'!$M$6:$M$33,0),
MATCH(M$32,'Olin Raw'!$B$3:$K$3,0)
),"")</f>
        <v>115</v>
      </c>
      <c r="N54" s="100">
        <f>'Olin Equity Schedule'!M$19</f>
        <v>114.3</v>
      </c>
      <c r="O54" s="53">
        <f>'Olin Equity Schedule'!N$19</f>
        <v>114.85</v>
      </c>
      <c r="P54" s="53">
        <f>'Olin Equity Schedule'!O$19</f>
        <v>115.35</v>
      </c>
      <c r="Q54" s="53">
        <f>'Olin Equity Schedule'!P$19</f>
        <v>115.85</v>
      </c>
      <c r="R54" s="53">
        <f>'Olin Equity Schedule'!Q$19</f>
        <v>116.35</v>
      </c>
      <c r="S54" s="101">
        <f>'Olin Equity Schedule'!R$19</f>
        <v>116.85</v>
      </c>
    </row>
    <row r="55" spans="1:23" x14ac:dyDescent="0.15">
      <c r="A55" s="12"/>
      <c r="C55" s="41" t="s">
        <v>425</v>
      </c>
      <c r="D55" s="12">
        <f>D$56-D$54</f>
        <v>0</v>
      </c>
      <c r="E55" s="12">
        <f t="shared" ref="E55:M55" si="40">E$56-E$54</f>
        <v>2</v>
      </c>
      <c r="F55" s="12">
        <f t="shared" si="40"/>
        <v>1</v>
      </c>
      <c r="G55" s="12">
        <f t="shared" si="40"/>
        <v>0</v>
      </c>
      <c r="H55" s="12">
        <f t="shared" si="40"/>
        <v>0</v>
      </c>
      <c r="I55" s="12">
        <f t="shared" si="40"/>
        <v>4</v>
      </c>
      <c r="J55" s="12">
        <f t="shared" si="40"/>
        <v>3</v>
      </c>
      <c r="K55" s="12">
        <f t="shared" si="40"/>
        <v>3</v>
      </c>
      <c r="L55" s="12">
        <f t="shared" si="40"/>
        <v>2</v>
      </c>
      <c r="M55" s="12">
        <f t="shared" si="40"/>
        <v>0</v>
      </c>
      <c r="N55" s="191">
        <f>'Olin Equity Schedule'!M$20</f>
        <v>1.5</v>
      </c>
      <c r="O55" s="192">
        <f>'Olin Equity Schedule'!N$20</f>
        <v>1.5</v>
      </c>
      <c r="P55" s="192">
        <f>'Olin Equity Schedule'!O$20</f>
        <v>1.5</v>
      </c>
      <c r="Q55" s="192">
        <f>'Olin Equity Schedule'!P$20</f>
        <v>1.5</v>
      </c>
      <c r="R55" s="192">
        <f>'Olin Equity Schedule'!Q$20</f>
        <v>1.5</v>
      </c>
      <c r="S55" s="193">
        <f>'Olin Equity Schedule'!R$20</f>
        <v>1.5</v>
      </c>
    </row>
    <row r="56" spans="1:23" x14ac:dyDescent="0.15">
      <c r="A56" t="s">
        <v>116</v>
      </c>
      <c r="C56" t="s">
        <v>258</v>
      </c>
      <c r="D56">
        <f>IFERROR(
INDEX('Olin Raw'!$B$6:$K$33,
MATCH(TRIM($A56),'Olin Raw'!$M$6:$M$33,0),
MATCH(D$32,'Olin Raw'!$B$3:$K$3,0)
),"")</f>
        <v>165</v>
      </c>
      <c r="E56">
        <f>IFERROR(
INDEX('Olin Raw'!$B$6:$K$33,
MATCH(TRIM($A56),'Olin Raw'!$M$6:$M$33,0),
MATCH(E$32,'Olin Raw'!$B$3:$K$3,0)
),"")</f>
        <v>168</v>
      </c>
      <c r="F56">
        <f>IFERROR(
INDEX('Olin Raw'!$B$6:$K$33,
MATCH(TRIM($A56),'Olin Raw'!$M$6:$M$33,0),
MATCH(F$32,'Olin Raw'!$B$3:$K$3,0)
),"")</f>
        <v>168</v>
      </c>
      <c r="G56">
        <f>IFERROR(
INDEX('Olin Raw'!$B$6:$K$33,
MATCH(TRIM($A56),'Olin Raw'!$M$6:$M$33,0),
MATCH(G$32,'Olin Raw'!$B$3:$K$3,0)
),"")</f>
        <v>162</v>
      </c>
      <c r="H56">
        <f>IFERROR(
INDEX('Olin Raw'!$B$6:$K$33,
MATCH(TRIM($A56),'Olin Raw'!$M$6:$M$33,0),
MATCH(H$32,'Olin Raw'!$B$3:$K$3,0)
),"")</f>
        <v>158</v>
      </c>
      <c r="I56">
        <f>IFERROR(
INDEX('Olin Raw'!$B$6:$K$33,
MATCH(TRIM($A56),'Olin Raw'!$M$6:$M$33,0),
MATCH(I$32,'Olin Raw'!$B$3:$K$3,0)
),"")</f>
        <v>163</v>
      </c>
      <c r="J56">
        <f>IFERROR(
INDEX('Olin Raw'!$B$6:$K$33,
MATCH(TRIM($A56),'Olin Raw'!$M$6:$M$33,0),
MATCH(J$32,'Olin Raw'!$B$3:$K$3,0)
),"")</f>
        <v>148</v>
      </c>
      <c r="K56">
        <f>IFERROR(
INDEX('Olin Raw'!$B$6:$K$33,
MATCH(TRIM($A56),'Olin Raw'!$M$6:$M$33,0),
MATCH(K$32,'Olin Raw'!$B$3:$K$3,0)
),"")</f>
        <v>129</v>
      </c>
      <c r="L56">
        <f>IFERROR(
INDEX('Olin Raw'!$B$6:$K$33,
MATCH(TRIM($A56),'Olin Raw'!$M$6:$M$33,0),
MATCH(L$32,'Olin Raw'!$B$3:$K$3,0)
),"")</f>
        <v>120</v>
      </c>
      <c r="M56">
        <f>IFERROR(
INDEX('Olin Raw'!$B$6:$K$33,
MATCH(TRIM($A56),'Olin Raw'!$M$6:$M$33,0),
MATCH(M$32,'Olin Raw'!$B$3:$K$3,0)
),"")</f>
        <v>115</v>
      </c>
      <c r="N56" s="98">
        <f>'Olin Equity Schedule'!M$21</f>
        <v>115.8</v>
      </c>
      <c r="O56" s="39">
        <f>'Olin Equity Schedule'!N$21</f>
        <v>116.35</v>
      </c>
      <c r="P56" s="39">
        <f>'Olin Equity Schedule'!O$21</f>
        <v>116.85</v>
      </c>
      <c r="Q56" s="39">
        <f>'Olin Equity Schedule'!P$21</f>
        <v>117.35</v>
      </c>
      <c r="R56" s="39">
        <f>'Olin Equity Schedule'!Q$21</f>
        <v>117.85</v>
      </c>
      <c r="S56" s="99">
        <f>'Olin Equity Schedule'!R$21</f>
        <v>118.35</v>
      </c>
    </row>
    <row r="57" spans="1:23" x14ac:dyDescent="0.15">
      <c r="A57" t="s">
        <v>113</v>
      </c>
      <c r="C57" t="s">
        <v>259</v>
      </c>
      <c r="D57">
        <f>IFERROR(
INDEX('Olin Raw'!$B$6:$K$33,
MATCH(TRIM($A57),'Olin Raw'!$M$6:$M$33,0),
MATCH(D$32,'Olin Raw'!$B$3:$K$3,0)
),"")</f>
        <v>-0.02</v>
      </c>
      <c r="E57">
        <f>IFERROR(
INDEX('Olin Raw'!$B$6:$K$33,
MATCH(TRIM($A57),'Olin Raw'!$M$6:$M$33,0),
MATCH(E$32,'Olin Raw'!$B$3:$K$3,0)
),"")</f>
        <v>0.66</v>
      </c>
      <c r="F57">
        <f>IFERROR(
INDEX('Olin Raw'!$B$6:$K$33,
MATCH(TRIM($A57),'Olin Raw'!$M$6:$M$33,0),
MATCH(F$32,'Olin Raw'!$B$3:$K$3,0)
),"")</f>
        <v>1.95</v>
      </c>
      <c r="G57">
        <f>IFERROR(
INDEX('Olin Raw'!$B$6:$K$33,
MATCH(TRIM($A57),'Olin Raw'!$M$6:$M$33,0),
MATCH(G$32,'Olin Raw'!$B$3:$K$3,0)
),"")</f>
        <v>-7.0000000000000007E-2</v>
      </c>
      <c r="H57">
        <f>IFERROR(
INDEX('Olin Raw'!$B$6:$K$33,
MATCH(TRIM($A57),'Olin Raw'!$M$6:$M$33,0),
MATCH(H$32,'Olin Raw'!$B$3:$K$3,0)
),"")</f>
        <v>-6.14</v>
      </c>
      <c r="I57">
        <f>IFERROR(
INDEX('Olin Raw'!$B$6:$K$33,
MATCH(TRIM($A57),'Olin Raw'!$M$6:$M$33,0),
MATCH(I$32,'Olin Raw'!$B$3:$K$3,0)
),"")</f>
        <v>7.96</v>
      </c>
      <c r="J57">
        <f>IFERROR(
INDEX('Olin Raw'!$B$6:$K$33,
MATCH(TRIM($A57),'Olin Raw'!$M$6:$M$33,0),
MATCH(J$32,'Olin Raw'!$B$3:$K$3,0)
),"")</f>
        <v>8.94</v>
      </c>
      <c r="K57">
        <f>IFERROR(
INDEX('Olin Raw'!$B$6:$K$33,
MATCH(TRIM($A57),'Olin Raw'!$M$6:$M$33,0),
MATCH(K$32,'Olin Raw'!$B$3:$K$3,0)
),"")</f>
        <v>3.57</v>
      </c>
      <c r="L57">
        <f>IFERROR(
INDEX('Olin Raw'!$B$6:$K$33,
MATCH(TRIM($A57),'Olin Raw'!$M$6:$M$33,0),
MATCH(L$32,'Olin Raw'!$B$3:$K$3,0)
),"")</f>
        <v>0.91</v>
      </c>
      <c r="M57">
        <f>IFERROR(
INDEX('Olin Raw'!$B$6:$K$33,
MATCH(TRIM($A57),'Olin Raw'!$M$6:$M$33,0),
MATCH(M$32,'Olin Raw'!$B$3:$K$3,0)
),"")</f>
        <v>-0.88</v>
      </c>
      <c r="N57" s="106">
        <f t="shared" ref="N57:S57" ca="1" si="41">N51/N56</f>
        <v>0.28516831449165242</v>
      </c>
      <c r="O57" s="40">
        <f t="shared" ca="1" si="41"/>
        <v>1.1991493344092152</v>
      </c>
      <c r="P57" s="40">
        <f t="shared" ca="1" si="41"/>
        <v>3.067215658513335</v>
      </c>
      <c r="Q57" s="40">
        <f t="shared" ca="1" si="41"/>
        <v>4.5970278626006671</v>
      </c>
      <c r="R57" s="40">
        <f t="shared" ca="1" si="41"/>
        <v>6.8361799156984855</v>
      </c>
      <c r="S57" s="107">
        <f t="shared" ca="1" si="41"/>
        <v>8.3973739150621469</v>
      </c>
    </row>
    <row r="58" spans="1:23" x14ac:dyDescent="0.15">
      <c r="A58" t="s">
        <v>117</v>
      </c>
      <c r="C58" t="s">
        <v>117</v>
      </c>
      <c r="D58" s="40">
        <f>IFERROR(
INDEX('Olin Raw'!$B$6:$K$33,
MATCH(TRIM($A58),'Olin Raw'!$M$6:$M$33,0),
MATCH(D$32,'Olin Raw'!$B$3:$K$3,0)
),"")</f>
        <v>0.8</v>
      </c>
      <c r="E58" s="40">
        <f>IFERROR(
INDEX('Olin Raw'!$B$6:$K$33,
MATCH(TRIM($A58),'Olin Raw'!$M$6:$M$33,0),
MATCH(E$32,'Olin Raw'!$B$3:$K$3,0)
),"")</f>
        <v>0.8</v>
      </c>
      <c r="F58" s="40">
        <f>IFERROR(
INDEX('Olin Raw'!$B$6:$K$33,
MATCH(TRIM($A58),'Olin Raw'!$M$6:$M$33,0),
MATCH(F$32,'Olin Raw'!$B$3:$K$3,0)
),"")</f>
        <v>0.8</v>
      </c>
      <c r="G58" s="40">
        <f>IFERROR(
INDEX('Olin Raw'!$B$6:$K$33,
MATCH(TRIM($A58),'Olin Raw'!$M$6:$M$33,0),
MATCH(G$32,'Olin Raw'!$B$3:$K$3,0)
),"")</f>
        <v>0.8</v>
      </c>
      <c r="H58" s="40">
        <f>IFERROR(
INDEX('Olin Raw'!$B$6:$K$33,
MATCH(TRIM($A58),'Olin Raw'!$M$6:$M$33,0),
MATCH(H$32,'Olin Raw'!$B$3:$K$3,0)
),"")</f>
        <v>0.8</v>
      </c>
      <c r="I58" s="40">
        <f>IFERROR(
INDEX('Olin Raw'!$B$6:$K$33,
MATCH(TRIM($A58),'Olin Raw'!$M$6:$M$33,0),
MATCH(I$32,'Olin Raw'!$B$3:$K$3,0)
),"")</f>
        <v>0.8</v>
      </c>
      <c r="J58" s="40">
        <f>IFERROR(
INDEX('Olin Raw'!$B$6:$K$33,
MATCH(TRIM($A58),'Olin Raw'!$M$6:$M$33,0),
MATCH(J$32,'Olin Raw'!$B$3:$K$3,0)
),"")</f>
        <v>0.8</v>
      </c>
      <c r="K58" s="40">
        <f>IFERROR(
INDEX('Olin Raw'!$B$6:$K$33,
MATCH(TRIM($A58),'Olin Raw'!$M$6:$M$33,0),
MATCH(K$32,'Olin Raw'!$B$3:$K$3,0)
),"")</f>
        <v>0.8</v>
      </c>
      <c r="L58" s="40">
        <f>IFERROR(
INDEX('Olin Raw'!$B$6:$K$33,
MATCH(TRIM($A58),'Olin Raw'!$M$6:$M$33,0),
MATCH(L$32,'Olin Raw'!$B$3:$K$3,0)
),"")</f>
        <v>0.8</v>
      </c>
      <c r="M58" s="40">
        <f>IFERROR(
INDEX('Olin Raw'!$B$6:$K$33,
MATCH(TRIM($A58),'Olin Raw'!$M$6:$M$33,0),
MATCH(M$32,'Olin Raw'!$B$3:$K$3,0)
),"")</f>
        <v>0.8</v>
      </c>
      <c r="N58" s="108">
        <f>'Olin Equity Schedule'!M$23</f>
        <v>0.8</v>
      </c>
      <c r="O58" s="109">
        <f>'Olin Equity Schedule'!N$23</f>
        <v>0.8</v>
      </c>
      <c r="P58" s="109">
        <f>'Olin Equity Schedule'!O$23</f>
        <v>0.8</v>
      </c>
      <c r="Q58" s="109">
        <f>'Olin Equity Schedule'!P$23</f>
        <v>0.8</v>
      </c>
      <c r="R58" s="109">
        <f>'Olin Equity Schedule'!Q$23</f>
        <v>0.8</v>
      </c>
      <c r="S58" s="110">
        <f>'Olin Equity Schedule'!R$23</f>
        <v>0.8</v>
      </c>
    </row>
    <row r="60" spans="1:23" ht="16" x14ac:dyDescent="0.15">
      <c r="A60" t="s">
        <v>232</v>
      </c>
      <c r="C60" s="343" t="s">
        <v>232</v>
      </c>
      <c r="D60" s="343"/>
      <c r="E60" s="343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</row>
    <row r="61" spans="1:23" x14ac:dyDescent="0.15">
      <c r="C61" s="90"/>
      <c r="D61" s="356" t="s">
        <v>399</v>
      </c>
      <c r="E61" s="356"/>
      <c r="F61" s="356"/>
      <c r="G61" s="356"/>
      <c r="H61" s="356"/>
      <c r="I61" s="356"/>
      <c r="J61" s="356"/>
      <c r="K61" s="356"/>
      <c r="L61" s="356"/>
      <c r="M61" s="356"/>
      <c r="N61" s="338" t="s">
        <v>400</v>
      </c>
      <c r="O61" s="339"/>
      <c r="P61" s="339"/>
      <c r="Q61" s="339"/>
      <c r="R61" s="339"/>
      <c r="S61" s="340"/>
    </row>
    <row r="62" spans="1:23" x14ac:dyDescent="0.15">
      <c r="C62" s="59" t="s">
        <v>86</v>
      </c>
      <c r="D62" s="60">
        <v>42735</v>
      </c>
      <c r="E62" s="60">
        <f t="shared" ref="E62:S62" si="42">EDATE(D62,12)</f>
        <v>43100</v>
      </c>
      <c r="F62" s="60">
        <f t="shared" si="42"/>
        <v>43465</v>
      </c>
      <c r="G62" s="60">
        <f t="shared" si="42"/>
        <v>43830</v>
      </c>
      <c r="H62" s="60">
        <f t="shared" si="42"/>
        <v>44196</v>
      </c>
      <c r="I62" s="60">
        <f t="shared" si="42"/>
        <v>44561</v>
      </c>
      <c r="J62" s="60">
        <f t="shared" si="42"/>
        <v>44926</v>
      </c>
      <c r="K62" s="60">
        <f t="shared" si="42"/>
        <v>45291</v>
      </c>
      <c r="L62" s="60">
        <f t="shared" si="42"/>
        <v>45657</v>
      </c>
      <c r="M62" s="60">
        <f t="shared" si="42"/>
        <v>46022</v>
      </c>
      <c r="N62" s="91">
        <f t="shared" si="42"/>
        <v>46387</v>
      </c>
      <c r="O62" s="60">
        <f t="shared" si="42"/>
        <v>46752</v>
      </c>
      <c r="P62" s="60">
        <f t="shared" si="42"/>
        <v>47118</v>
      </c>
      <c r="Q62" s="60">
        <f t="shared" si="42"/>
        <v>47483</v>
      </c>
      <c r="R62" s="60">
        <f t="shared" si="42"/>
        <v>47848</v>
      </c>
      <c r="S62" s="92">
        <f t="shared" si="42"/>
        <v>48213</v>
      </c>
    </row>
    <row r="63" spans="1:23" x14ac:dyDescent="0.15">
      <c r="D63" s="45" t="s">
        <v>88</v>
      </c>
      <c r="E63" s="45" t="s">
        <v>88</v>
      </c>
      <c r="F63" s="45" t="s">
        <v>88</v>
      </c>
      <c r="G63" s="45" t="s">
        <v>88</v>
      </c>
      <c r="H63" s="45" t="s">
        <v>88</v>
      </c>
      <c r="I63" s="45" t="s">
        <v>88</v>
      </c>
      <c r="J63" s="45" t="s">
        <v>88</v>
      </c>
      <c r="K63" s="45" t="s">
        <v>88</v>
      </c>
      <c r="L63" s="45" t="s">
        <v>88</v>
      </c>
      <c r="M63" s="45" t="s">
        <v>88</v>
      </c>
      <c r="N63" s="19" t="s">
        <v>88</v>
      </c>
      <c r="O63" s="45" t="s">
        <v>88</v>
      </c>
      <c r="P63" s="45" t="s">
        <v>88</v>
      </c>
      <c r="Q63" s="45" t="s">
        <v>88</v>
      </c>
      <c r="R63" s="45" t="s">
        <v>88</v>
      </c>
      <c r="S63" s="93" t="s">
        <v>88</v>
      </c>
    </row>
    <row r="64" spans="1:23" x14ac:dyDescent="0.15">
      <c r="A64" t="s">
        <v>260</v>
      </c>
      <c r="C64" s="111" t="s">
        <v>261</v>
      </c>
      <c r="D64" s="112">
        <f>IFERROR(
INDEX('Olin Raw'!$B$41:$K$100,
MATCH(TRIM($A64),'Olin Raw'!$M$41:$M$100,0),
MATCH(D$32,'Olin Raw'!$B$38:$K$38,0)
),"")</f>
        <v>184.5</v>
      </c>
      <c r="E64" s="112">
        <f>IFERROR(
INDEX('Olin Raw'!$B$41:$K$100,
MATCH(TRIM($A64),'Olin Raw'!$M$41:$M$100,0),
MATCH(E$32,'Olin Raw'!$B$38:$K$38,0)
),"")</f>
        <v>218.4</v>
      </c>
      <c r="F64" s="112">
        <f>IFERROR(
INDEX('Olin Raw'!$B$41:$K$100,
MATCH(TRIM($A64),'Olin Raw'!$M$41:$M$100,0),
MATCH(F$32,'Olin Raw'!$B$38:$K$38,0)
),"")</f>
        <v>178.8</v>
      </c>
      <c r="G64" s="112">
        <f>IFERROR(
INDEX('Olin Raw'!$B$41:$K$100,
MATCH(TRIM($A64),'Olin Raw'!$M$41:$M$100,0),
MATCH(G$32,'Olin Raw'!$B$38:$K$38,0)
),"")</f>
        <v>220.9</v>
      </c>
      <c r="H64" s="112">
        <f>IFERROR(
INDEX('Olin Raw'!$B$41:$K$100,
MATCH(TRIM($A64),'Olin Raw'!$M$41:$M$100,0),
MATCH(H$32,'Olin Raw'!$B$38:$K$38,0)
),"")</f>
        <v>189.7</v>
      </c>
      <c r="I64" s="112">
        <f>IFERROR(
INDEX('Olin Raw'!$B$41:$K$100,
MATCH(TRIM($A64),'Olin Raw'!$M$41:$M$100,0),
MATCH(I$32,'Olin Raw'!$B$38:$K$38,0)
),"")</f>
        <v>180.5</v>
      </c>
      <c r="J64" s="112">
        <f>IFERROR(
INDEX('Olin Raw'!$B$41:$K$100,
MATCH(TRIM($A64),'Olin Raw'!$M$41:$M$100,0),
MATCH(J$32,'Olin Raw'!$B$38:$K$38,0)
),"")</f>
        <v>194</v>
      </c>
      <c r="K64" s="112">
        <f>IFERROR(
INDEX('Olin Raw'!$B$41:$K$100,
MATCH(TRIM($A64),'Olin Raw'!$M$41:$M$100,0),
MATCH(K$32,'Olin Raw'!$B$38:$K$38,0)
),"")</f>
        <v>170.3</v>
      </c>
      <c r="L64" s="112">
        <f>IFERROR(
INDEX('Olin Raw'!$B$41:$K$100,
MATCH(TRIM($A64),'Olin Raw'!$M$41:$M$100,0),
MATCH(L$32,'Olin Raw'!$B$38:$K$38,0)
),"")</f>
        <v>175.6</v>
      </c>
      <c r="M64" s="112">
        <f>IFERROR(
INDEX('Olin Raw'!$B$41:$K$100,
MATCH(TRIM($A64),'Olin Raw'!$M$41:$M$100,0),
MATCH(M$32,'Olin Raw'!$B$38:$K$38,0)
),"")</f>
        <v>167.6</v>
      </c>
      <c r="N64" s="126">
        <f ca="1">N$139</f>
        <v>332.73756288686775</v>
      </c>
      <c r="O64" s="112">
        <f t="shared" ref="O64:S64" ca="1" si="43">O$139</f>
        <v>771.14766104275191</v>
      </c>
      <c r="P64" s="112">
        <f t="shared" ca="1" si="43"/>
        <v>1395.7937383175483</v>
      </c>
      <c r="Q64" s="112">
        <f t="shared" ca="1" si="43"/>
        <v>2195.3820745735948</v>
      </c>
      <c r="R64" s="112">
        <f t="shared" ca="1" si="43"/>
        <v>2734.6851474795267</v>
      </c>
      <c r="S64" s="127">
        <f t="shared" ca="1" si="43"/>
        <v>3986.5452211245652</v>
      </c>
      <c r="W64" t="s">
        <v>314</v>
      </c>
    </row>
    <row r="65" spans="1:19" x14ac:dyDescent="0.15">
      <c r="A65" t="s">
        <v>121</v>
      </c>
      <c r="C65" t="s">
        <v>262</v>
      </c>
      <c r="D65" s="39">
        <f>IFERROR(
INDEX('Olin Raw'!$B$41:$K$100,
MATCH(TRIM($A65),'Olin Raw'!$M$41:$M$100,0),
MATCH(D$32,'Olin Raw'!$B$38:$K$38,0)
),"")</f>
        <v>700.5</v>
      </c>
      <c r="E65" s="39">
        <f>IFERROR(
INDEX('Olin Raw'!$B$41:$K$100,
MATCH(TRIM($A65),'Olin Raw'!$M$41:$M$100,0),
MATCH(E$32,'Olin Raw'!$B$38:$K$38,0)
),"")</f>
        <v>750.1</v>
      </c>
      <c r="F65" s="39">
        <f>IFERROR(
INDEX('Olin Raw'!$B$41:$K$100,
MATCH(TRIM($A65),'Olin Raw'!$M$41:$M$100,0),
MATCH(F$32,'Olin Raw'!$B$38:$K$38,0)
),"")</f>
        <v>782.2</v>
      </c>
      <c r="G65" s="39">
        <f>IFERROR(
INDEX('Olin Raw'!$B$41:$K$100,
MATCH(TRIM($A65),'Olin Raw'!$M$41:$M$100,0),
MATCH(G$32,'Olin Raw'!$B$38:$K$38,0)
),"")</f>
        <v>774.3</v>
      </c>
      <c r="H65" s="39">
        <f>IFERROR(
INDEX('Olin Raw'!$B$41:$K$100,
MATCH(TRIM($A65),'Olin Raw'!$M$41:$M$100,0),
MATCH(H$32,'Olin Raw'!$B$38:$K$38,0)
),"")</f>
        <v>786</v>
      </c>
      <c r="I65" s="39">
        <f>IFERROR(
INDEX('Olin Raw'!$B$41:$K$100,
MATCH(TRIM($A65),'Olin Raw'!$M$41:$M$100,0),
MATCH(I$32,'Olin Raw'!$B$38:$K$38,0)
),"")</f>
        <v>1106.8</v>
      </c>
      <c r="J65" s="39">
        <f>IFERROR(
INDEX('Olin Raw'!$B$41:$K$100,
MATCH(TRIM($A65),'Olin Raw'!$M$41:$M$100,0),
MATCH(J$32,'Olin Raw'!$B$38:$K$38,0)
),"")</f>
        <v>967.8</v>
      </c>
      <c r="K65" s="39">
        <f>IFERROR(
INDEX('Olin Raw'!$B$41:$K$100,
MATCH(TRIM($A65),'Olin Raw'!$M$41:$M$100,0),
MATCH(K$32,'Olin Raw'!$B$38:$K$38,0)
),"")</f>
        <v>890</v>
      </c>
      <c r="L65" s="39">
        <f>IFERROR(
INDEX('Olin Raw'!$B$41:$K$100,
MATCH(TRIM($A65),'Olin Raw'!$M$41:$M$100,0),
MATCH(L$32,'Olin Raw'!$B$38:$K$38,0)
),"")</f>
        <v>1019.3</v>
      </c>
      <c r="M65" s="39">
        <f>IFERROR(
INDEX('Olin Raw'!$B$41:$K$100,
MATCH(TRIM($A65),'Olin Raw'!$M$41:$M$100,0),
MATCH(M$32,'Olin Raw'!$B$38:$K$38,0)
),"")</f>
        <v>911.1</v>
      </c>
      <c r="N65" s="98">
        <f t="shared" ref="N65:S65" si="44">N$34*N$15 / 365</f>
        <v>966.46463736986311</v>
      </c>
      <c r="O65" s="39">
        <f t="shared" si="44"/>
        <v>962.5987788203837</v>
      </c>
      <c r="P65" s="39">
        <f t="shared" si="44"/>
        <v>1032.7722297963896</v>
      </c>
      <c r="Q65" s="39">
        <f t="shared" si="44"/>
        <v>1064.5816144741184</v>
      </c>
      <c r="R65" s="39">
        <f t="shared" si="44"/>
        <v>1129.5210929570396</v>
      </c>
      <c r="S65" s="99">
        <f t="shared" si="44"/>
        <v>1174.7019366753213</v>
      </c>
    </row>
    <row r="66" spans="1:19" x14ac:dyDescent="0.15">
      <c r="A66" t="s">
        <v>122</v>
      </c>
      <c r="C66" t="s">
        <v>234</v>
      </c>
      <c r="D66" s="39">
        <f>IFERROR(
INDEX('Olin Raw'!$B$41:$K$100,
MATCH(TRIM($A66),'Olin Raw'!$M$41:$M$100,0),
MATCH(D$32,'Olin Raw'!$B$38:$K$38,0)
),"")</f>
        <v>630.4</v>
      </c>
      <c r="E66" s="39">
        <f>IFERROR(
INDEX('Olin Raw'!$B$41:$K$100,
MATCH(TRIM($A66),'Olin Raw'!$M$41:$M$100,0),
MATCH(E$32,'Olin Raw'!$B$38:$K$38,0)
),"")</f>
        <v>682.6</v>
      </c>
      <c r="F66" s="39">
        <f>IFERROR(
INDEX('Olin Raw'!$B$41:$K$100,
MATCH(TRIM($A66),'Olin Raw'!$M$41:$M$100,0),
MATCH(F$32,'Olin Raw'!$B$38:$K$38,0)
),"")</f>
        <v>711.4</v>
      </c>
      <c r="G66" s="39">
        <f>IFERROR(
INDEX('Olin Raw'!$B$41:$K$100,
MATCH(TRIM($A66),'Olin Raw'!$M$41:$M$100,0),
MATCH(G$32,'Olin Raw'!$B$38:$K$38,0)
),"")</f>
        <v>695.7</v>
      </c>
      <c r="H66" s="39">
        <f>IFERROR(
INDEX('Olin Raw'!$B$41:$K$100,
MATCH(TRIM($A66),'Olin Raw'!$M$41:$M$100,0),
MATCH(H$32,'Olin Raw'!$B$38:$K$38,0)
),"")</f>
        <v>674.7</v>
      </c>
      <c r="I66" s="39">
        <f>IFERROR(
INDEX('Olin Raw'!$B$41:$K$100,
MATCH(TRIM($A66),'Olin Raw'!$M$41:$M$100,0),
MATCH(I$32,'Olin Raw'!$B$38:$K$38,0)
),"")</f>
        <v>868.3</v>
      </c>
      <c r="J66" s="39">
        <f>IFERROR(
INDEX('Olin Raw'!$B$41:$K$100,
MATCH(TRIM($A66),'Olin Raw'!$M$41:$M$100,0),
MATCH(J$32,'Olin Raw'!$B$38:$K$38,0)
),"")</f>
        <v>941.9</v>
      </c>
      <c r="K66" s="39">
        <f>IFERROR(
INDEX('Olin Raw'!$B$41:$K$100,
MATCH(TRIM($A66),'Olin Raw'!$M$41:$M$100,0),
MATCH(K$32,'Olin Raw'!$B$38:$K$38,0)
),"")</f>
        <v>858.8</v>
      </c>
      <c r="L66" s="39">
        <f>IFERROR(
INDEX('Olin Raw'!$B$41:$K$100,
MATCH(TRIM($A66),'Olin Raw'!$M$41:$M$100,0),
MATCH(L$32,'Olin Raw'!$B$38:$K$38,0)
),"")</f>
        <v>823.5</v>
      </c>
      <c r="M66" s="39">
        <f>IFERROR(
INDEX('Olin Raw'!$B$41:$K$100,
MATCH(TRIM($A66),'Olin Raw'!$M$41:$M$100,0),
MATCH(M$32,'Olin Raw'!$B$38:$K$38,0)
),"")</f>
        <v>784.5</v>
      </c>
      <c r="N66" s="98">
        <f t="shared" ref="N66:S66" si="45">N$36*N$16 / 365</f>
        <v>822.91505306827412</v>
      </c>
      <c r="O66" s="39">
        <f t="shared" si="45"/>
        <v>802.18267457361867</v>
      </c>
      <c r="P66" s="39">
        <f t="shared" si="45"/>
        <v>827.30957162289633</v>
      </c>
      <c r="Q66" s="39">
        <f t="shared" si="45"/>
        <v>825.1072392214752</v>
      </c>
      <c r="R66" s="39">
        <f t="shared" si="45"/>
        <v>839.70442166496468</v>
      </c>
      <c r="S66" s="99">
        <f t="shared" si="45"/>
        <v>850.02391078182723</v>
      </c>
    </row>
    <row r="67" spans="1:19" x14ac:dyDescent="0.15">
      <c r="A67" t="s">
        <v>123</v>
      </c>
      <c r="C67" t="s">
        <v>123</v>
      </c>
      <c r="D67" s="39">
        <f>IFERROR(
INDEX('Olin Raw'!$B$41:$K$100,
MATCH(TRIM($A67),'Olin Raw'!$M$41:$M$100,0),
MATCH(D$32,'Olin Raw'!$B$38:$K$38,0)
),"")</f>
        <v>0</v>
      </c>
      <c r="E67" s="39">
        <f>IFERROR(
INDEX('Olin Raw'!$B$41:$K$100,
MATCH(TRIM($A67),'Olin Raw'!$M$41:$M$100,0),
MATCH(E$32,'Olin Raw'!$B$38:$K$38,0)
),"")</f>
        <v>0</v>
      </c>
      <c r="F67" s="39">
        <f>IFERROR(
INDEX('Olin Raw'!$B$41:$K$100,
MATCH(TRIM($A67),'Olin Raw'!$M$41:$M$100,0),
MATCH(F$32,'Olin Raw'!$B$38:$K$38,0)
),"")</f>
        <v>0</v>
      </c>
      <c r="G67" s="39">
        <f>IFERROR(
INDEX('Olin Raw'!$B$41:$K$100,
MATCH(TRIM($A67),'Olin Raw'!$M$41:$M$100,0),
MATCH(G$32,'Olin Raw'!$B$38:$K$38,0)
),"")</f>
        <v>0</v>
      </c>
      <c r="H67" s="39">
        <f>IFERROR(
INDEX('Olin Raw'!$B$41:$K$100,
MATCH(TRIM($A67),'Olin Raw'!$M$41:$M$100,0),
MATCH(H$32,'Olin Raw'!$B$38:$K$38,0)
),"")</f>
        <v>0</v>
      </c>
      <c r="I67" s="39">
        <f>IFERROR(
INDEX('Olin Raw'!$B$41:$K$100,
MATCH(TRIM($A67),'Olin Raw'!$M$41:$M$100,0),
MATCH(I$32,'Olin Raw'!$B$38:$K$38,0)
),"")</f>
        <v>0</v>
      </c>
      <c r="J67" s="39">
        <f>IFERROR(
INDEX('Olin Raw'!$B$41:$K$100,
MATCH(TRIM($A67),'Olin Raw'!$M$41:$M$100,0),
MATCH(J$32,'Olin Raw'!$B$38:$K$38,0)
),"")</f>
        <v>0</v>
      </c>
      <c r="K67" s="39">
        <f>IFERROR(
INDEX('Olin Raw'!$B$41:$K$100,
MATCH(TRIM($A67),'Olin Raw'!$M$41:$M$100,0),
MATCH(K$32,'Olin Raw'!$B$38:$K$38,0)
),"")</f>
        <v>0</v>
      </c>
      <c r="L67" s="39">
        <f>IFERROR(
INDEX('Olin Raw'!$B$41:$K$100,
MATCH(TRIM($A67),'Olin Raw'!$M$41:$M$100,0),
MATCH(L$32,'Olin Raw'!$B$38:$K$38,0)
),"")</f>
        <v>0</v>
      </c>
      <c r="M67" s="39">
        <f>IFERROR(
INDEX('Olin Raw'!$B$41:$K$100,
MATCH(TRIM($A67),'Olin Raw'!$M$41:$M$100,0),
MATCH(M$32,'Olin Raw'!$B$38:$K$38,0)
),"")</f>
        <v>0</v>
      </c>
      <c r="N67" s="98">
        <f t="shared" ref="N67:S67" si="46">N$34*N$18</f>
        <v>0</v>
      </c>
      <c r="O67" s="39">
        <f t="shared" si="46"/>
        <v>0</v>
      </c>
      <c r="P67" s="39">
        <f t="shared" si="46"/>
        <v>0</v>
      </c>
      <c r="Q67" s="39">
        <f t="shared" si="46"/>
        <v>0</v>
      </c>
      <c r="R67" s="39">
        <f t="shared" si="46"/>
        <v>0</v>
      </c>
      <c r="S67" s="99">
        <f t="shared" si="46"/>
        <v>0</v>
      </c>
    </row>
    <row r="68" spans="1:19" x14ac:dyDescent="0.15">
      <c r="A68" t="s">
        <v>124</v>
      </c>
      <c r="C68" t="s">
        <v>235</v>
      </c>
      <c r="D68" s="39">
        <f>IFERROR(
INDEX('Olin Raw'!$B$41:$K$100,
MATCH(TRIM($A68),'Olin Raw'!$M$41:$M$100,0),
MATCH(D$32,'Olin Raw'!$B$38:$K$38,0)
),"")</f>
        <v>30.8</v>
      </c>
      <c r="E68" s="39">
        <f>IFERROR(
INDEX('Olin Raw'!$B$41:$K$100,
MATCH(TRIM($A68),'Olin Raw'!$M$41:$M$100,0),
MATCH(E$32,'Olin Raw'!$B$38:$K$38,0)
),"")</f>
        <v>48.1</v>
      </c>
      <c r="F68" s="39">
        <f>IFERROR(
INDEX('Olin Raw'!$B$41:$K$100,
MATCH(TRIM($A68),'Olin Raw'!$M$41:$M$100,0),
MATCH(F$32,'Olin Raw'!$B$38:$K$38,0)
),"")</f>
        <v>35</v>
      </c>
      <c r="G68" s="39">
        <f>IFERROR(
INDEX('Olin Raw'!$B$41:$K$100,
MATCH(TRIM($A68),'Olin Raw'!$M$41:$M$100,0),
MATCH(G$32,'Olin Raw'!$B$38:$K$38,0)
),"")</f>
        <v>23.1</v>
      </c>
      <c r="H68" s="39">
        <f>IFERROR(
INDEX('Olin Raw'!$B$41:$K$100,
MATCH(TRIM($A68),'Olin Raw'!$M$41:$M$100,0),
MATCH(H$32,'Olin Raw'!$B$38:$K$38,0)
),"")</f>
        <v>66.7</v>
      </c>
      <c r="I68" s="39">
        <f>IFERROR(
INDEX('Olin Raw'!$B$41:$K$100,
MATCH(TRIM($A68),'Olin Raw'!$M$41:$M$100,0),
MATCH(I$32,'Olin Raw'!$B$38:$K$38,0)
),"")</f>
        <v>92.7</v>
      </c>
      <c r="J68" s="39">
        <f>IFERROR(
INDEX('Olin Raw'!$B$41:$K$100,
MATCH(TRIM($A68),'Olin Raw'!$M$41:$M$100,0),
MATCH(J$32,'Olin Raw'!$B$38:$K$38,0)
),"")</f>
        <v>52.7</v>
      </c>
      <c r="K68" s="39">
        <f>IFERROR(
INDEX('Olin Raw'!$B$41:$K$100,
MATCH(TRIM($A68),'Olin Raw'!$M$41:$M$100,0),
MATCH(K$32,'Olin Raw'!$B$38:$K$38,0)
),"")</f>
        <v>54.1</v>
      </c>
      <c r="L68" s="39">
        <f>IFERROR(
INDEX('Olin Raw'!$B$41:$K$100,
MATCH(TRIM($A68),'Olin Raw'!$M$41:$M$100,0),
MATCH(L$32,'Olin Raw'!$B$38:$K$38,0)
),"")</f>
        <v>61.4</v>
      </c>
      <c r="M68" s="39">
        <f>IFERROR(
INDEX('Olin Raw'!$B$41:$K$100,
MATCH(TRIM($A68),'Olin Raw'!$M$41:$M$100,0),
MATCH(M$32,'Olin Raw'!$B$38:$K$38,0)
),"")</f>
        <v>107.9</v>
      </c>
      <c r="N68" s="98">
        <f t="shared" ref="N68:S68" si="47">N$34*N$19</f>
        <v>114.55743000000002</v>
      </c>
      <c r="O68" s="39">
        <f t="shared" si="47"/>
        <v>58.080067134336005</v>
      </c>
      <c r="P68" s="39">
        <f t="shared" si="47"/>
        <v>62.314104028429099</v>
      </c>
      <c r="Q68" s="39">
        <f t="shared" si="47"/>
        <v>64.233378432504708</v>
      </c>
      <c r="R68" s="39">
        <f t="shared" si="47"/>
        <v>68.151614516887491</v>
      </c>
      <c r="S68" s="99">
        <f t="shared" si="47"/>
        <v>70.877679097563004</v>
      </c>
    </row>
    <row r="69" spans="1:19" s="48" customFormat="1" x14ac:dyDescent="0.15">
      <c r="A69" s="48" t="s">
        <v>125</v>
      </c>
      <c r="C69" s="88" t="s">
        <v>125</v>
      </c>
      <c r="D69" s="89">
        <f>IFERROR(
INDEX('Olin Raw'!$B$41:$K$100,
MATCH(TRIM($A69),'Olin Raw'!$M$41:$M$100,0),
MATCH(D$32,'Olin Raw'!$B$38:$K$38,0)
),"")</f>
        <v>1546.2</v>
      </c>
      <c r="E69" s="89">
        <f>IFERROR(
INDEX('Olin Raw'!$B$41:$K$100,
MATCH(TRIM($A69),'Olin Raw'!$M$41:$M$100,0),
MATCH(E$32,'Olin Raw'!$B$38:$K$38,0)
),"")</f>
        <v>1699.2</v>
      </c>
      <c r="F69" s="89">
        <f>IFERROR(
INDEX('Olin Raw'!$B$41:$K$100,
MATCH(TRIM($A69),'Olin Raw'!$M$41:$M$100,0),
MATCH(F$32,'Olin Raw'!$B$38:$K$38,0)
),"")</f>
        <v>1707.4</v>
      </c>
      <c r="G69" s="89">
        <f>IFERROR(
INDEX('Olin Raw'!$B$41:$K$100,
MATCH(TRIM($A69),'Olin Raw'!$M$41:$M$100,0),
MATCH(G$32,'Olin Raw'!$B$38:$K$38,0)
),"")</f>
        <v>1714</v>
      </c>
      <c r="H69" s="89">
        <f>IFERROR(
INDEX('Olin Raw'!$B$41:$K$100,
MATCH(TRIM($A69),'Olin Raw'!$M$41:$M$100,0),
MATCH(H$32,'Olin Raw'!$B$38:$K$38,0)
),"")</f>
        <v>1717.1</v>
      </c>
      <c r="I69" s="89">
        <f>IFERROR(
INDEX('Olin Raw'!$B$41:$K$100,
MATCH(TRIM($A69),'Olin Raw'!$M$41:$M$100,0),
MATCH(I$32,'Olin Raw'!$B$38:$K$38,0)
),"")</f>
        <v>2248.3000000000002</v>
      </c>
      <c r="J69" s="89">
        <f>IFERROR(
INDEX('Olin Raw'!$B$41:$K$100,
MATCH(TRIM($A69),'Olin Raw'!$M$41:$M$100,0),
MATCH(J$32,'Olin Raw'!$B$38:$K$38,0)
),"")</f>
        <v>2156.4</v>
      </c>
      <c r="K69" s="89">
        <f>IFERROR(
INDEX('Olin Raw'!$B$41:$K$100,
MATCH(TRIM($A69),'Olin Raw'!$M$41:$M$100,0),
MATCH(K$32,'Olin Raw'!$B$38:$K$38,0)
),"")</f>
        <v>1973.2</v>
      </c>
      <c r="L69" s="89">
        <f>IFERROR(
INDEX('Olin Raw'!$B$41:$K$100,
MATCH(TRIM($A69),'Olin Raw'!$M$41:$M$100,0),
MATCH(L$32,'Olin Raw'!$B$38:$K$38,0)
),"")</f>
        <v>2079.8000000000002</v>
      </c>
      <c r="M69" s="89">
        <f>IFERROR(
INDEX('Olin Raw'!$B$41:$K$100,
MATCH(TRIM($A69),'Olin Raw'!$M$41:$M$100,0),
MATCH(M$32,'Olin Raw'!$B$38:$K$38,0)
),"")</f>
        <v>1971.1</v>
      </c>
      <c r="N69" s="94">
        <f ca="1">SUM(N$64:N$68)</f>
        <v>2236.6746833250049</v>
      </c>
      <c r="O69" s="89">
        <f t="shared" ref="O69:S69" ca="1" si="48">SUM(O$64:O$68)</f>
        <v>2594.0091815710903</v>
      </c>
      <c r="P69" s="89">
        <f t="shared" ca="1" si="48"/>
        <v>3318.1896437652631</v>
      </c>
      <c r="Q69" s="89">
        <f t="shared" ca="1" si="48"/>
        <v>4149.3043067016933</v>
      </c>
      <c r="R69" s="89">
        <f t="shared" ca="1" si="48"/>
        <v>4772.0622766184179</v>
      </c>
      <c r="S69" s="95">
        <f t="shared" ca="1" si="48"/>
        <v>6082.1487476792763</v>
      </c>
    </row>
    <row r="70" spans="1:19" x14ac:dyDescent="0.15"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98"/>
      <c r="O70" s="39"/>
      <c r="P70" s="39"/>
      <c r="Q70" s="39"/>
      <c r="R70" s="39"/>
      <c r="S70" s="99"/>
    </row>
    <row r="71" spans="1:19" x14ac:dyDescent="0.15">
      <c r="A71" t="s">
        <v>263</v>
      </c>
      <c r="C71" t="s">
        <v>264</v>
      </c>
      <c r="D71" s="39">
        <f>IFERROR(
INDEX('Olin Raw'!$B$41:$K$100,
MATCH(TRIM($A71),'Olin Raw'!$M$41:$M$100,0),
MATCH(D$32,'Olin Raw'!$B$38:$K$38,0)
),"")</f>
        <v>5596.5</v>
      </c>
      <c r="E71" s="39">
        <f>IFERROR(
INDEX('Olin Raw'!$B$41:$K$100,
MATCH(TRIM($A71),'Olin Raw'!$M$41:$M$100,0),
MATCH(E$32,'Olin Raw'!$B$38:$K$38,0)
),"")</f>
        <v>5908.9</v>
      </c>
      <c r="F71" s="39">
        <f>IFERROR(
INDEX('Olin Raw'!$B$41:$K$100,
MATCH(TRIM($A71),'Olin Raw'!$M$41:$M$100,0),
MATCH(F$32,'Olin Raw'!$B$38:$K$38,0)
),"")</f>
        <v>6263.1</v>
      </c>
      <c r="G71" s="39">
        <f>IFERROR(
INDEX('Olin Raw'!$B$41:$K$100,
MATCH(TRIM($A71),'Olin Raw'!$M$41:$M$100,0),
MATCH(G$32,'Olin Raw'!$B$38:$K$38,0)
),"")</f>
        <v>6969.7</v>
      </c>
      <c r="H71" s="39">
        <f>IFERROR(
INDEX('Olin Raw'!$B$41:$K$100,
MATCH(TRIM($A71),'Olin Raw'!$M$41:$M$100,0),
MATCH(H$32,'Olin Raw'!$B$38:$K$38,0)
),"")</f>
        <v>7251.5</v>
      </c>
      <c r="I71" s="39">
        <f>IFERROR(
INDEX('Olin Raw'!$B$41:$K$100,
MATCH(TRIM($A71),'Olin Raw'!$M$41:$M$100,0),
MATCH(I$32,'Olin Raw'!$B$38:$K$38,0)
),"")</f>
        <v>7362.5</v>
      </c>
      <c r="J71" s="39">
        <f>IFERROR(
INDEX('Olin Raw'!$B$41:$K$100,
MATCH(TRIM($A71),'Olin Raw'!$M$41:$M$100,0),
MATCH(J$32,'Olin Raw'!$B$38:$K$38,0)
),"")</f>
        <v>7443.2</v>
      </c>
      <c r="K71" s="39">
        <f>IFERROR(
INDEX('Olin Raw'!$B$41:$K$100,
MATCH(TRIM($A71),'Olin Raw'!$M$41:$M$100,0),
MATCH(K$32,'Olin Raw'!$B$38:$K$38,0)
),"")</f>
        <v>7690.7</v>
      </c>
      <c r="L71" s="39">
        <f>IFERROR(
INDEX('Olin Raw'!$B$41:$K$100,
MATCH(TRIM($A71),'Olin Raw'!$M$41:$M$100,0),
MATCH(L$32,'Olin Raw'!$B$38:$K$38,0)
),"")</f>
        <v>7819.8</v>
      </c>
      <c r="M71" s="39">
        <f>IFERROR(
INDEX('Olin Raw'!$B$41:$K$100,
MATCH(TRIM($A71),'Olin Raw'!$M$41:$M$100,0),
MATCH(M$32,'Olin Raw'!$B$38:$K$38,0)
),"")</f>
        <v>8004.2</v>
      </c>
      <c r="N71" s="98">
        <f>'Olin D&amp;A'!M$19</f>
        <v>8220.1752608000006</v>
      </c>
      <c r="O71" s="39">
        <f>'Olin D&amp;A'!N19</f>
        <v>8435.2866205568007</v>
      </c>
      <c r="P71" s="39">
        <f>'Olin D&amp;A'!O19</f>
        <v>8666.0795984398719</v>
      </c>
      <c r="Q71" s="39">
        <f>'Olin D&amp;A'!P19</f>
        <v>8903.9810000417419</v>
      </c>
      <c r="R71" s="39">
        <f>'Olin D&amp;A'!Q19</f>
        <v>9156.3943871413248</v>
      </c>
      <c r="S71" s="99">
        <f>'Olin D&amp;A'!R19</f>
        <v>9418.9043097248923</v>
      </c>
    </row>
    <row r="72" spans="1:19" x14ac:dyDescent="0.15">
      <c r="A72" t="s">
        <v>265</v>
      </c>
      <c r="C72" t="s">
        <v>266</v>
      </c>
      <c r="D72" s="39">
        <f>IFERROR(
INDEX('Olin Raw'!$B$41:$K$100,
MATCH(TRIM($A72),'Olin Raw'!$M$41:$M$100,0),
MATCH(D$32,'Olin Raw'!$B$38:$K$38,0)
),"")</f>
        <v>-1891.6</v>
      </c>
      <c r="E72" s="39">
        <f>IFERROR(
INDEX('Olin Raw'!$B$41:$K$100,
MATCH(TRIM($A72),'Olin Raw'!$M$41:$M$100,0),
MATCH(E$32,'Olin Raw'!$B$38:$K$38,0)
),"")</f>
        <v>-2333.1</v>
      </c>
      <c r="F72" s="39">
        <f>IFERROR(
INDEX('Olin Raw'!$B$41:$K$100,
MATCH(TRIM($A72),'Olin Raw'!$M$41:$M$100,0),
MATCH(F$32,'Olin Raw'!$B$38:$K$38,0)
),"")</f>
        <v>-2781</v>
      </c>
      <c r="G72" s="39">
        <f>IFERROR(
INDEX('Olin Raw'!$B$41:$K$100,
MATCH(TRIM($A72),'Olin Raw'!$M$41:$M$100,0),
MATCH(G$32,'Olin Raw'!$B$38:$K$38,0)
),"")</f>
        <v>-3268.1</v>
      </c>
      <c r="H72" s="39">
        <f>IFERROR(
INDEX('Olin Raw'!$B$41:$K$100,
MATCH(TRIM($A72),'Olin Raw'!$M$41:$M$100,0),
MATCH(H$32,'Olin Raw'!$B$38:$K$38,0)
),"")</f>
        <v>-3719.8</v>
      </c>
      <c r="I72" s="39">
        <f>IFERROR(
INDEX('Olin Raw'!$B$41:$K$100,
MATCH(TRIM($A72),'Olin Raw'!$M$41:$M$100,0),
MATCH(I$32,'Olin Raw'!$B$38:$K$38,0)
),"")</f>
        <v>-4076.5</v>
      </c>
      <c r="J72" s="39">
        <f>IFERROR(
INDEX('Olin Raw'!$B$41:$K$100,
MATCH(TRIM($A72),'Olin Raw'!$M$41:$M$100,0),
MATCH(J$32,'Olin Raw'!$B$38:$K$38,0)
),"")</f>
        <v>-4413.1000000000004</v>
      </c>
      <c r="K72" s="39">
        <f>IFERROR(
INDEX('Olin Raw'!$B$41:$K$100,
MATCH(TRIM($A72),'Olin Raw'!$M$41:$M$100,0),
MATCH(K$32,'Olin Raw'!$B$38:$K$38,0)
),"")</f>
        <v>-4826.3999999999996</v>
      </c>
      <c r="L72" s="39">
        <f>IFERROR(
INDEX('Olin Raw'!$B$41:$K$100,
MATCH(TRIM($A72),'Olin Raw'!$M$41:$M$100,0),
MATCH(L$32,'Olin Raw'!$B$38:$K$38,0)
),"")</f>
        <v>-5189.2</v>
      </c>
      <c r="M72" s="39">
        <f>IFERROR(
INDEX('Olin Raw'!$B$41:$K$100,
MATCH(TRIM($A72),'Olin Raw'!$M$41:$M$100,0),
MATCH(M$32,'Olin Raw'!$B$38:$K$38,0)
),"")</f>
        <v>-5508.7</v>
      </c>
      <c r="N72" s="98">
        <f>'Olin D&amp;A'!M$25</f>
        <v>-5979.2068825631995</v>
      </c>
      <c r="O72" s="39">
        <f>'Olin D&amp;A'!N$25</f>
        <v>-6462.2152771225465</v>
      </c>
      <c r="P72" s="39">
        <f>'Olin D&amp;A'!O$25</f>
        <v>-6958.1548974734496</v>
      </c>
      <c r="Q72" s="39">
        <f>'Olin D&amp;A'!P$25</f>
        <v>-7467.6866548294165</v>
      </c>
      <c r="R72" s="39">
        <f>'Olin D&amp;A'!Q$25</f>
        <v>-7991.4375410577259</v>
      </c>
      <c r="S72" s="99">
        <f>'Olin D&amp;A'!R$25</f>
        <v>-8530.1212032668464</v>
      </c>
    </row>
    <row r="73" spans="1:19" x14ac:dyDescent="0.15">
      <c r="A73" t="s">
        <v>128</v>
      </c>
      <c r="C73" s="48" t="s">
        <v>267</v>
      </c>
      <c r="D73" s="57">
        <f>IFERROR(
INDEX('Olin Raw'!$B$41:$K$100,
MATCH(TRIM($A73),'Olin Raw'!$M$41:$M$100,0),
MATCH(D$32,'Olin Raw'!$B$38:$K$38,0)
),"")</f>
        <v>3704.9</v>
      </c>
      <c r="E73" s="57">
        <f>IFERROR(
INDEX('Olin Raw'!$B$41:$K$100,
MATCH(TRIM($A73),'Olin Raw'!$M$41:$M$100,0),
MATCH(E$32,'Olin Raw'!$B$38:$K$38,0)
),"")</f>
        <v>3575.8</v>
      </c>
      <c r="F73" s="57">
        <f>IFERROR(
INDEX('Olin Raw'!$B$41:$K$100,
MATCH(TRIM($A73),'Olin Raw'!$M$41:$M$100,0),
MATCH(F$32,'Olin Raw'!$B$38:$K$38,0)
),"")</f>
        <v>3482.1</v>
      </c>
      <c r="G73" s="57">
        <f>IFERROR(
INDEX('Olin Raw'!$B$41:$K$100,
MATCH(TRIM($A73),'Olin Raw'!$M$41:$M$100,0),
MATCH(G$32,'Olin Raw'!$B$38:$K$38,0)
),"")</f>
        <v>3701.6</v>
      </c>
      <c r="H73" s="57">
        <f>IFERROR(
INDEX('Olin Raw'!$B$41:$K$100,
MATCH(TRIM($A73),'Olin Raw'!$M$41:$M$100,0),
MATCH(H$32,'Olin Raw'!$B$38:$K$38,0)
),"")</f>
        <v>3531.7</v>
      </c>
      <c r="I73" s="57">
        <f>IFERROR(
INDEX('Olin Raw'!$B$41:$K$100,
MATCH(TRIM($A73),'Olin Raw'!$M$41:$M$100,0),
MATCH(I$32,'Olin Raw'!$B$38:$K$38,0)
),"")</f>
        <v>3286</v>
      </c>
      <c r="J73" s="57">
        <f>IFERROR(
INDEX('Olin Raw'!$B$41:$K$100,
MATCH(TRIM($A73),'Olin Raw'!$M$41:$M$100,0),
MATCH(J$32,'Olin Raw'!$B$38:$K$38,0)
),"")</f>
        <v>3030.1</v>
      </c>
      <c r="K73" s="57">
        <f>IFERROR(
INDEX('Olin Raw'!$B$41:$K$100,
MATCH(TRIM($A73),'Olin Raw'!$M$41:$M$100,0),
MATCH(K$32,'Olin Raw'!$B$38:$K$38,0)
),"")</f>
        <v>2864.3</v>
      </c>
      <c r="L73" s="57">
        <f>IFERROR(
INDEX('Olin Raw'!$B$41:$K$100,
MATCH(TRIM($A73),'Olin Raw'!$M$41:$M$100,0),
MATCH(L$32,'Olin Raw'!$B$38:$K$38,0)
),"")</f>
        <v>2630.6</v>
      </c>
      <c r="M73" s="57">
        <f>IFERROR(
INDEX('Olin Raw'!$B$41:$K$100,
MATCH(TRIM($A73),'Olin Raw'!$M$41:$M$100,0),
MATCH(M$32,'Olin Raw'!$B$38:$K$38,0)
),"")</f>
        <v>2495.5</v>
      </c>
      <c r="N73" s="96">
        <f>'Olin D&amp;A'!M$27</f>
        <v>2240.9683782368011</v>
      </c>
      <c r="O73" s="57">
        <f>'Olin D&amp;A'!N$27</f>
        <v>1973.0713434342542</v>
      </c>
      <c r="P73" s="57">
        <f>'Olin D&amp;A'!O$27</f>
        <v>1707.9247009664223</v>
      </c>
      <c r="Q73" s="57">
        <f>'Olin D&amp;A'!P$27</f>
        <v>1436.2943452123254</v>
      </c>
      <c r="R73" s="57">
        <f>'Olin D&amp;A'!Q$27</f>
        <v>1164.956846083599</v>
      </c>
      <c r="S73" s="97">
        <f>'Olin D&amp;A'!R$27</f>
        <v>888.78310645804595</v>
      </c>
    </row>
    <row r="74" spans="1:19" x14ac:dyDescent="0.15">
      <c r="A74" t="s">
        <v>129</v>
      </c>
      <c r="C74" t="s">
        <v>236</v>
      </c>
      <c r="D74" s="39">
        <f>IFERROR(
INDEX('Olin Raw'!$B$41:$K$100,
MATCH(TRIM($A74),'Olin Raw'!$M$41:$M$100,0),
MATCH(D$32,'Olin Raw'!$B$38:$K$38,0)
),"")</f>
        <v>2118</v>
      </c>
      <c r="E74" s="39">
        <f>IFERROR(
INDEX('Olin Raw'!$B$41:$K$100,
MATCH(TRIM($A74),'Olin Raw'!$M$41:$M$100,0),
MATCH(E$32,'Olin Raw'!$B$38:$K$38,0)
),"")</f>
        <v>2120</v>
      </c>
      <c r="F74" s="39">
        <f>IFERROR(
INDEX('Olin Raw'!$B$41:$K$100,
MATCH(TRIM($A74),'Olin Raw'!$M$41:$M$100,0),
MATCH(F$32,'Olin Raw'!$B$38:$K$38,0)
),"")</f>
        <v>2119.6</v>
      </c>
      <c r="G74" s="39">
        <f>IFERROR(
INDEX('Olin Raw'!$B$41:$K$100,
MATCH(TRIM($A74),'Olin Raw'!$M$41:$M$100,0),
MATCH(G$32,'Olin Raw'!$B$38:$K$38,0)
),"")</f>
        <v>2119.6999999999998</v>
      </c>
      <c r="H74" s="39">
        <f>IFERROR(
INDEX('Olin Raw'!$B$41:$K$100,
MATCH(TRIM($A74),'Olin Raw'!$M$41:$M$100,0),
MATCH(H$32,'Olin Raw'!$B$38:$K$38,0)
),"")</f>
        <v>1420.2</v>
      </c>
      <c r="I74" s="39">
        <f>IFERROR(
INDEX('Olin Raw'!$B$41:$K$100,
MATCH(TRIM($A74),'Olin Raw'!$M$41:$M$100,0),
MATCH(I$32,'Olin Raw'!$B$38:$K$38,0)
),"")</f>
        <v>1420.6</v>
      </c>
      <c r="J74" s="39">
        <f>IFERROR(
INDEX('Olin Raw'!$B$41:$K$100,
MATCH(TRIM($A74),'Olin Raw'!$M$41:$M$100,0),
MATCH(J$32,'Olin Raw'!$B$38:$K$38,0)
),"")</f>
        <v>1420.9</v>
      </c>
      <c r="K74" s="39">
        <f>IFERROR(
INDEX('Olin Raw'!$B$41:$K$100,
MATCH(TRIM($A74),'Olin Raw'!$M$41:$M$100,0),
MATCH(K$32,'Olin Raw'!$B$38:$K$38,0)
),"")</f>
        <v>1424</v>
      </c>
      <c r="L74" s="39">
        <f>IFERROR(
INDEX('Olin Raw'!$B$41:$K$100,
MATCH(TRIM($A74),'Olin Raw'!$M$41:$M$100,0),
MATCH(L$32,'Olin Raw'!$B$38:$K$38,0)
),"")</f>
        <v>1423.6</v>
      </c>
      <c r="M74" s="39">
        <f>IFERROR(
INDEX('Olin Raw'!$B$41:$K$100,
MATCH(TRIM($A74),'Olin Raw'!$M$41:$M$100,0),
MATCH(M$32,'Olin Raw'!$B$38:$K$38,0)
),"")</f>
        <v>1427.6</v>
      </c>
      <c r="N74" s="98">
        <f>$M$74</f>
        <v>1427.6</v>
      </c>
      <c r="O74" s="39">
        <f t="shared" ref="O74:S74" si="49">$M$74</f>
        <v>1427.6</v>
      </c>
      <c r="P74" s="39">
        <f t="shared" si="49"/>
        <v>1427.6</v>
      </c>
      <c r="Q74" s="39">
        <f t="shared" si="49"/>
        <v>1427.6</v>
      </c>
      <c r="R74" s="39">
        <f t="shared" si="49"/>
        <v>1427.6</v>
      </c>
      <c r="S74" s="99">
        <f t="shared" si="49"/>
        <v>1427.6</v>
      </c>
    </row>
    <row r="75" spans="1:19" x14ac:dyDescent="0.15">
      <c r="A75" t="s">
        <v>130</v>
      </c>
      <c r="C75" t="s">
        <v>268</v>
      </c>
      <c r="D75" s="39">
        <f>IFERROR(
INDEX('Olin Raw'!$B$41:$K$100,
MATCH(TRIM($A75),'Olin Raw'!$M$41:$M$100,0),
MATCH(D$32,'Olin Raw'!$B$38:$K$38,0)
),"")</f>
        <v>629.6</v>
      </c>
      <c r="E75" s="39">
        <f>IFERROR(
INDEX('Olin Raw'!$B$41:$K$100,
MATCH(TRIM($A75),'Olin Raw'!$M$41:$M$100,0),
MATCH(E$32,'Olin Raw'!$B$38:$K$38,0)
),"")</f>
        <v>578.5</v>
      </c>
      <c r="F75" s="39">
        <f>IFERROR(
INDEX('Olin Raw'!$B$41:$K$100,
MATCH(TRIM($A75),'Olin Raw'!$M$41:$M$100,0),
MATCH(F$32,'Olin Raw'!$B$38:$K$38,0)
),"")</f>
        <v>511.6</v>
      </c>
      <c r="G75" s="39">
        <f>IFERROR(
INDEX('Olin Raw'!$B$41:$K$100,
MATCH(TRIM($A75),'Olin Raw'!$M$41:$M$100,0),
MATCH(G$32,'Olin Raw'!$B$38:$K$38,0)
),"")</f>
        <v>448.1</v>
      </c>
      <c r="H75" s="39">
        <f>IFERROR(
INDEX('Olin Raw'!$B$41:$K$100,
MATCH(TRIM($A75),'Olin Raw'!$M$41:$M$100,0),
MATCH(H$32,'Olin Raw'!$B$38:$K$38,0)
),"")</f>
        <v>399.4</v>
      </c>
      <c r="I75" s="39">
        <f>IFERROR(
INDEX('Olin Raw'!$B$41:$K$100,
MATCH(TRIM($A75),'Olin Raw'!$M$41:$M$100,0),
MATCH(I$32,'Olin Raw'!$B$38:$K$38,0)
),"")</f>
        <v>331.7</v>
      </c>
      <c r="J75" s="39">
        <f>IFERROR(
INDEX('Olin Raw'!$B$41:$K$100,
MATCH(TRIM($A75),'Olin Raw'!$M$41:$M$100,0),
MATCH(J$32,'Olin Raw'!$B$38:$K$38,0)
),"")</f>
        <v>1321.8</v>
      </c>
      <c r="K75" s="39">
        <f>IFERROR(
INDEX('Olin Raw'!$B$41:$K$100,
MATCH(TRIM($A75),'Olin Raw'!$M$41:$M$100,0),
MATCH(K$32,'Olin Raw'!$B$38:$K$38,0)
),"")</f>
        <v>1307.5999999999999</v>
      </c>
      <c r="L75" s="39">
        <f>IFERROR(
INDEX('Olin Raw'!$B$41:$K$100,
MATCH(TRIM($A75),'Olin Raw'!$M$41:$M$100,0),
MATCH(L$32,'Olin Raw'!$B$38:$K$38,0)
),"")</f>
        <v>1253.9000000000001</v>
      </c>
      <c r="M75" s="39">
        <f>IFERROR(
INDEX('Olin Raw'!$B$41:$K$100,
MATCH(TRIM($A75),'Olin Raw'!$M$41:$M$100,0),
MATCH(M$32,'Olin Raw'!$B$38:$K$38,0)
),"")</f>
        <v>1170.4000000000001</v>
      </c>
      <c r="N75" s="98">
        <f>'Olin D&amp;A'!M$32</f>
        <v>1134.6000000000001</v>
      </c>
      <c r="O75" s="39">
        <f>'Olin D&amp;A'!N$32</f>
        <v>1098.9000000000001</v>
      </c>
      <c r="P75" s="39">
        <f>'Olin D&amp;A'!O$32</f>
        <v>1063.4000000000001</v>
      </c>
      <c r="Q75" s="39">
        <f>'Olin D&amp;A'!P$32</f>
        <v>1027.9000000000001</v>
      </c>
      <c r="R75" s="39">
        <f>'Olin D&amp;A'!Q$32</f>
        <v>1001.3000000000001</v>
      </c>
      <c r="S75" s="99">
        <f>'Olin D&amp;A'!R$32</f>
        <v>974.7</v>
      </c>
    </row>
    <row r="76" spans="1:19" x14ac:dyDescent="0.15">
      <c r="A76" t="s">
        <v>131</v>
      </c>
      <c r="C76" t="s">
        <v>269</v>
      </c>
      <c r="D76" s="39">
        <f>IFERROR(
INDEX('Olin Raw'!$B$41:$K$100,
MATCH(TRIM($A76),'Olin Raw'!$M$41:$M$100,0),
MATCH(D$32,'Olin Raw'!$B$38:$K$38,0)
),"")</f>
        <v>26.7</v>
      </c>
      <c r="E76" s="39">
        <f>IFERROR(
INDEX('Olin Raw'!$B$41:$K$100,
MATCH(TRIM($A76),'Olin Raw'!$M$41:$M$100,0),
MATCH(E$32,'Olin Raw'!$B$38:$K$38,0)
),"")</f>
        <v>28.5</v>
      </c>
      <c r="F76" s="39">
        <f>IFERROR(
INDEX('Olin Raw'!$B$41:$K$100,
MATCH(TRIM($A76),'Olin Raw'!$M$41:$M$100,0),
MATCH(F$32,'Olin Raw'!$B$38:$K$38,0)
),"")</f>
        <v>8.8000000000000007</v>
      </c>
      <c r="G76" s="39">
        <f>IFERROR(
INDEX('Olin Raw'!$B$41:$K$100,
MATCH(TRIM($A76),'Olin Raw'!$M$41:$M$100,0),
MATCH(G$32,'Olin Raw'!$B$38:$K$38,0)
),"")</f>
        <v>0</v>
      </c>
      <c r="H76" s="39">
        <f>IFERROR(
INDEX('Olin Raw'!$B$41:$K$100,
MATCH(TRIM($A76),'Olin Raw'!$M$41:$M$100,0),
MATCH(H$32,'Olin Raw'!$B$38:$K$38,0)
),"")</f>
        <v>0</v>
      </c>
      <c r="I76" s="39">
        <f>IFERROR(
INDEX('Olin Raw'!$B$41:$K$100,
MATCH(TRIM($A76),'Olin Raw'!$M$41:$M$100,0),
MATCH(I$32,'Olin Raw'!$B$38:$K$38,0)
),"")</f>
        <v>0</v>
      </c>
      <c r="J76" s="39">
        <f>IFERROR(
INDEX('Olin Raw'!$B$41:$K$100,
MATCH(TRIM($A76),'Olin Raw'!$M$41:$M$100,0),
MATCH(J$32,'Olin Raw'!$B$38:$K$38,0)
),"")</f>
        <v>0</v>
      </c>
      <c r="K76" s="39">
        <f>IFERROR(
INDEX('Olin Raw'!$B$41:$K$100,
MATCH(TRIM($A76),'Olin Raw'!$M$41:$M$100,0),
MATCH(K$32,'Olin Raw'!$B$38:$K$38,0)
),"")</f>
        <v>0</v>
      </c>
      <c r="L76" s="39">
        <f>IFERROR(
INDEX('Olin Raw'!$B$41:$K$100,
MATCH(TRIM($A76),'Olin Raw'!$M$41:$M$100,0),
MATCH(L$32,'Olin Raw'!$B$38:$K$38,0)
),"")</f>
        <v>23</v>
      </c>
      <c r="M76" s="39">
        <f>IFERROR(
INDEX('Olin Raw'!$B$41:$K$100,
MATCH(TRIM($A76),'Olin Raw'!$M$41:$M$100,0),
MATCH(M$32,'Olin Raw'!$B$38:$K$38,0)
),"")</f>
        <v>21.3</v>
      </c>
      <c r="N76" s="104">
        <f>$M$76</f>
        <v>21.3</v>
      </c>
      <c r="O76" s="50">
        <f t="shared" ref="O76:S76" si="50">$M$76</f>
        <v>21.3</v>
      </c>
      <c r="P76" s="50">
        <f t="shared" si="50"/>
        <v>21.3</v>
      </c>
      <c r="Q76" s="50">
        <f t="shared" si="50"/>
        <v>21.3</v>
      </c>
      <c r="R76" s="50">
        <f t="shared" si="50"/>
        <v>21.3</v>
      </c>
      <c r="S76" s="105">
        <f t="shared" si="50"/>
        <v>21.3</v>
      </c>
    </row>
    <row r="77" spans="1:19" x14ac:dyDescent="0.15">
      <c r="A77" t="s">
        <v>133</v>
      </c>
      <c r="C77" t="s">
        <v>270</v>
      </c>
      <c r="D77" s="39">
        <f>IFERROR(
INDEX('Olin Raw'!$B$41:$K$100,
MATCH(TRIM($A77),'Olin Raw'!$M$41:$M$100,0),
MATCH(D$32,'Olin Raw'!$B$38:$K$38,0)
),"")</f>
        <v>719.7</v>
      </c>
      <c r="E77" s="39">
        <f>IFERROR(
INDEX('Olin Raw'!$B$41:$K$100,
MATCH(TRIM($A77),'Olin Raw'!$M$41:$M$100,0),
MATCH(E$32,'Olin Raw'!$B$38:$K$38,0)
),"")</f>
        <v>1206.0999999999999</v>
      </c>
      <c r="F77" s="39">
        <f>IFERROR(
INDEX('Olin Raw'!$B$41:$K$100,
MATCH(TRIM($A77),'Olin Raw'!$M$41:$M$100,0),
MATCH(F$32,'Olin Raw'!$B$38:$K$38,0)
),"")</f>
        <v>1167.9000000000001</v>
      </c>
      <c r="G77" s="39">
        <f>IFERROR(
INDEX('Olin Raw'!$B$41:$K$100,
MATCH(TRIM($A77),'Olin Raw'!$M$41:$M$100,0),
MATCH(G$32,'Olin Raw'!$B$38:$K$38,0)
),"")</f>
        <v>1204.4000000000001</v>
      </c>
      <c r="H77" s="39">
        <f>IFERROR(
INDEX('Olin Raw'!$B$41:$K$100,
MATCH(TRIM($A77),'Olin Raw'!$M$41:$M$100,0),
MATCH(H$32,'Olin Raw'!$B$38:$K$38,0)
),"")</f>
        <v>1202.5</v>
      </c>
      <c r="I77" s="39">
        <f>IFERROR(
INDEX('Olin Raw'!$B$41:$K$100,
MATCH(TRIM($A77),'Olin Raw'!$M$41:$M$100,0),
MATCH(I$32,'Olin Raw'!$B$38:$K$38,0)
),"")</f>
        <v>1231.0999999999999</v>
      </c>
      <c r="J77" s="39">
        <f>IFERROR(
INDEX('Olin Raw'!$B$41:$K$100,
MATCH(TRIM($A77),'Olin Raw'!$M$41:$M$100,0),
MATCH(J$32,'Olin Raw'!$B$38:$K$38,0)
),"")</f>
        <v>115</v>
      </c>
      <c r="K77" s="39">
        <f>IFERROR(
INDEX('Olin Raw'!$B$41:$K$100,
MATCH(TRIM($A77),'Olin Raw'!$M$41:$M$100,0),
MATCH(K$32,'Olin Raw'!$B$38:$K$38,0)
),"")</f>
        <v>144.1</v>
      </c>
      <c r="L77" s="39">
        <f>IFERROR(
INDEX('Olin Raw'!$B$41:$K$100,
MATCH(TRIM($A77),'Olin Raw'!$M$41:$M$100,0),
MATCH(L$32,'Olin Raw'!$B$38:$K$38,0)
),"")</f>
        <v>168.2</v>
      </c>
      <c r="M77" s="39">
        <f>IFERROR(
INDEX('Olin Raw'!$B$41:$K$100,
MATCH(TRIM($A77),'Olin Raw'!$M$41:$M$100,0),
MATCH(M$32,'Olin Raw'!$B$38:$K$38,0)
),"")</f>
        <v>239.9</v>
      </c>
      <c r="N77" s="98">
        <f t="shared" ref="N77:S77" si="51">N$34*N$24</f>
        <v>254.70183000000006</v>
      </c>
      <c r="O77" s="39">
        <f t="shared" si="51"/>
        <v>253.68302268000005</v>
      </c>
      <c r="P77" s="39">
        <f t="shared" si="51"/>
        <v>272.17651503337203</v>
      </c>
      <c r="Q77" s="39">
        <f t="shared" si="51"/>
        <v>280.55955169639992</v>
      </c>
      <c r="R77" s="39">
        <f t="shared" si="51"/>
        <v>297.67368434988026</v>
      </c>
      <c r="S77" s="99">
        <f t="shared" si="51"/>
        <v>309.58063172387551</v>
      </c>
    </row>
    <row r="78" spans="1:19" x14ac:dyDescent="0.15">
      <c r="A78" t="s">
        <v>134</v>
      </c>
      <c r="C78" t="s">
        <v>237</v>
      </c>
      <c r="D78" s="39">
        <f>IFERROR(
INDEX('Olin Raw'!$B$41:$K$100,
MATCH(TRIM($A78),'Olin Raw'!$M$41:$M$100,0),
MATCH(D$32,'Olin Raw'!$B$38:$K$38,0)
),"")</f>
        <v>0</v>
      </c>
      <c r="E78" s="39">
        <f>IFERROR(
INDEX('Olin Raw'!$B$41:$K$100,
MATCH(TRIM($A78),'Olin Raw'!$M$41:$M$100,0),
MATCH(E$32,'Olin Raw'!$B$38:$K$38,0)
),"")</f>
        <v>0</v>
      </c>
      <c r="F78" s="39">
        <f>IFERROR(
INDEX('Olin Raw'!$B$41:$K$100,
MATCH(TRIM($A78),'Olin Raw'!$M$41:$M$100,0),
MATCH(F$32,'Olin Raw'!$B$38:$K$38,0)
),"")</f>
        <v>0</v>
      </c>
      <c r="G78" s="39">
        <f>IFERROR(
INDEX('Olin Raw'!$B$41:$K$100,
MATCH(TRIM($A78),'Olin Raw'!$M$41:$M$100,0),
MATCH(G$32,'Olin Raw'!$B$38:$K$38,0)
),"")</f>
        <v>0</v>
      </c>
      <c r="H78" s="39">
        <f>IFERROR(
INDEX('Olin Raw'!$B$41:$K$100,
MATCH(TRIM($A78),'Olin Raw'!$M$41:$M$100,0),
MATCH(H$32,'Olin Raw'!$B$38:$K$38,0)
),"")</f>
        <v>0</v>
      </c>
      <c r="I78" s="39">
        <f>IFERROR(
INDEX('Olin Raw'!$B$41:$K$100,
MATCH(TRIM($A78),'Olin Raw'!$M$41:$M$100,0),
MATCH(I$32,'Olin Raw'!$B$38:$K$38,0)
),"")</f>
        <v>0</v>
      </c>
      <c r="J78" s="39">
        <f>IFERROR(
INDEX('Olin Raw'!$B$41:$K$100,
MATCH(TRIM($A78),'Olin Raw'!$M$41:$M$100,0),
MATCH(J$32,'Olin Raw'!$B$38:$K$38,0)
),"")</f>
        <v>0</v>
      </c>
      <c r="K78" s="39">
        <f>IFERROR(
INDEX('Olin Raw'!$B$41:$K$100,
MATCH(TRIM($A78),'Olin Raw'!$M$41:$M$100,0),
MATCH(K$32,'Olin Raw'!$B$38:$K$38,0)
),"")</f>
        <v>0</v>
      </c>
      <c r="L78" s="39">
        <f>IFERROR(
INDEX('Olin Raw'!$B$41:$K$100,
MATCH(TRIM($A78),'Olin Raw'!$M$41:$M$100,0),
MATCH(L$32,'Olin Raw'!$B$38:$K$38,0)
),"")</f>
        <v>0</v>
      </c>
      <c r="M78" s="39">
        <f>IFERROR(
INDEX('Olin Raw'!$B$41:$K$100,
MATCH(TRIM($A78),'Olin Raw'!$M$41:$M$100,0),
MATCH(M$32,'Olin Raw'!$B$38:$K$38,0)
),"")</f>
        <v>0</v>
      </c>
      <c r="N78" s="104">
        <f>AVERAGE($D$78:$M$78)</f>
        <v>0</v>
      </c>
      <c r="O78" s="50">
        <f t="shared" ref="O78:S78" si="52">AVERAGE($D$78:$M$78)</f>
        <v>0</v>
      </c>
      <c r="P78" s="50">
        <f t="shared" si="52"/>
        <v>0</v>
      </c>
      <c r="Q78" s="50">
        <f t="shared" si="52"/>
        <v>0</v>
      </c>
      <c r="R78" s="50">
        <f t="shared" si="52"/>
        <v>0</v>
      </c>
      <c r="S78" s="105">
        <f t="shared" si="52"/>
        <v>0</v>
      </c>
    </row>
    <row r="79" spans="1:19" ht="14" thickBot="1" x14ac:dyDescent="0.2">
      <c r="A79" t="s">
        <v>135</v>
      </c>
      <c r="C79" s="133" t="s">
        <v>135</v>
      </c>
      <c r="D79" s="135">
        <f>IFERROR(
INDEX('Olin Raw'!$B$41:$K$100,
MATCH(TRIM($A79),'Olin Raw'!$M$41:$M$100,0),
MATCH(D$32,'Olin Raw'!$B$38:$K$38,0)
),"")</f>
        <v>8762.6</v>
      </c>
      <c r="E79" s="135">
        <f>IFERROR(
INDEX('Olin Raw'!$B$41:$K$100,
MATCH(TRIM($A79),'Olin Raw'!$M$41:$M$100,0),
MATCH(E$32,'Olin Raw'!$B$38:$K$38,0)
),"")</f>
        <v>9218.2999999999993</v>
      </c>
      <c r="F79" s="135">
        <f>IFERROR(
INDEX('Olin Raw'!$B$41:$K$100,
MATCH(TRIM($A79),'Olin Raw'!$M$41:$M$100,0),
MATCH(F$32,'Olin Raw'!$B$38:$K$38,0)
),"")</f>
        <v>8997.4</v>
      </c>
      <c r="G79" s="135">
        <f>IFERROR(
INDEX('Olin Raw'!$B$41:$K$100,
MATCH(TRIM($A79),'Olin Raw'!$M$41:$M$100,0),
MATCH(G$32,'Olin Raw'!$B$38:$K$38,0)
),"")</f>
        <v>9187.7999999999993</v>
      </c>
      <c r="H79" s="135">
        <f>IFERROR(
INDEX('Olin Raw'!$B$41:$K$100,
MATCH(TRIM($A79),'Olin Raw'!$M$41:$M$100,0),
MATCH(H$32,'Olin Raw'!$B$38:$K$38,0)
),"")</f>
        <v>8270.9</v>
      </c>
      <c r="I79" s="135">
        <f>IFERROR(
INDEX('Olin Raw'!$B$41:$K$100,
MATCH(TRIM($A79),'Olin Raw'!$M$41:$M$100,0),
MATCH(I$32,'Olin Raw'!$B$38:$K$38,0)
),"")</f>
        <v>8517.7000000000007</v>
      </c>
      <c r="J79" s="135">
        <f>IFERROR(
INDEX('Olin Raw'!$B$41:$K$100,
MATCH(TRIM($A79),'Olin Raw'!$M$41:$M$100,0),
MATCH(J$32,'Olin Raw'!$B$38:$K$38,0)
),"")</f>
        <v>8044.2</v>
      </c>
      <c r="K79" s="135">
        <f>IFERROR(
INDEX('Olin Raw'!$B$41:$K$100,
MATCH(TRIM($A79),'Olin Raw'!$M$41:$M$100,0),
MATCH(K$32,'Olin Raw'!$B$38:$K$38,0)
),"")</f>
        <v>7713.2</v>
      </c>
      <c r="L79" s="135">
        <f>IFERROR(
INDEX('Olin Raw'!$B$41:$K$100,
MATCH(TRIM($A79),'Olin Raw'!$M$41:$M$100,0),
MATCH(L$32,'Olin Raw'!$B$38:$K$38,0)
),"")</f>
        <v>7579.1</v>
      </c>
      <c r="M79" s="135">
        <f>IFERROR(
INDEX('Olin Raw'!$B$41:$K$100,
MATCH(TRIM($A79),'Olin Raw'!$M$41:$M$100,0),
MATCH(M$32,'Olin Raw'!$B$38:$K$38,0)
),"")</f>
        <v>7325.8</v>
      </c>
      <c r="N79" s="134">
        <f ca="1">N$69+N$73+N$74+N$75+N$76+N$77</f>
        <v>7315.8448915618073</v>
      </c>
      <c r="O79" s="135">
        <f t="shared" ref="O79:S79" ca="1" si="53">O$69+O$73+O$74+O$75+O$76+O$77</f>
        <v>7368.563547685344</v>
      </c>
      <c r="P79" s="135">
        <f t="shared" ca="1" si="53"/>
        <v>7810.5908597650568</v>
      </c>
      <c r="Q79" s="135">
        <f t="shared" ca="1" si="53"/>
        <v>8342.9582036104184</v>
      </c>
      <c r="R79" s="135">
        <f t="shared" ca="1" si="53"/>
        <v>8684.8928070518959</v>
      </c>
      <c r="S79" s="136">
        <f t="shared" ca="1" si="53"/>
        <v>9704.1124858611965</v>
      </c>
    </row>
    <row r="80" spans="1:19" ht="14" thickTop="1" x14ac:dyDescent="0.15">
      <c r="C80" s="48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96"/>
      <c r="O80" s="57"/>
      <c r="P80" s="57"/>
      <c r="Q80" s="57"/>
      <c r="R80" s="57"/>
      <c r="S80" s="97"/>
    </row>
    <row r="81" spans="1:20" x14ac:dyDescent="0.15">
      <c r="A81" t="s">
        <v>136</v>
      </c>
      <c r="C81" t="s">
        <v>136</v>
      </c>
      <c r="D81" s="39">
        <f>IFERROR(
INDEX('Olin Raw'!$B$41:$K$100,
MATCH(TRIM($A81),'Olin Raw'!$M$41:$M$100,0),
MATCH(D$32,'Olin Raw'!$B$38:$K$38,0)
),"")</f>
        <v>570.79999999999995</v>
      </c>
      <c r="E81" s="39">
        <f>IFERROR(
INDEX('Olin Raw'!$B$41:$K$100,
MATCH(TRIM($A81),'Olin Raw'!$M$41:$M$100,0),
MATCH(E$32,'Olin Raw'!$B$38:$K$38,0)
),"")</f>
        <v>669.8</v>
      </c>
      <c r="F81" s="39">
        <f>IFERROR(
INDEX('Olin Raw'!$B$41:$K$100,
MATCH(TRIM($A81),'Olin Raw'!$M$41:$M$100,0),
MATCH(F$32,'Olin Raw'!$B$38:$K$38,0)
),"")</f>
        <v>636.5</v>
      </c>
      <c r="G81" s="39">
        <f>IFERROR(
INDEX('Olin Raw'!$B$41:$K$100,
MATCH(TRIM($A81),'Olin Raw'!$M$41:$M$100,0),
MATCH(G$32,'Olin Raw'!$B$38:$K$38,0)
),"")</f>
        <v>651.9</v>
      </c>
      <c r="H81" s="39">
        <f>IFERROR(
INDEX('Olin Raw'!$B$41:$K$100,
MATCH(TRIM($A81),'Olin Raw'!$M$41:$M$100,0),
MATCH(H$32,'Olin Raw'!$B$38:$K$38,0)
),"")</f>
        <v>729.2</v>
      </c>
      <c r="I81" s="39">
        <f>IFERROR(
INDEX('Olin Raw'!$B$41:$K$100,
MATCH(TRIM($A81),'Olin Raw'!$M$41:$M$100,0),
MATCH(I$32,'Olin Raw'!$B$38:$K$38,0)
),"")</f>
        <v>847.7</v>
      </c>
      <c r="J81" s="39">
        <f>IFERROR(
INDEX('Olin Raw'!$B$41:$K$100,
MATCH(TRIM($A81),'Olin Raw'!$M$41:$M$100,0),
MATCH(J$32,'Olin Raw'!$B$38:$K$38,0)
),"")</f>
        <v>837.7</v>
      </c>
      <c r="K81" s="39">
        <f>IFERROR(
INDEX('Olin Raw'!$B$41:$K$100,
MATCH(TRIM($A81),'Olin Raw'!$M$41:$M$100,0),
MATCH(K$32,'Olin Raw'!$B$38:$K$38,0)
),"")</f>
        <v>775.4</v>
      </c>
      <c r="L81" s="39">
        <f>IFERROR(
INDEX('Olin Raw'!$B$41:$K$100,
MATCH(TRIM($A81),'Olin Raw'!$M$41:$M$100,0),
MATCH(L$32,'Olin Raw'!$B$38:$K$38,0)
),"")</f>
        <v>861.6</v>
      </c>
      <c r="M81" s="39">
        <f>IFERROR(
INDEX('Olin Raw'!$B$41:$K$100,
MATCH(TRIM($A81),'Olin Raw'!$M$41:$M$100,0),
MATCH(M$32,'Olin Raw'!$B$38:$K$38,0)
),"")</f>
        <v>806.1</v>
      </c>
      <c r="N81" s="98">
        <f t="shared" ref="N81:S81" si="54">N$36*N$17 / 365</f>
        <v>840.80451074367136</v>
      </c>
      <c r="O81" s="39">
        <f t="shared" si="54"/>
        <v>819.62142836869737</v>
      </c>
      <c r="P81" s="39">
        <f t="shared" si="54"/>
        <v>845.29456231035067</v>
      </c>
      <c r="Q81" s="39">
        <f t="shared" si="54"/>
        <v>843.04435311759414</v>
      </c>
      <c r="R81" s="39">
        <f t="shared" si="54"/>
        <v>857.95886561420298</v>
      </c>
      <c r="S81" s="99">
        <f t="shared" si="54"/>
        <v>868.5026914509973</v>
      </c>
    </row>
    <row r="82" spans="1:20" x14ac:dyDescent="0.15">
      <c r="A82" t="s">
        <v>138</v>
      </c>
      <c r="C82" t="s">
        <v>138</v>
      </c>
      <c r="D82" s="39">
        <f>IFERROR(
INDEX('Olin Raw'!$B$41:$K$100,
MATCH(TRIM($A82),'Olin Raw'!$M$41:$M$100,0),
MATCH(D$32,'Olin Raw'!$B$38:$K$38,0)
),"")</f>
        <v>221.7</v>
      </c>
      <c r="E82" s="39">
        <f>IFERROR(
INDEX('Olin Raw'!$B$41:$K$100,
MATCH(TRIM($A82),'Olin Raw'!$M$41:$M$100,0),
MATCH(E$32,'Olin Raw'!$B$38:$K$38,0)
),"")</f>
        <v>236.2</v>
      </c>
      <c r="F82" s="39">
        <f>IFERROR(
INDEX('Olin Raw'!$B$41:$K$100,
MATCH(TRIM($A82),'Olin Raw'!$M$41:$M$100,0),
MATCH(F$32,'Olin Raw'!$B$38:$K$38,0)
),"")</f>
        <v>306.7</v>
      </c>
      <c r="G82" s="39">
        <f>IFERROR(
INDEX('Olin Raw'!$B$41:$K$100,
MATCH(TRIM($A82),'Olin Raw'!$M$41:$M$100,0),
MATCH(G$32,'Olin Raw'!$B$38:$K$38,0)
),"")</f>
        <v>333</v>
      </c>
      <c r="H82" s="39">
        <f>IFERROR(
INDEX('Olin Raw'!$B$41:$K$100,
MATCH(TRIM($A82),'Olin Raw'!$M$41:$M$100,0),
MATCH(H$32,'Olin Raw'!$B$38:$K$38,0)
),"")</f>
        <v>378.1</v>
      </c>
      <c r="I82" s="39">
        <f>IFERROR(
INDEX('Olin Raw'!$B$41:$K$100,
MATCH(TRIM($A82),'Olin Raw'!$M$41:$M$100,0),
MATCH(I$32,'Olin Raw'!$B$38:$K$38,0)
),"")</f>
        <v>476.9</v>
      </c>
      <c r="J82" s="39">
        <f>IFERROR(
INDEX('Olin Raw'!$B$41:$K$100,
MATCH(TRIM($A82),'Olin Raw'!$M$41:$M$100,0),
MATCH(J$32,'Olin Raw'!$B$38:$K$38,0)
),"")</f>
        <v>486.7</v>
      </c>
      <c r="K82" s="39">
        <f>IFERROR(
INDEX('Olin Raw'!$B$41:$K$100,
MATCH(TRIM($A82),'Olin Raw'!$M$41:$M$100,0),
MATCH(K$32,'Olin Raw'!$B$38:$K$38,0)
),"")</f>
        <v>400.4</v>
      </c>
      <c r="L82" s="39">
        <f>IFERROR(
INDEX('Olin Raw'!$B$41:$K$100,
MATCH(TRIM($A82),'Olin Raw'!$M$41:$M$100,0),
MATCH(L$32,'Olin Raw'!$B$38:$K$38,0)
),"")</f>
        <v>422.6</v>
      </c>
      <c r="M82" s="39">
        <f>IFERROR(
INDEX('Olin Raw'!$B$41:$K$100,
MATCH(TRIM($A82),'Olin Raw'!$M$41:$M$100,0),
MATCH(M$32,'Olin Raw'!$B$38:$K$38,0)
),"")</f>
        <v>581</v>
      </c>
      <c r="N82" s="98">
        <f t="shared" ref="N82:S82" si="55">N$34*N$20</f>
        <v>616.84770000000003</v>
      </c>
      <c r="O82" s="39">
        <f t="shared" si="55"/>
        <v>614.38030920000006</v>
      </c>
      <c r="P82" s="39">
        <f t="shared" si="55"/>
        <v>659.16863374067998</v>
      </c>
      <c r="Q82" s="39">
        <f t="shared" si="55"/>
        <v>679.47102765989291</v>
      </c>
      <c r="R82" s="39">
        <f t="shared" si="55"/>
        <v>720.91876034714642</v>
      </c>
      <c r="S82" s="99">
        <f t="shared" si="55"/>
        <v>749.75551076103227</v>
      </c>
    </row>
    <row r="83" spans="1:20" x14ac:dyDescent="0.15">
      <c r="A83" t="s">
        <v>139</v>
      </c>
      <c r="C83" t="s">
        <v>271</v>
      </c>
      <c r="D83" s="39">
        <f>IFERROR(
INDEX('Olin Raw'!$B$41:$K$100,
MATCH(TRIM($A83),'Olin Raw'!$M$41:$M$100,0),
MATCH(D$32,'Olin Raw'!$B$38:$K$38,0)
),"")</f>
        <v>80.400000000000006</v>
      </c>
      <c r="E83" s="39">
        <f>IFERROR(
INDEX('Olin Raw'!$B$41:$K$100,
MATCH(TRIM($A83),'Olin Raw'!$M$41:$M$100,0),
MATCH(E$32,'Olin Raw'!$B$38:$K$38,0)
),"")</f>
        <v>0.7</v>
      </c>
      <c r="F83" s="39">
        <f>IFERROR(
INDEX('Olin Raw'!$B$41:$K$100,
MATCH(TRIM($A83),'Olin Raw'!$M$41:$M$100,0),
MATCH(F$32,'Olin Raw'!$B$38:$K$38,0)
),"")</f>
        <v>125.9</v>
      </c>
      <c r="G83" s="39">
        <f>IFERROR(
INDEX('Olin Raw'!$B$41:$K$100,
MATCH(TRIM($A83),'Olin Raw'!$M$41:$M$100,0),
MATCH(G$32,'Olin Raw'!$B$38:$K$38,0)
),"")</f>
        <v>2.1</v>
      </c>
      <c r="H83" s="39">
        <f>IFERROR(
INDEX('Olin Raw'!$B$41:$K$100,
MATCH(TRIM($A83),'Olin Raw'!$M$41:$M$100,0),
MATCH(H$32,'Olin Raw'!$B$38:$K$38,0)
),"")</f>
        <v>26.3</v>
      </c>
      <c r="I83" s="39">
        <f>IFERROR(
INDEX('Olin Raw'!$B$41:$K$100,
MATCH(TRIM($A83),'Olin Raw'!$M$41:$M$100,0),
MATCH(I$32,'Olin Raw'!$B$38:$K$38,0)
),"")</f>
        <v>201.1</v>
      </c>
      <c r="J83" s="39">
        <f>IFERROR(
INDEX('Olin Raw'!$B$41:$K$100,
MATCH(TRIM($A83),'Olin Raw'!$M$41:$M$100,0),
MATCH(J$32,'Olin Raw'!$B$38:$K$38,0)
),"")</f>
        <v>9.6999999999999993</v>
      </c>
      <c r="K83" s="39">
        <f>IFERROR(
INDEX('Olin Raw'!$B$41:$K$100,
MATCH(TRIM($A83),'Olin Raw'!$M$41:$M$100,0),
MATCH(K$32,'Olin Raw'!$B$38:$K$38,0)
),"")</f>
        <v>78.8</v>
      </c>
      <c r="L83" s="39">
        <f>IFERROR(
INDEX('Olin Raw'!$B$41:$K$100,
MATCH(TRIM($A83),'Olin Raw'!$M$41:$M$100,0),
MATCH(L$32,'Olin Raw'!$B$38:$K$38,0)
),"")</f>
        <v>129</v>
      </c>
      <c r="M83" s="39">
        <f>IFERROR(
INDEX('Olin Raw'!$B$41:$K$100,
MATCH(TRIM($A83),'Olin Raw'!$M$41:$M$100,0),
MATCH(M$32,'Olin Raw'!$B$38:$K$38,0)
),"")</f>
        <v>109.7</v>
      </c>
      <c r="N83" s="98">
        <f>'Olin Debt'!D$36</f>
        <v>340</v>
      </c>
      <c r="O83" s="39">
        <f>'Olin Debt'!E$36</f>
        <v>0</v>
      </c>
      <c r="P83" s="39">
        <f>'Olin Debt'!F$36</f>
        <v>669.3</v>
      </c>
      <c r="Q83" s="39">
        <f ca="1">'Olin Debt'!G$36</f>
        <v>1043.3999999999999</v>
      </c>
      <c r="R83" s="39">
        <f>'Olin Debt'!H$36</f>
        <v>0</v>
      </c>
      <c r="S83" s="99">
        <f>'Olin Debt'!I$36</f>
        <v>0</v>
      </c>
    </row>
    <row r="84" spans="1:20" x14ac:dyDescent="0.15">
      <c r="A84" t="s">
        <v>140</v>
      </c>
      <c r="C84" t="s">
        <v>386</v>
      </c>
      <c r="D84" s="39">
        <f>IFERROR(
INDEX('Olin Raw'!$B$41:$K$100,
MATCH(TRIM($A84),'Olin Raw'!$M$41:$M$100,0),
MATCH(D$32,'Olin Raw'!$B$38:$K$38,0)
),"")</f>
        <v>0</v>
      </c>
      <c r="E84" s="39">
        <f>IFERROR(
INDEX('Olin Raw'!$B$41:$K$100,
MATCH(TRIM($A84),'Olin Raw'!$M$41:$M$100,0),
MATCH(E$32,'Olin Raw'!$B$38:$K$38,0)
),"")</f>
        <v>0</v>
      </c>
      <c r="F84" s="39">
        <f>IFERROR(
INDEX('Olin Raw'!$B$41:$K$100,
MATCH(TRIM($A84),'Olin Raw'!$M$41:$M$100,0),
MATCH(F$32,'Olin Raw'!$B$38:$K$38,0)
),"")</f>
        <v>0</v>
      </c>
      <c r="G84" s="39">
        <f>IFERROR(
INDEX('Olin Raw'!$B$41:$K$100,
MATCH(TRIM($A84),'Olin Raw'!$M$41:$M$100,0),
MATCH(G$32,'Olin Raw'!$B$38:$K$38,0)
),"")</f>
        <v>0</v>
      </c>
      <c r="H84" s="39">
        <f>IFERROR(
INDEX('Olin Raw'!$B$41:$K$100,
MATCH(TRIM($A84),'Olin Raw'!$M$41:$M$100,0),
MATCH(H$32,'Olin Raw'!$B$38:$K$38,0)
),"")</f>
        <v>0</v>
      </c>
      <c r="I84" s="39">
        <f>IFERROR(
INDEX('Olin Raw'!$B$41:$K$100,
MATCH(TRIM($A84),'Olin Raw'!$M$41:$M$100,0),
MATCH(I$32,'Olin Raw'!$B$38:$K$38,0)
),"")</f>
        <v>0</v>
      </c>
      <c r="J84" s="39">
        <f>IFERROR(
INDEX('Olin Raw'!$B$41:$K$100,
MATCH(TRIM($A84),'Olin Raw'!$M$41:$M$100,0),
MATCH(J$32,'Olin Raw'!$B$38:$K$38,0)
),"")</f>
        <v>0</v>
      </c>
      <c r="K84" s="39">
        <f>IFERROR(
INDEX('Olin Raw'!$B$41:$K$100,
MATCH(TRIM($A84),'Olin Raw'!$M$41:$M$100,0),
MATCH(K$32,'Olin Raw'!$B$38:$K$38,0)
),"")</f>
        <v>0</v>
      </c>
      <c r="L84" s="39">
        <f>IFERROR(
INDEX('Olin Raw'!$B$41:$K$100,
MATCH(TRIM($A84),'Olin Raw'!$M$41:$M$100,0),
MATCH(L$32,'Olin Raw'!$B$38:$K$38,0)
),"")</f>
        <v>0</v>
      </c>
      <c r="M84" s="39">
        <f>IFERROR(
INDEX('Olin Raw'!$B$41:$K$100,
MATCH(TRIM($A84),'Olin Raw'!$M$41:$M$100,0),
MATCH(M$32,'Olin Raw'!$B$38:$K$38,0)
),"")</f>
        <v>0</v>
      </c>
      <c r="N84" s="122">
        <v>0</v>
      </c>
      <c r="O84" s="55">
        <f>$N$84</f>
        <v>0</v>
      </c>
      <c r="P84" s="55">
        <f t="shared" ref="P84:S84" si="56">$N$84</f>
        <v>0</v>
      </c>
      <c r="Q84" s="55">
        <f t="shared" si="56"/>
        <v>0</v>
      </c>
      <c r="R84" s="55">
        <f t="shared" si="56"/>
        <v>0</v>
      </c>
      <c r="S84" s="103">
        <f t="shared" si="56"/>
        <v>0</v>
      </c>
    </row>
    <row r="85" spans="1:20" x14ac:dyDescent="0.15">
      <c r="A85" t="s">
        <v>141</v>
      </c>
      <c r="C85" t="s">
        <v>238</v>
      </c>
      <c r="D85" s="39">
        <f>IFERROR(
INDEX('Olin Raw'!$B$41:$K$100,
MATCH(TRIM($A85),'Olin Raw'!$M$41:$M$100,0),
MATCH(D$32,'Olin Raw'!$B$38:$K$38,0)
),"")</f>
        <v>49.7</v>
      </c>
      <c r="E85" s="39">
        <f>IFERROR(
INDEX('Olin Raw'!$B$41:$K$100,
MATCH(TRIM($A85),'Olin Raw'!$M$41:$M$100,0),
MATCH(E$32,'Olin Raw'!$B$38:$K$38,0)
),"")</f>
        <v>47.6</v>
      </c>
      <c r="F85" s="39">
        <f>IFERROR(
INDEX('Olin Raw'!$B$41:$K$100,
MATCH(TRIM($A85),'Olin Raw'!$M$41:$M$100,0),
MATCH(F$32,'Olin Raw'!$B$38:$K$38,0)
),"")</f>
        <v>49.2</v>
      </c>
      <c r="G85" s="39">
        <f>IFERROR(
INDEX('Olin Raw'!$B$41:$K$100,
MATCH(TRIM($A85),'Olin Raw'!$M$41:$M$100,0),
MATCH(G$32,'Olin Raw'!$B$38:$K$38,0)
),"")</f>
        <v>95.2</v>
      </c>
      <c r="H85" s="39">
        <f>IFERROR(
INDEX('Olin Raw'!$B$41:$K$100,
MATCH(TRIM($A85),'Olin Raw'!$M$41:$M$100,0),
MATCH(H$32,'Olin Raw'!$B$38:$K$38,0)
),"")</f>
        <v>65.3</v>
      </c>
      <c r="I85" s="39">
        <f>IFERROR(
INDEX('Olin Raw'!$B$41:$K$100,
MATCH(TRIM($A85),'Olin Raw'!$M$41:$M$100,0),
MATCH(I$32,'Olin Raw'!$B$38:$K$38,0)
),"")</f>
        <v>156.4</v>
      </c>
      <c r="J85" s="39">
        <f>IFERROR(
INDEX('Olin Raw'!$B$41:$K$100,
MATCH(TRIM($A85),'Olin Raw'!$M$41:$M$100,0),
MATCH(J$32,'Olin Raw'!$B$38:$K$38,0)
),"")</f>
        <v>227.3</v>
      </c>
      <c r="K85" s="39">
        <f>IFERROR(
INDEX('Olin Raw'!$B$41:$K$100,
MATCH(TRIM($A85),'Olin Raw'!$M$41:$M$100,0),
MATCH(K$32,'Olin Raw'!$B$38:$K$38,0)
),"")</f>
        <v>273.60000000000002</v>
      </c>
      <c r="L85" s="39">
        <f>IFERROR(
INDEX('Olin Raw'!$B$41:$K$100,
MATCH(TRIM($A85),'Olin Raw'!$M$41:$M$100,0),
MATCH(L$32,'Olin Raw'!$B$38:$K$38,0)
),"")</f>
        <v>219</v>
      </c>
      <c r="M85" s="39">
        <f>IFERROR(
INDEX('Olin Raw'!$B$41:$K$100,
MATCH(TRIM($A85),'Olin Raw'!$M$41:$M$100,0),
MATCH(M$32,'Olin Raw'!$B$38:$K$38,0)
),"")</f>
        <v>132.69999999999999</v>
      </c>
      <c r="N85" s="98">
        <f t="shared" ref="N85:S85" si="57">N$34*N$21</f>
        <v>140.88759000000002</v>
      </c>
      <c r="O85" s="39">
        <f t="shared" si="57"/>
        <v>140.32403964</v>
      </c>
      <c r="P85" s="39">
        <f t="shared" si="57"/>
        <v>150.55366212975599</v>
      </c>
      <c r="Q85" s="39">
        <f t="shared" si="57"/>
        <v>155.19071492335249</v>
      </c>
      <c r="R85" s="39">
        <f t="shared" si="57"/>
        <v>164.65734853367698</v>
      </c>
      <c r="S85" s="99">
        <f t="shared" si="57"/>
        <v>171.24364247502407</v>
      </c>
    </row>
    <row r="86" spans="1:20" s="48" customFormat="1" x14ac:dyDescent="0.15">
      <c r="A86" s="48" t="s">
        <v>142</v>
      </c>
      <c r="C86" s="88" t="s">
        <v>142</v>
      </c>
      <c r="D86" s="89">
        <f>IFERROR(
INDEX('Olin Raw'!$B$41:$K$100,
MATCH(TRIM($A86),'Olin Raw'!$M$41:$M$100,0),
MATCH(D$32,'Olin Raw'!$B$38:$K$38,0)
),"")</f>
        <v>922.6</v>
      </c>
      <c r="E86" s="89">
        <f>IFERROR(
INDEX('Olin Raw'!$B$41:$K$100,
MATCH(TRIM($A86),'Olin Raw'!$M$41:$M$100,0),
MATCH(E$32,'Olin Raw'!$B$38:$K$38,0)
),"")</f>
        <v>954.3</v>
      </c>
      <c r="F86" s="89">
        <f>IFERROR(
INDEX('Olin Raw'!$B$41:$K$100,
MATCH(TRIM($A86),'Olin Raw'!$M$41:$M$100,0),
MATCH(F$32,'Olin Raw'!$B$38:$K$38,0)
),"")</f>
        <v>1118.3</v>
      </c>
      <c r="G86" s="89">
        <f>IFERROR(
INDEX('Olin Raw'!$B$41:$K$100,
MATCH(TRIM($A86),'Olin Raw'!$M$41:$M$100,0),
MATCH(G$32,'Olin Raw'!$B$38:$K$38,0)
),"")</f>
        <v>1082.2</v>
      </c>
      <c r="H86" s="89">
        <f>IFERROR(
INDEX('Olin Raw'!$B$41:$K$100,
MATCH(TRIM($A86),'Olin Raw'!$M$41:$M$100,0),
MATCH(H$32,'Olin Raw'!$B$38:$K$38,0)
),"")</f>
        <v>1198.9000000000001</v>
      </c>
      <c r="I86" s="89">
        <f>IFERROR(
INDEX('Olin Raw'!$B$41:$K$100,
MATCH(TRIM($A86),'Olin Raw'!$M$41:$M$100,0),
MATCH(I$32,'Olin Raw'!$B$38:$K$38,0)
),"")</f>
        <v>1682.1</v>
      </c>
      <c r="J86" s="89">
        <f>IFERROR(
INDEX('Olin Raw'!$B$41:$K$100,
MATCH(TRIM($A86),'Olin Raw'!$M$41:$M$100,0),
MATCH(J$32,'Olin Raw'!$B$38:$K$38,0)
),"")</f>
        <v>1561.4</v>
      </c>
      <c r="K86" s="89">
        <f>IFERROR(
INDEX('Olin Raw'!$B$41:$K$100,
MATCH(TRIM($A86),'Olin Raw'!$M$41:$M$100,0),
MATCH(K$32,'Olin Raw'!$B$38:$K$38,0)
),"")</f>
        <v>1528.2</v>
      </c>
      <c r="L86" s="89">
        <f>IFERROR(
INDEX('Olin Raw'!$B$41:$K$100,
MATCH(TRIM($A86),'Olin Raw'!$M$41:$M$100,0),
MATCH(L$32,'Olin Raw'!$B$38:$K$38,0)
),"")</f>
        <v>1632.2</v>
      </c>
      <c r="M86" s="89">
        <f>IFERROR(
INDEX('Olin Raw'!$B$41:$K$100,
MATCH(TRIM($A86),'Olin Raw'!$M$41:$M$100,0),
MATCH(M$32,'Olin Raw'!$B$38:$K$38,0)
),"")</f>
        <v>1629.5</v>
      </c>
      <c r="N86" s="94">
        <f>SUM(N81:N85)</f>
        <v>1938.5398007436713</v>
      </c>
      <c r="O86" s="89">
        <f t="shared" ref="O86:S86" si="58">SUM(O81:O85)</f>
        <v>1574.3257772086974</v>
      </c>
      <c r="P86" s="89">
        <f t="shared" si="58"/>
        <v>2324.3168581807868</v>
      </c>
      <c r="Q86" s="89">
        <f t="shared" ca="1" si="58"/>
        <v>2721.1060957008394</v>
      </c>
      <c r="R86" s="89">
        <f t="shared" si="58"/>
        <v>1743.5349744950263</v>
      </c>
      <c r="S86" s="95">
        <f t="shared" si="58"/>
        <v>1789.5018446870536</v>
      </c>
    </row>
    <row r="87" spans="1:20" s="48" customFormat="1" x14ac:dyDescent="0.15"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96"/>
      <c r="O87" s="57"/>
      <c r="P87" s="57"/>
      <c r="Q87" s="57"/>
      <c r="R87" s="57"/>
      <c r="S87" s="97"/>
    </row>
    <row r="88" spans="1:20" x14ac:dyDescent="0.15">
      <c r="A88" t="s">
        <v>272</v>
      </c>
      <c r="C88" t="s">
        <v>273</v>
      </c>
      <c r="D88" s="39">
        <f>IFERROR(
INDEX('Olin Raw'!$B$41:$K$100,
MATCH(TRIM($A88),'Olin Raw'!$M$41:$M$100,0),
MATCH(D$32,'Olin Raw'!$B$38:$K$38,0)
),"")</f>
        <v>3537.1</v>
      </c>
      <c r="E88" s="39">
        <f>IFERROR(
INDEX('Olin Raw'!$B$41:$K$100,
MATCH(TRIM($A88),'Olin Raw'!$M$41:$M$100,0),
MATCH(E$32,'Olin Raw'!$B$38:$K$38,0)
),"")</f>
        <v>3611.3</v>
      </c>
      <c r="F88" s="39">
        <f>IFERROR(
INDEX('Olin Raw'!$B$41:$K$100,
MATCH(TRIM($A88),'Olin Raw'!$M$41:$M$100,0),
MATCH(F$32,'Olin Raw'!$B$38:$K$38,0)
),"")</f>
        <v>3104.4</v>
      </c>
      <c r="G88" s="39">
        <f>IFERROR(
INDEX('Olin Raw'!$B$41:$K$100,
MATCH(TRIM($A88),'Olin Raw'!$M$41:$M$100,0),
MATCH(G$32,'Olin Raw'!$B$38:$K$38,0)
),"")</f>
        <v>3335.5</v>
      </c>
      <c r="H88" s="39">
        <f>IFERROR(
INDEX('Olin Raw'!$B$41:$K$100,
MATCH(TRIM($A88),'Olin Raw'!$M$41:$M$100,0),
MATCH(H$32,'Olin Raw'!$B$38:$K$38,0)
),"")</f>
        <v>3834.5</v>
      </c>
      <c r="I88" s="39">
        <f>IFERROR(
INDEX('Olin Raw'!$B$41:$K$100,
MATCH(TRIM($A88),'Olin Raw'!$M$41:$M$100,0),
MATCH(I$32,'Olin Raw'!$B$38:$K$38,0)
),"")</f>
        <v>2576.3000000000002</v>
      </c>
      <c r="J88" s="39">
        <f>IFERROR(
INDEX('Olin Raw'!$B$41:$K$100,
MATCH(TRIM($A88),'Olin Raw'!$M$41:$M$100,0),
MATCH(J$32,'Olin Raw'!$B$38:$K$38,0)
),"")</f>
        <v>2570.1</v>
      </c>
      <c r="K88" s="39">
        <f>IFERROR(
INDEX('Olin Raw'!$B$41:$K$100,
MATCH(TRIM($A88),'Olin Raw'!$M$41:$M$100,0),
MATCH(K$32,'Olin Raw'!$B$38:$K$38,0)
),"")</f>
        <v>2591.3000000000002</v>
      </c>
      <c r="L88" s="39">
        <f>IFERROR(
INDEX('Olin Raw'!$B$41:$K$100,
MATCH(TRIM($A88),'Olin Raw'!$M$41:$M$100,0),
MATCH(L$32,'Olin Raw'!$B$38:$K$38,0)
),"")</f>
        <v>2713.2</v>
      </c>
      <c r="M88" s="39">
        <f>IFERROR(
INDEX('Olin Raw'!$B$41:$K$100,
MATCH(TRIM($A88),'Olin Raw'!$M$41:$M$100,0),
MATCH(M$32,'Olin Raw'!$B$38:$K$38,0)
),"")</f>
        <v>2717.6</v>
      </c>
      <c r="N88" s="98">
        <f ca="1">'Olin Debt'!D$37</f>
        <v>2395.6999999999998</v>
      </c>
      <c r="O88" s="39">
        <f ca="1">'Olin Debt'!E$37</f>
        <v>2735.7</v>
      </c>
      <c r="P88" s="39">
        <f ca="1">'Olin Debt'!F$37</f>
        <v>2066.3999999999996</v>
      </c>
      <c r="Q88" s="39">
        <f ca="1">'Olin Debt'!G$37</f>
        <v>1692.3</v>
      </c>
      <c r="R88" s="39">
        <f ca="1">'Olin Debt'!H$37</f>
        <v>2207.6</v>
      </c>
      <c r="S88" s="99">
        <f ca="1">'Olin Debt'!I$37</f>
        <v>2207.6</v>
      </c>
    </row>
    <row r="89" spans="1:20" x14ac:dyDescent="0.15">
      <c r="C89" s="41" t="s">
        <v>347</v>
      </c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98">
        <f>'Olin Debt'!D$38</f>
        <v>-14.45125</v>
      </c>
      <c r="O89" s="39">
        <f>'Olin Debt'!E$38</f>
        <v>-10.802499999999998</v>
      </c>
      <c r="P89" s="39">
        <f>'Olin Debt'!F$38</f>
        <v>-7.5287499999999996</v>
      </c>
      <c r="Q89" s="39">
        <f>'Olin Debt'!G$38</f>
        <v>-4.2549999999999999</v>
      </c>
      <c r="R89" s="39">
        <f>'Olin Debt'!H$38</f>
        <v>-2.0062500000000001</v>
      </c>
      <c r="S89" s="99">
        <f>'Olin Debt'!I$38</f>
        <v>-1.3374999999999999</v>
      </c>
      <c r="T89" t="s">
        <v>580</v>
      </c>
    </row>
    <row r="90" spans="1:20" x14ac:dyDescent="0.15">
      <c r="A90" t="s">
        <v>274</v>
      </c>
      <c r="C90" s="2" t="s">
        <v>275</v>
      </c>
      <c r="D90" s="39">
        <f>IFERROR(
INDEX('Olin Raw'!$B$41:$K$100,
MATCH(TRIM($A90),'Olin Raw'!$M$41:$M$100,0),
MATCH(D$32,'Olin Raw'!$B$38:$K$38,0)
),"")</f>
        <v>0</v>
      </c>
      <c r="E90" s="39">
        <f>IFERROR(
INDEX('Olin Raw'!$B$41:$K$100,
MATCH(TRIM($A90),'Olin Raw'!$M$41:$M$100,0),
MATCH(E$32,'Olin Raw'!$B$38:$K$38,0)
),"")</f>
        <v>0</v>
      </c>
      <c r="F90" s="39">
        <f>IFERROR(
INDEX('Olin Raw'!$B$41:$K$100,
MATCH(TRIM($A90),'Olin Raw'!$M$41:$M$100,0),
MATCH(F$32,'Olin Raw'!$B$38:$K$38,0)
),"")</f>
        <v>0</v>
      </c>
      <c r="G90" s="39">
        <f>IFERROR(
INDEX('Olin Raw'!$B$41:$K$100,
MATCH(TRIM($A90),'Olin Raw'!$M$41:$M$100,0),
MATCH(G$32,'Olin Raw'!$B$38:$K$38,0)
),"")</f>
        <v>3.2</v>
      </c>
      <c r="H90" s="39">
        <f>IFERROR(
INDEX('Olin Raw'!$B$41:$K$100,
MATCH(TRIM($A90),'Olin Raw'!$M$41:$M$100,0),
MATCH(H$32,'Olin Raw'!$B$38:$K$38,0)
),"")</f>
        <v>3</v>
      </c>
      <c r="I90" s="39">
        <f>IFERROR(
INDEX('Olin Raw'!$B$41:$K$100,
MATCH(TRIM($A90),'Olin Raw'!$M$41:$M$100,0),
MATCH(I$32,'Olin Raw'!$B$38:$K$38,0)
),"")</f>
        <v>1.9</v>
      </c>
      <c r="J90" s="39">
        <f>IFERROR(
INDEX('Olin Raw'!$B$41:$K$100,
MATCH(TRIM($A90),'Olin Raw'!$M$41:$M$100,0),
MATCH(J$32,'Olin Raw'!$B$38:$K$38,0)
),"")</f>
        <v>0.9</v>
      </c>
      <c r="K90" s="39">
        <f>IFERROR(
INDEX('Olin Raw'!$B$41:$K$100,
MATCH(TRIM($A90),'Olin Raw'!$M$41:$M$100,0),
MATCH(K$32,'Olin Raw'!$B$38:$K$38,0)
),"")</f>
        <v>0</v>
      </c>
      <c r="L90" s="39">
        <f>IFERROR(
INDEX('Olin Raw'!$B$41:$K$100,
MATCH(TRIM($A90),'Olin Raw'!$M$41:$M$100,0),
MATCH(L$32,'Olin Raw'!$B$38:$K$38,0)
),"")</f>
        <v>0</v>
      </c>
      <c r="M90" s="39">
        <f>IFERROR(
INDEX('Olin Raw'!$B$41:$K$100,
MATCH(TRIM($A90),'Olin Raw'!$M$41:$M$100,0),
MATCH(M$32,'Olin Raw'!$B$38:$K$38,0)
),"")</f>
        <v>0</v>
      </c>
      <c r="N90" s="122">
        <v>0</v>
      </c>
      <c r="O90" s="55">
        <f>$N$90</f>
        <v>0</v>
      </c>
      <c r="P90" s="55">
        <f>$N$90</f>
        <v>0</v>
      </c>
      <c r="Q90" s="55">
        <f>$N$90</f>
        <v>0</v>
      </c>
      <c r="R90" s="55">
        <f>$N$90</f>
        <v>0</v>
      </c>
      <c r="S90" s="103">
        <f>$N$90</f>
        <v>0</v>
      </c>
    </row>
    <row r="91" spans="1:20" x14ac:dyDescent="0.15">
      <c r="A91" t="s">
        <v>145</v>
      </c>
      <c r="C91" s="48" t="s">
        <v>276</v>
      </c>
      <c r="D91" s="57">
        <f>IFERROR(
INDEX('Olin Raw'!$B$41:$K$100,
MATCH(TRIM($A91),'Olin Raw'!$M$41:$M$100,0),
MATCH(D$32,'Olin Raw'!$B$38:$K$38,0)
),"")</f>
        <v>3537.1</v>
      </c>
      <c r="E91" s="57">
        <f>IFERROR(
INDEX('Olin Raw'!$B$41:$K$100,
MATCH(TRIM($A91),'Olin Raw'!$M$41:$M$100,0),
MATCH(E$32,'Olin Raw'!$B$38:$K$38,0)
),"")</f>
        <v>3611.3</v>
      </c>
      <c r="F91" s="57">
        <f>IFERROR(
INDEX('Olin Raw'!$B$41:$K$100,
MATCH(TRIM($A91),'Olin Raw'!$M$41:$M$100,0),
MATCH(F$32,'Olin Raw'!$B$38:$K$38,0)
),"")</f>
        <v>3104.4</v>
      </c>
      <c r="G91" s="57">
        <f>IFERROR(
INDEX('Olin Raw'!$B$41:$K$100,
MATCH(TRIM($A91),'Olin Raw'!$M$41:$M$100,0),
MATCH(G$32,'Olin Raw'!$B$38:$K$38,0)
),"")</f>
        <v>3338.7</v>
      </c>
      <c r="H91" s="57">
        <f>IFERROR(
INDEX('Olin Raw'!$B$41:$K$100,
MATCH(TRIM($A91),'Olin Raw'!$M$41:$M$100,0),
MATCH(H$32,'Olin Raw'!$B$38:$K$38,0)
),"")</f>
        <v>3837.5</v>
      </c>
      <c r="I91" s="57">
        <f>IFERROR(
INDEX('Olin Raw'!$B$41:$K$100,
MATCH(TRIM($A91),'Olin Raw'!$M$41:$M$100,0),
MATCH(I$32,'Olin Raw'!$B$38:$K$38,0)
),"")</f>
        <v>2578.1999999999998</v>
      </c>
      <c r="J91" s="57">
        <f>IFERROR(
INDEX('Olin Raw'!$B$41:$K$100,
MATCH(TRIM($A91),'Olin Raw'!$M$41:$M$100,0),
MATCH(J$32,'Olin Raw'!$B$38:$K$38,0)
),"")</f>
        <v>2571</v>
      </c>
      <c r="K91" s="57">
        <f>IFERROR(
INDEX('Olin Raw'!$B$41:$K$100,
MATCH(TRIM($A91),'Olin Raw'!$M$41:$M$100,0),
MATCH(K$32,'Olin Raw'!$B$38:$K$38,0)
),"")</f>
        <v>2591.3000000000002</v>
      </c>
      <c r="L91" s="57">
        <f>IFERROR(
INDEX('Olin Raw'!$B$41:$K$100,
MATCH(TRIM($A91),'Olin Raw'!$M$41:$M$100,0),
MATCH(L$32,'Olin Raw'!$B$38:$K$38,0)
),"")</f>
        <v>2713.2</v>
      </c>
      <c r="M91" s="57">
        <f>IFERROR(
INDEX('Olin Raw'!$B$41:$K$100,
MATCH(TRIM($A91),'Olin Raw'!$M$41:$M$100,0),
MATCH(M$32,'Olin Raw'!$B$38:$K$38,0)
),"")</f>
        <v>2717.6</v>
      </c>
      <c r="N91" s="96">
        <f ca="1">N$88+N$89</f>
        <v>2381.2487499999997</v>
      </c>
      <c r="O91" s="57">
        <f t="shared" ref="O91:S91" ca="1" si="59">O$88+O$89</f>
        <v>2724.8975</v>
      </c>
      <c r="P91" s="57">
        <f t="shared" ca="1" si="59"/>
        <v>2058.8712499999997</v>
      </c>
      <c r="Q91" s="57">
        <f t="shared" ca="1" si="59"/>
        <v>1688.0449999999998</v>
      </c>
      <c r="R91" s="57">
        <f t="shared" ca="1" si="59"/>
        <v>2205.59375</v>
      </c>
      <c r="S91" s="97">
        <f t="shared" ca="1" si="59"/>
        <v>2206.2624999999998</v>
      </c>
    </row>
    <row r="92" spans="1:20" x14ac:dyDescent="0.15">
      <c r="A92" t="s">
        <v>146</v>
      </c>
      <c r="C92" t="s">
        <v>239</v>
      </c>
      <c r="D92" s="39">
        <f>IFERROR(
INDEX('Olin Raw'!$B$41:$K$100,
MATCH(TRIM($A92),'Olin Raw'!$M$41:$M$100,0),
MATCH(D$32,'Olin Raw'!$B$38:$K$38,0)
),"")</f>
        <v>1032.5</v>
      </c>
      <c r="E92" s="39">
        <f>IFERROR(
INDEX('Olin Raw'!$B$41:$K$100,
MATCH(TRIM($A92),'Olin Raw'!$M$41:$M$100,0),
MATCH(E$32,'Olin Raw'!$B$38:$K$38,0)
),"")</f>
        <v>511.2</v>
      </c>
      <c r="F92" s="39">
        <f>IFERROR(
INDEX('Olin Raw'!$B$41:$K$100,
MATCH(TRIM($A92),'Olin Raw'!$M$41:$M$100,0),
MATCH(F$32,'Olin Raw'!$B$38:$K$38,0)
),"")</f>
        <v>518.9</v>
      </c>
      <c r="G92" s="39">
        <f>IFERROR(
INDEX('Olin Raw'!$B$41:$K$100,
MATCH(TRIM($A92),'Olin Raw'!$M$41:$M$100,0),
MATCH(G$32,'Olin Raw'!$B$38:$K$38,0)
),"")</f>
        <v>454.5</v>
      </c>
      <c r="H92" s="39">
        <f>IFERROR(
INDEX('Olin Raw'!$B$41:$K$100,
MATCH(TRIM($A92),'Olin Raw'!$M$41:$M$100,0),
MATCH(H$32,'Olin Raw'!$B$38:$K$38,0)
),"")</f>
        <v>443.2</v>
      </c>
      <c r="I92" s="39">
        <f>IFERROR(
INDEX('Olin Raw'!$B$41:$K$100,
MATCH(TRIM($A92),'Olin Raw'!$M$41:$M$100,0),
MATCH(I$32,'Olin Raw'!$B$38:$K$38,0)
),"")</f>
        <v>558.9</v>
      </c>
      <c r="J92" s="39">
        <f>IFERROR(
INDEX('Olin Raw'!$B$41:$K$100,
MATCH(TRIM($A92),'Olin Raw'!$M$41:$M$100,0),
MATCH(J$32,'Olin Raw'!$B$38:$K$38,0)
),"")</f>
        <v>507.3</v>
      </c>
      <c r="K92" s="39">
        <f>IFERROR(
INDEX('Olin Raw'!$B$41:$K$100,
MATCH(TRIM($A92),'Olin Raw'!$M$41:$M$100,0),
MATCH(K$32,'Olin Raw'!$B$38:$K$38,0)
),"")</f>
        <v>476.2</v>
      </c>
      <c r="L92" s="39">
        <f>IFERROR(
INDEX('Olin Raw'!$B$41:$K$100,
MATCH(TRIM($A92),'Olin Raw'!$M$41:$M$100,0),
MATCH(L$32,'Olin Raw'!$B$38:$K$38,0)
),"")</f>
        <v>430.5</v>
      </c>
      <c r="M92" s="39">
        <f>IFERROR(
INDEX('Olin Raw'!$B$41:$K$100,
MATCH(TRIM($A92),'Olin Raw'!$M$41:$M$100,0),
MATCH(M$32,'Olin Raw'!$B$38:$K$38,0)
),"")</f>
        <v>317.60000000000002</v>
      </c>
      <c r="N92" s="104">
        <f>$M$92</f>
        <v>317.60000000000002</v>
      </c>
      <c r="O92" s="50">
        <f t="shared" ref="O92:S92" si="60">$M$92</f>
        <v>317.60000000000002</v>
      </c>
      <c r="P92" s="50">
        <f t="shared" si="60"/>
        <v>317.60000000000002</v>
      </c>
      <c r="Q92" s="50">
        <f t="shared" si="60"/>
        <v>317.60000000000002</v>
      </c>
      <c r="R92" s="50">
        <f t="shared" si="60"/>
        <v>317.60000000000002</v>
      </c>
      <c r="S92" s="105">
        <f t="shared" si="60"/>
        <v>317.60000000000002</v>
      </c>
    </row>
    <row r="93" spans="1:20" x14ac:dyDescent="0.15">
      <c r="A93" t="s">
        <v>147</v>
      </c>
      <c r="C93" t="s">
        <v>277</v>
      </c>
      <c r="D93" s="39">
        <f>IFERROR(
INDEX('Olin Raw'!$B$41:$K$100,
MATCH(TRIM($A93),'Olin Raw'!$M$41:$M$100,0),
MATCH(D$32,'Olin Raw'!$B$38:$K$38,0)
),"")</f>
        <v>997.4</v>
      </c>
      <c r="E93" s="39">
        <f>IFERROR(
INDEX('Olin Raw'!$B$41:$K$100,
MATCH(TRIM($A93),'Olin Raw'!$M$41:$M$100,0),
MATCH(E$32,'Olin Raw'!$B$38:$K$38,0)
),"")</f>
        <v>1387.8</v>
      </c>
      <c r="F93" s="39">
        <f>IFERROR(
INDEX('Olin Raw'!$B$41:$K$100,
MATCH(TRIM($A93),'Olin Raw'!$M$41:$M$100,0),
MATCH(F$32,'Olin Raw'!$B$38:$K$38,0)
),"")</f>
        <v>1423.6</v>
      </c>
      <c r="G93" s="39">
        <f>IFERROR(
INDEX('Olin Raw'!$B$41:$K$100,
MATCH(TRIM($A93),'Olin Raw'!$M$41:$M$100,0),
MATCH(G$32,'Olin Raw'!$B$38:$K$38,0)
),"")</f>
        <v>1894.9</v>
      </c>
      <c r="H93" s="39">
        <f>IFERROR(
INDEX('Olin Raw'!$B$41:$K$100,
MATCH(TRIM($A93),'Olin Raw'!$M$41:$M$100,0),
MATCH(H$32,'Olin Raw'!$B$38:$K$38,0)
),"")</f>
        <v>1340.5</v>
      </c>
      <c r="I93" s="39">
        <f>IFERROR(
INDEX('Olin Raw'!$B$41:$K$100,
MATCH(TRIM($A93),'Olin Raw'!$M$41:$M$100,0),
MATCH(I$32,'Olin Raw'!$B$38:$K$38,0)
),"")</f>
        <v>1046.3</v>
      </c>
      <c r="J93" s="39">
        <f>IFERROR(
INDEX('Olin Raw'!$B$41:$K$100,
MATCH(TRIM($A93),'Olin Raw'!$M$41:$M$100,0),
MATCH(J$32,'Olin Raw'!$B$38:$K$38,0)
),"")</f>
        <v>860.9</v>
      </c>
      <c r="K93" s="39">
        <f>IFERROR(
INDEX('Olin Raw'!$B$41:$K$100,
MATCH(TRIM($A93),'Olin Raw'!$M$41:$M$100,0),
MATCH(K$32,'Olin Raw'!$B$38:$K$38,0)
),"")</f>
        <v>849.2</v>
      </c>
      <c r="L93" s="39">
        <f>IFERROR(
INDEX('Olin Raw'!$B$41:$K$100,
MATCH(TRIM($A93),'Olin Raw'!$M$41:$M$100,0),
MATCH(L$32,'Olin Raw'!$B$38:$K$38,0)
),"")</f>
        <v>747.8</v>
      </c>
      <c r="M93" s="39">
        <f>IFERROR(
INDEX('Olin Raw'!$B$41:$K$100,
MATCH(TRIM($A93),'Olin Raw'!$M$41:$M$100,0),
MATCH(M$32,'Olin Raw'!$B$38:$K$38,0)
),"")</f>
        <v>790.5</v>
      </c>
      <c r="N93" s="98">
        <f t="shared" ref="N93:S93" si="61">N$34*N$25</f>
        <v>839.27385000000015</v>
      </c>
      <c r="O93" s="39">
        <f t="shared" si="61"/>
        <v>835.9167546000001</v>
      </c>
      <c r="P93" s="39">
        <f t="shared" si="61"/>
        <v>896.85508601034007</v>
      </c>
      <c r="Q93" s="39">
        <f t="shared" si="61"/>
        <v>924.47822265945854</v>
      </c>
      <c r="R93" s="39">
        <f t="shared" si="61"/>
        <v>980.87139424168549</v>
      </c>
      <c r="S93" s="99">
        <f t="shared" si="61"/>
        <v>1020.1062500113529</v>
      </c>
    </row>
    <row r="94" spans="1:20" x14ac:dyDescent="0.15">
      <c r="A94" t="s">
        <v>148</v>
      </c>
      <c r="C94" t="s">
        <v>278</v>
      </c>
      <c r="D94" s="39">
        <f>IFERROR(
INDEX('Olin Raw'!$B$41:$K$100,
MATCH(TRIM($A94),'Olin Raw'!$M$41:$M$100,0),
MATCH(D$32,'Olin Raw'!$B$38:$K$38,0)
),"")</f>
        <v>0</v>
      </c>
      <c r="E94" s="39">
        <f>IFERROR(
INDEX('Olin Raw'!$B$41:$K$100,
MATCH(TRIM($A94),'Olin Raw'!$M$41:$M$100,0),
MATCH(E$32,'Olin Raw'!$B$38:$K$38,0)
),"")</f>
        <v>0</v>
      </c>
      <c r="F94" s="39">
        <f>IFERROR(
INDEX('Olin Raw'!$B$41:$K$100,
MATCH(TRIM($A94),'Olin Raw'!$M$41:$M$100,0),
MATCH(F$32,'Olin Raw'!$B$38:$K$38,0)
),"")</f>
        <v>0</v>
      </c>
      <c r="G94" s="39">
        <f>IFERROR(
INDEX('Olin Raw'!$B$41:$K$100,
MATCH(TRIM($A94),'Olin Raw'!$M$41:$M$100,0),
MATCH(G$32,'Olin Raw'!$B$38:$K$38,0)
),"")</f>
        <v>0</v>
      </c>
      <c r="H94" s="39">
        <f>IFERROR(
INDEX('Olin Raw'!$B$41:$K$100,
MATCH(TRIM($A94),'Olin Raw'!$M$41:$M$100,0),
MATCH(H$32,'Olin Raw'!$B$38:$K$38,0)
),"")</f>
        <v>0</v>
      </c>
      <c r="I94" s="39">
        <f>IFERROR(
INDEX('Olin Raw'!$B$41:$K$100,
MATCH(TRIM($A94),'Olin Raw'!$M$41:$M$100,0),
MATCH(I$32,'Olin Raw'!$B$38:$K$38,0)
),"")</f>
        <v>0</v>
      </c>
      <c r="J94" s="39">
        <f>IFERROR(
INDEX('Olin Raw'!$B$41:$K$100,
MATCH(TRIM($A94),'Olin Raw'!$M$41:$M$100,0),
MATCH(J$32,'Olin Raw'!$B$38:$K$38,0)
),"")</f>
        <v>0</v>
      </c>
      <c r="K94" s="39">
        <f>IFERROR(
INDEX('Olin Raw'!$B$41:$K$100,
MATCH(TRIM($A94),'Olin Raw'!$M$41:$M$100,0),
MATCH(K$32,'Olin Raw'!$B$38:$K$38,0)
),"")</f>
        <v>35.9</v>
      </c>
      <c r="L94" s="39">
        <f>IFERROR(
INDEX('Olin Raw'!$B$41:$K$100,
MATCH(TRIM($A94),'Olin Raw'!$M$41:$M$100,0),
MATCH(L$32,'Olin Raw'!$B$38:$K$38,0)
),"")</f>
        <v>32.299999999999997</v>
      </c>
      <c r="M94" s="39">
        <f>IFERROR(
INDEX('Olin Raw'!$B$41:$K$100,
MATCH(TRIM($A94),'Olin Raw'!$M$41:$M$100,0),
MATCH(M$32,'Olin Raw'!$B$38:$K$38,0)
),"")</f>
        <v>31.7</v>
      </c>
      <c r="N94" s="100">
        <f>M94-N52</f>
        <v>28.7</v>
      </c>
      <c r="O94" s="53">
        <f t="shared" ref="O94:S94" si="62">N94-O52</f>
        <v>25.7</v>
      </c>
      <c r="P94" s="53">
        <f t="shared" si="62"/>
        <v>22.7</v>
      </c>
      <c r="Q94" s="53">
        <f t="shared" si="62"/>
        <v>19.7</v>
      </c>
      <c r="R94" s="53">
        <f t="shared" si="62"/>
        <v>16.7</v>
      </c>
      <c r="S94" s="101">
        <f t="shared" si="62"/>
        <v>13.7</v>
      </c>
    </row>
    <row r="95" spans="1:20" x14ac:dyDescent="0.15">
      <c r="A95" t="s">
        <v>149</v>
      </c>
      <c r="C95" s="88" t="s">
        <v>149</v>
      </c>
      <c r="D95" s="89">
        <f>IFERROR(
INDEX('Olin Raw'!$B$41:$K$100,
MATCH(TRIM($A95),'Olin Raw'!$M$41:$M$100,0),
MATCH(D$32,'Olin Raw'!$B$38:$K$38,0)
),"")</f>
        <v>6489.6</v>
      </c>
      <c r="E95" s="89">
        <f>IFERROR(
INDEX('Olin Raw'!$B$41:$K$100,
MATCH(TRIM($A95),'Olin Raw'!$M$41:$M$100,0),
MATCH(E$32,'Olin Raw'!$B$38:$K$38,0)
),"")</f>
        <v>6464.6</v>
      </c>
      <c r="F95" s="89">
        <f>IFERROR(
INDEX('Olin Raw'!$B$41:$K$100,
MATCH(TRIM($A95),'Olin Raw'!$M$41:$M$100,0),
MATCH(F$32,'Olin Raw'!$B$38:$K$38,0)
),"")</f>
        <v>6165.2</v>
      </c>
      <c r="G95" s="89">
        <f>IFERROR(
INDEX('Olin Raw'!$B$41:$K$100,
MATCH(TRIM($A95),'Olin Raw'!$M$41:$M$100,0),
MATCH(G$32,'Olin Raw'!$B$38:$K$38,0)
),"")</f>
        <v>6770.3</v>
      </c>
      <c r="H95" s="89">
        <f>IFERROR(
INDEX('Olin Raw'!$B$41:$K$100,
MATCH(TRIM($A95),'Olin Raw'!$M$41:$M$100,0),
MATCH(H$32,'Olin Raw'!$B$38:$K$38,0)
),"")</f>
        <v>6820.1</v>
      </c>
      <c r="I95" s="89">
        <f>IFERROR(
INDEX('Olin Raw'!$B$41:$K$100,
MATCH(TRIM($A95),'Olin Raw'!$M$41:$M$100,0),
MATCH(I$32,'Olin Raw'!$B$38:$K$38,0)
),"")</f>
        <v>5865.5</v>
      </c>
      <c r="J95" s="89">
        <f>IFERROR(
INDEX('Olin Raw'!$B$41:$K$100,
MATCH(TRIM($A95),'Olin Raw'!$M$41:$M$100,0),
MATCH(J$32,'Olin Raw'!$B$38:$K$38,0)
),"")</f>
        <v>5500.6</v>
      </c>
      <c r="K95" s="89">
        <f>IFERROR(
INDEX('Olin Raw'!$B$41:$K$100,
MATCH(TRIM($A95),'Olin Raw'!$M$41:$M$100,0),
MATCH(K$32,'Olin Raw'!$B$38:$K$38,0)
),"")</f>
        <v>5480.8</v>
      </c>
      <c r="L95" s="89">
        <f>IFERROR(
INDEX('Olin Raw'!$B$41:$K$100,
MATCH(TRIM($A95),'Olin Raw'!$M$41:$M$100,0),
MATCH(L$32,'Olin Raw'!$B$38:$K$38,0)
),"")</f>
        <v>5556</v>
      </c>
      <c r="M95" s="89">
        <f>IFERROR(
INDEX('Olin Raw'!$B$41:$K$100,
MATCH(TRIM($A95),'Olin Raw'!$M$41:$M$100,0),
MATCH(M$32,'Olin Raw'!$B$38:$K$38,0)
),"")</f>
        <v>5486.9</v>
      </c>
      <c r="N95" s="94">
        <f ca="1">N86+N91+N92+N93+N94</f>
        <v>5505.362400743672</v>
      </c>
      <c r="O95" s="89">
        <f t="shared" ref="O95:S95" ca="1" si="63">O86+O91+O92+O93+O94</f>
        <v>5478.4400318086973</v>
      </c>
      <c r="P95" s="89">
        <f t="shared" ca="1" si="63"/>
        <v>5620.3431941911267</v>
      </c>
      <c r="Q95" s="89">
        <f t="shared" ca="1" si="63"/>
        <v>5670.9293183602986</v>
      </c>
      <c r="R95" s="89">
        <f t="shared" ca="1" si="63"/>
        <v>5264.3001187367117</v>
      </c>
      <c r="S95" s="95">
        <f t="shared" ca="1" si="63"/>
        <v>5347.1705946984066</v>
      </c>
    </row>
    <row r="96" spans="1:20" x14ac:dyDescent="0.15"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98"/>
      <c r="O96" s="39"/>
      <c r="P96" s="39"/>
      <c r="Q96" s="39"/>
      <c r="R96" s="39"/>
      <c r="S96" s="99"/>
    </row>
    <row r="97" spans="1:19" x14ac:dyDescent="0.15">
      <c r="A97" t="s">
        <v>60</v>
      </c>
      <c r="C97" t="s">
        <v>60</v>
      </c>
      <c r="D97" s="39">
        <f>IFERROR(
INDEX('Olin Raw'!$B$41:$K$100,
MATCH(TRIM($A97),'Olin Raw'!$M$41:$M$100,0),
MATCH(D$32,'Olin Raw'!$B$38:$K$38,0)
),"")</f>
        <v>165.4</v>
      </c>
      <c r="E97" s="39">
        <f>IFERROR(
INDEX('Olin Raw'!$B$41:$K$100,
MATCH(TRIM($A97),'Olin Raw'!$M$41:$M$100,0),
MATCH(E$32,'Olin Raw'!$B$38:$K$38,0)
),"")</f>
        <v>167.1</v>
      </c>
      <c r="F97" s="39">
        <f>IFERROR(
INDEX('Olin Raw'!$B$41:$K$100,
MATCH(TRIM($A97),'Olin Raw'!$M$41:$M$100,0),
MATCH(F$32,'Olin Raw'!$B$38:$K$38,0)
),"")</f>
        <v>165.3</v>
      </c>
      <c r="G97" s="39">
        <f>IFERROR(
INDEX('Olin Raw'!$B$41:$K$100,
MATCH(TRIM($A97),'Olin Raw'!$M$41:$M$100,0),
MATCH(G$32,'Olin Raw'!$B$38:$K$38,0)
),"")</f>
        <v>157.69999999999999</v>
      </c>
      <c r="H97" s="39">
        <f>IFERROR(
INDEX('Olin Raw'!$B$41:$K$100,
MATCH(TRIM($A97),'Olin Raw'!$M$41:$M$100,0),
MATCH(H$32,'Olin Raw'!$B$38:$K$38,0)
),"")</f>
        <v>158</v>
      </c>
      <c r="I97" s="39">
        <f>IFERROR(
INDEX('Olin Raw'!$B$41:$K$100,
MATCH(TRIM($A97),'Olin Raw'!$M$41:$M$100,0),
MATCH(I$32,'Olin Raw'!$B$38:$K$38,0)
),"")</f>
        <v>156.80000000000001</v>
      </c>
      <c r="J97" s="39">
        <f>IFERROR(
INDEX('Olin Raw'!$B$41:$K$100,
MATCH(TRIM($A97),'Olin Raw'!$M$41:$M$100,0),
MATCH(J$32,'Olin Raw'!$B$38:$K$38,0)
),"")</f>
        <v>132.30000000000001</v>
      </c>
      <c r="K97" s="39">
        <f>IFERROR(
INDEX('Olin Raw'!$B$41:$K$100,
MATCH(TRIM($A97),'Olin Raw'!$M$41:$M$100,0),
MATCH(K$32,'Olin Raw'!$B$38:$K$38,0)
),"")</f>
        <v>120.2</v>
      </c>
      <c r="L97" s="39">
        <f>IFERROR(
INDEX('Olin Raw'!$B$41:$K$100,
MATCH(TRIM($A97),'Olin Raw'!$M$41:$M$100,0),
MATCH(L$32,'Olin Raw'!$B$38:$K$38,0)
),"")</f>
        <v>115.7</v>
      </c>
      <c r="M97" s="39">
        <f>IFERROR(
INDEX('Olin Raw'!$B$41:$K$100,
MATCH(TRIM($A97),'Olin Raw'!$M$41:$M$100,0),
MATCH(M$32,'Olin Raw'!$B$38:$K$38,0)
),"")</f>
        <v>113.6</v>
      </c>
      <c r="N97" s="100">
        <f>'Olin Equity Schedule'!M$26</f>
        <v>114.19999999999999</v>
      </c>
      <c r="O97" s="53">
        <f>'Olin Equity Schedule'!N$26</f>
        <v>114.69999999999999</v>
      </c>
      <c r="P97" s="53">
        <f>'Olin Equity Schedule'!O$26</f>
        <v>115.19999999999999</v>
      </c>
      <c r="Q97" s="53">
        <f>'Olin Equity Schedule'!P$26</f>
        <v>115.69999999999999</v>
      </c>
      <c r="R97" s="53">
        <f>'Olin Equity Schedule'!Q$26</f>
        <v>116.19999999999999</v>
      </c>
      <c r="S97" s="101">
        <f>'Olin Equity Schedule'!R$26</f>
        <v>116.69999999999999</v>
      </c>
    </row>
    <row r="98" spans="1:19" x14ac:dyDescent="0.15">
      <c r="A98" t="s">
        <v>153</v>
      </c>
      <c r="C98" t="s">
        <v>153</v>
      </c>
      <c r="D98" s="39">
        <f>IFERROR(
INDEX('Olin Raw'!$B$41:$K$100,
MATCH(TRIM($A98),'Olin Raw'!$M$41:$M$100,0),
MATCH(D$32,'Olin Raw'!$B$38:$K$38,0)
),"")</f>
        <v>2243.8000000000002</v>
      </c>
      <c r="E98" s="39">
        <f>IFERROR(
INDEX('Olin Raw'!$B$41:$K$100,
MATCH(TRIM($A98),'Olin Raw'!$M$41:$M$100,0),
MATCH(E$32,'Olin Raw'!$B$38:$K$38,0)
),"")</f>
        <v>2280.9</v>
      </c>
      <c r="F98" s="39">
        <f>IFERROR(
INDEX('Olin Raw'!$B$41:$K$100,
MATCH(TRIM($A98),'Olin Raw'!$M$41:$M$100,0),
MATCH(F$32,'Olin Raw'!$B$38:$K$38,0)
),"")</f>
        <v>2247.4</v>
      </c>
      <c r="G98" s="39">
        <f>IFERROR(
INDEX('Olin Raw'!$B$41:$K$100,
MATCH(TRIM($A98),'Olin Raw'!$M$41:$M$100,0),
MATCH(G$32,'Olin Raw'!$B$38:$K$38,0)
),"")</f>
        <v>2122.1</v>
      </c>
      <c r="H98" s="39">
        <f>IFERROR(
INDEX('Olin Raw'!$B$41:$K$100,
MATCH(TRIM($A98),'Olin Raw'!$M$41:$M$100,0),
MATCH(H$32,'Olin Raw'!$B$38:$K$38,0)
),"")</f>
        <v>2137.8000000000002</v>
      </c>
      <c r="I98" s="39">
        <f>IFERROR(
INDEX('Olin Raw'!$B$41:$K$100,
MATCH(TRIM($A98),'Olin Raw'!$M$41:$M$100,0),
MATCH(I$32,'Olin Raw'!$B$38:$K$38,0)
),"")</f>
        <v>1969.6</v>
      </c>
      <c r="J98" s="39">
        <f>IFERROR(
INDEX('Olin Raw'!$B$41:$K$100,
MATCH(TRIM($A98),'Olin Raw'!$M$41:$M$100,0),
MATCH(J$32,'Olin Raw'!$B$38:$K$38,0)
),"")</f>
        <v>682.7</v>
      </c>
      <c r="K98" s="39">
        <f>IFERROR(
INDEX('Olin Raw'!$B$41:$K$100,
MATCH(TRIM($A98),'Olin Raw'!$M$41:$M$100,0),
MATCH(K$32,'Olin Raw'!$B$38:$K$38,0)
),"")</f>
        <v>24.8</v>
      </c>
      <c r="L98" s="39">
        <f>IFERROR(
INDEX('Olin Raw'!$B$41:$K$100,
MATCH(TRIM($A98),'Olin Raw'!$M$41:$M$100,0),
MATCH(L$32,'Olin Raw'!$B$38:$K$38,0)
),"")</f>
        <v>0</v>
      </c>
      <c r="M98" s="39">
        <f>IFERROR(
INDEX('Olin Raw'!$B$41:$K$100,
MATCH(TRIM($A98),'Olin Raw'!$M$41:$M$100,0),
MATCH(M$32,'Olin Raw'!$B$38:$K$38,0)
),"")</f>
        <v>0</v>
      </c>
      <c r="N98" s="100">
        <f>'Olin Equity Schedule'!M$27</f>
        <v>29.400000000000006</v>
      </c>
      <c r="O98" s="53">
        <f>'Olin Equity Schedule'!N$27</f>
        <v>60.900000000000006</v>
      </c>
      <c r="P98" s="53">
        <f>'Olin Equity Schedule'!O$27</f>
        <v>94.4</v>
      </c>
      <c r="Q98" s="53">
        <f>'Olin Equity Schedule'!P$27</f>
        <v>128.9</v>
      </c>
      <c r="R98" s="53">
        <f>'Olin Equity Schedule'!Q$27</f>
        <v>164.4</v>
      </c>
      <c r="S98" s="101">
        <f>'Olin Equity Schedule'!R$27</f>
        <v>199.9</v>
      </c>
    </row>
    <row r="99" spans="1:19" x14ac:dyDescent="0.15">
      <c r="A99" t="s">
        <v>154</v>
      </c>
      <c r="C99" t="s">
        <v>279</v>
      </c>
      <c r="D99" s="39">
        <f>IFERROR(
INDEX('Olin Raw'!$B$41:$K$100,
MATCH(TRIM($A99),'Olin Raw'!$M$41:$M$100,0),
MATCH(D$32,'Olin Raw'!$B$38:$K$38,0)
),"")</f>
        <v>373.8</v>
      </c>
      <c r="E99" s="39">
        <f>IFERROR(
INDEX('Olin Raw'!$B$41:$K$100,
MATCH(TRIM($A99),'Olin Raw'!$M$41:$M$100,0),
MATCH(E$32,'Olin Raw'!$B$38:$K$38,0)
),"")</f>
        <v>790.3</v>
      </c>
      <c r="F99" s="39">
        <f>IFERROR(
INDEX('Olin Raw'!$B$41:$K$100,
MATCH(TRIM($A99),'Olin Raw'!$M$41:$M$100,0),
MATCH(F$32,'Olin Raw'!$B$38:$K$38,0)
),"")</f>
        <v>1070.5</v>
      </c>
      <c r="G99" s="39">
        <f>IFERROR(
INDEX('Olin Raw'!$B$41:$K$100,
MATCH(TRIM($A99),'Olin Raw'!$M$41:$M$100,0),
MATCH(G$32,'Olin Raw'!$B$38:$K$38,0)
),"")</f>
        <v>941.1</v>
      </c>
      <c r="H99" s="39">
        <f>IFERROR(
INDEX('Olin Raw'!$B$41:$K$100,
MATCH(TRIM($A99),'Olin Raw'!$M$41:$M$100,0),
MATCH(H$32,'Olin Raw'!$B$38:$K$38,0)
),"")</f>
        <v>-155.1</v>
      </c>
      <c r="I99" s="39">
        <f>IFERROR(
INDEX('Olin Raw'!$B$41:$K$100,
MATCH(TRIM($A99),'Olin Raw'!$M$41:$M$100,0),
MATCH(I$32,'Olin Raw'!$B$38:$K$38,0)
),"")</f>
        <v>1013.8</v>
      </c>
      <c r="J99" s="39">
        <f>IFERROR(
INDEX('Olin Raw'!$B$41:$K$100,
MATCH(TRIM($A99),'Olin Raw'!$M$41:$M$100,0),
MATCH(J$32,'Olin Raw'!$B$38:$K$38,0)
),"")</f>
        <v>2224.5</v>
      </c>
      <c r="K99" s="39">
        <f>IFERROR(
INDEX('Olin Raw'!$B$41:$K$100,
MATCH(TRIM($A99),'Olin Raw'!$M$41:$M$100,0),
MATCH(K$32,'Olin Raw'!$B$38:$K$38,0)
),"")</f>
        <v>2583.6999999999998</v>
      </c>
      <c r="L99" s="39">
        <f>IFERROR(
INDEX('Olin Raw'!$B$41:$K$100,
MATCH(TRIM($A99),'Olin Raw'!$M$41:$M$100,0),
MATCH(L$32,'Olin Raw'!$B$38:$K$38,0)
),"")</f>
        <v>2357.5</v>
      </c>
      <c r="M99" s="39">
        <f>IFERROR(
INDEX('Olin Raw'!$B$41:$K$100,
MATCH(TRIM($A99),'Olin Raw'!$M$41:$M$100,0),
MATCH(M$32,'Olin Raw'!$B$38:$K$38,0)
),"")</f>
        <v>2139.8000000000002</v>
      </c>
      <c r="N99" s="98">
        <f ca="1">'Olin Equity Schedule'!M$35</f>
        <v>2081.3824908181336</v>
      </c>
      <c r="O99" s="39">
        <f ca="1">'Olin Equity Schedule'!N$35</f>
        <v>2129.0235158766459</v>
      </c>
      <c r="P99" s="39">
        <f ca="1">'Olin Equity Schedule'!O$35</f>
        <v>2395.1476655739289</v>
      </c>
      <c r="Q99" s="39">
        <f ca="1">'Olin Equity Schedule'!P$35</f>
        <v>2841.9288852501172</v>
      </c>
      <c r="R99" s="39">
        <f ca="1">'Olin Equity Schedule'!Q$35</f>
        <v>3554.4926883151838</v>
      </c>
      <c r="S99" s="99">
        <f ca="1">'Olin Equity Schedule'!R$35</f>
        <v>4454.8418911627896</v>
      </c>
    </row>
    <row r="100" spans="1:19" x14ac:dyDescent="0.15">
      <c r="A100" t="s">
        <v>155</v>
      </c>
      <c r="C100" t="s">
        <v>280</v>
      </c>
      <c r="D100" s="39">
        <f>IFERROR(
INDEX('Olin Raw'!$B$41:$K$100,
MATCH(TRIM($A100),'Olin Raw'!$M$41:$M$100,0),
MATCH(D$32,'Olin Raw'!$B$38:$K$38,0)
),"")</f>
        <v>0</v>
      </c>
      <c r="E100" s="39">
        <f>IFERROR(
INDEX('Olin Raw'!$B$41:$K$100,
MATCH(TRIM($A100),'Olin Raw'!$M$41:$M$100,0),
MATCH(E$32,'Olin Raw'!$B$38:$K$38,0)
),"")</f>
        <v>0</v>
      </c>
      <c r="F100" s="39">
        <f>IFERROR(
INDEX('Olin Raw'!$B$41:$K$100,
MATCH(TRIM($A100),'Olin Raw'!$M$41:$M$100,0),
MATCH(F$32,'Olin Raw'!$B$38:$K$38,0)
),"")</f>
        <v>0</v>
      </c>
      <c r="G100" s="39">
        <f>IFERROR(
INDEX('Olin Raw'!$B$41:$K$100,
MATCH(TRIM($A100),'Olin Raw'!$M$41:$M$100,0),
MATCH(G$32,'Olin Raw'!$B$38:$K$38,0)
),"")</f>
        <v>0</v>
      </c>
      <c r="H100" s="39">
        <f>IFERROR(
INDEX('Olin Raw'!$B$41:$K$100,
MATCH(TRIM($A100),'Olin Raw'!$M$41:$M$100,0),
MATCH(H$32,'Olin Raw'!$B$38:$K$38,0)
),"")</f>
        <v>0</v>
      </c>
      <c r="I100" s="39">
        <f>IFERROR(
INDEX('Olin Raw'!$B$41:$K$100,
MATCH(TRIM($A100),'Olin Raw'!$M$41:$M$100,0),
MATCH(I$32,'Olin Raw'!$B$38:$K$38,0)
),"")</f>
        <v>0</v>
      </c>
      <c r="J100" s="39">
        <f>IFERROR(
INDEX('Olin Raw'!$B$41:$K$100,
MATCH(TRIM($A100),'Olin Raw'!$M$41:$M$100,0),
MATCH(J$32,'Olin Raw'!$B$38:$K$38,0)
),"")</f>
        <v>0</v>
      </c>
      <c r="K100" s="39">
        <f>IFERROR(
INDEX('Olin Raw'!$B$41:$K$100,
MATCH(TRIM($A100),'Olin Raw'!$M$41:$M$100,0),
MATCH(K$32,'Olin Raw'!$B$38:$K$38,0)
),"")</f>
        <v>0</v>
      </c>
      <c r="L100" s="39">
        <f>IFERROR(
INDEX('Olin Raw'!$B$41:$K$100,
MATCH(TRIM($A100),'Olin Raw'!$M$41:$M$100,0),
MATCH(L$32,'Olin Raw'!$B$38:$K$38,0)
),"")</f>
        <v>0</v>
      </c>
      <c r="M100" s="39">
        <f>IFERROR(
INDEX('Olin Raw'!$B$41:$K$100,
MATCH(TRIM($A100),'Olin Raw'!$M$41:$M$100,0),
MATCH(M$32,'Olin Raw'!$B$38:$K$38,0)
),"")</f>
        <v>0</v>
      </c>
      <c r="N100" s="100">
        <f>'Olin Equity Schedule'!M$29</f>
        <v>0</v>
      </c>
      <c r="O100" s="53">
        <f>'Olin Equity Schedule'!N$29</f>
        <v>0</v>
      </c>
      <c r="P100" s="53">
        <f>'Olin Equity Schedule'!O$29</f>
        <v>0</v>
      </c>
      <c r="Q100" s="53">
        <f>'Olin Equity Schedule'!P$29</f>
        <v>0</v>
      </c>
      <c r="R100" s="53">
        <f>'Olin Equity Schedule'!Q$29</f>
        <v>0</v>
      </c>
      <c r="S100" s="101">
        <f>'Olin Equity Schedule'!R$29</f>
        <v>0</v>
      </c>
    </row>
    <row r="101" spans="1:19" x14ac:dyDescent="0.15">
      <c r="A101" t="s">
        <v>158</v>
      </c>
      <c r="C101" t="s">
        <v>281</v>
      </c>
      <c r="D101" s="39">
        <f>IFERROR(
INDEX('Olin Raw'!$B$41:$K$100,
MATCH(TRIM($A101),'Olin Raw'!$M$41:$M$100,0),
MATCH(D$32,'Olin Raw'!$B$38:$K$38,0)
),"")</f>
        <v>-510</v>
      </c>
      <c r="E101" s="39">
        <f>IFERROR(
INDEX('Olin Raw'!$B$41:$K$100,
MATCH(TRIM($A101),'Olin Raw'!$M$41:$M$100,0),
MATCH(E$32,'Olin Raw'!$B$38:$K$38,0)
),"")</f>
        <v>-484.6</v>
      </c>
      <c r="F101" s="39">
        <f>IFERROR(
INDEX('Olin Raw'!$B$41:$K$100,
MATCH(TRIM($A101),'Olin Raw'!$M$41:$M$100,0),
MATCH(F$32,'Olin Raw'!$B$38:$K$38,0)
),"")</f>
        <v>-651</v>
      </c>
      <c r="G101" s="39">
        <f>IFERROR(
INDEX('Olin Raw'!$B$41:$K$100,
MATCH(TRIM($A101),'Olin Raw'!$M$41:$M$100,0),
MATCH(G$32,'Olin Raw'!$B$38:$K$38,0)
),"")</f>
        <v>-803.4</v>
      </c>
      <c r="H101" s="39">
        <f>IFERROR(
INDEX('Olin Raw'!$B$41:$K$100,
MATCH(TRIM($A101),'Olin Raw'!$M$41:$M$100,0),
MATCH(H$32,'Olin Raw'!$B$38:$K$38,0)
),"")</f>
        <v>-689.9</v>
      </c>
      <c r="I101" s="39">
        <f>IFERROR(
INDEX('Olin Raw'!$B$41:$K$100,
MATCH(TRIM($A101),'Olin Raw'!$M$41:$M$100,0),
MATCH(I$32,'Olin Raw'!$B$38:$K$38,0)
),"")</f>
        <v>-488</v>
      </c>
      <c r="J101" s="39">
        <f>IFERROR(
INDEX('Olin Raw'!$B$41:$K$100,
MATCH(TRIM($A101),'Olin Raw'!$M$41:$M$100,0),
MATCH(J$32,'Olin Raw'!$B$38:$K$38,0)
),"")</f>
        <v>-495.9</v>
      </c>
      <c r="K101" s="39">
        <f>IFERROR(
INDEX('Olin Raw'!$B$41:$K$100,
MATCH(TRIM($A101),'Olin Raw'!$M$41:$M$100,0),
MATCH(K$32,'Olin Raw'!$B$38:$K$38,0)
),"")</f>
        <v>-496.3</v>
      </c>
      <c r="L101" s="39">
        <f>IFERROR(
INDEX('Olin Raw'!$B$41:$K$100,
MATCH(TRIM($A101),'Olin Raw'!$M$41:$M$100,0),
MATCH(L$32,'Olin Raw'!$B$38:$K$38,0)
),"")</f>
        <v>-450.1</v>
      </c>
      <c r="M101" s="39">
        <f>IFERROR(
INDEX('Olin Raw'!$B$41:$K$100,
MATCH(TRIM($A101),'Olin Raw'!$M$41:$M$100,0),
MATCH(M$32,'Olin Raw'!$B$38:$K$38,0)
),"")</f>
        <v>-414.5</v>
      </c>
      <c r="N101" s="100">
        <f>'Olin Equity Schedule'!M$37</f>
        <v>-414.5</v>
      </c>
      <c r="O101" s="53">
        <f>'Olin Equity Schedule'!N$37</f>
        <v>-414.5</v>
      </c>
      <c r="P101" s="53">
        <f>'Olin Equity Schedule'!O$37</f>
        <v>-414.5</v>
      </c>
      <c r="Q101" s="53">
        <f>'Olin Equity Schedule'!P$37</f>
        <v>-414.5</v>
      </c>
      <c r="R101" s="53">
        <f>'Olin Equity Schedule'!Q$37</f>
        <v>-414.5</v>
      </c>
      <c r="S101" s="101">
        <f>'Olin Equity Schedule'!R$37</f>
        <v>-414.5</v>
      </c>
    </row>
    <row r="102" spans="1:19" s="48" customFormat="1" x14ac:dyDescent="0.15">
      <c r="A102" s="48" t="s">
        <v>159</v>
      </c>
      <c r="C102" s="88" t="s">
        <v>159</v>
      </c>
      <c r="D102" s="89">
        <f>IFERROR(
INDEX('Olin Raw'!$B$41:$K$100,
MATCH(TRIM($A102),'Olin Raw'!$M$41:$M$100,0),
MATCH(D$32,'Olin Raw'!$B$38:$K$38,0)
),"")</f>
        <v>2273</v>
      </c>
      <c r="E102" s="89">
        <f>IFERROR(
INDEX('Olin Raw'!$B$41:$K$100,
MATCH(TRIM($A102),'Olin Raw'!$M$41:$M$100,0),
MATCH(E$32,'Olin Raw'!$B$38:$K$38,0)
),"")</f>
        <v>2753.7</v>
      </c>
      <c r="F102" s="89">
        <f>IFERROR(
INDEX('Olin Raw'!$B$41:$K$100,
MATCH(TRIM($A102),'Olin Raw'!$M$41:$M$100,0),
MATCH(F$32,'Olin Raw'!$B$38:$K$38,0)
),"")</f>
        <v>2832.2</v>
      </c>
      <c r="G102" s="89">
        <f>IFERROR(
INDEX('Olin Raw'!$B$41:$K$100,
MATCH(TRIM($A102),'Olin Raw'!$M$41:$M$100,0),
MATCH(G$32,'Olin Raw'!$B$38:$K$38,0)
),"")</f>
        <v>2417.5</v>
      </c>
      <c r="H102" s="89">
        <f>IFERROR(
INDEX('Olin Raw'!$B$41:$K$100,
MATCH(TRIM($A102),'Olin Raw'!$M$41:$M$100,0),
MATCH(H$32,'Olin Raw'!$B$38:$K$38,0)
),"")</f>
        <v>1450.8</v>
      </c>
      <c r="I102" s="89">
        <f>IFERROR(
INDEX('Olin Raw'!$B$41:$K$100,
MATCH(TRIM($A102),'Olin Raw'!$M$41:$M$100,0),
MATCH(I$32,'Olin Raw'!$B$38:$K$38,0)
),"")</f>
        <v>2652.2</v>
      </c>
      <c r="J102" s="89">
        <f>IFERROR(
INDEX('Olin Raw'!$B$41:$K$100,
MATCH(TRIM($A102),'Olin Raw'!$M$41:$M$100,0),
MATCH(J$32,'Olin Raw'!$B$38:$K$38,0)
),"")</f>
        <v>2543.6</v>
      </c>
      <c r="K102" s="89">
        <f>IFERROR(
INDEX('Olin Raw'!$B$41:$K$100,
MATCH(TRIM($A102),'Olin Raw'!$M$41:$M$100,0),
MATCH(K$32,'Olin Raw'!$B$38:$K$38,0)
),"")</f>
        <v>2232.4</v>
      </c>
      <c r="L102" s="89">
        <f>IFERROR(
INDEX('Olin Raw'!$B$41:$K$100,
MATCH(TRIM($A102),'Olin Raw'!$M$41:$M$100,0),
MATCH(L$32,'Olin Raw'!$B$38:$K$38,0)
),"")</f>
        <v>2023.1</v>
      </c>
      <c r="M102" s="89">
        <f>IFERROR(
INDEX('Olin Raw'!$B$41:$K$100,
MATCH(TRIM($A102),'Olin Raw'!$M$41:$M$100,0),
MATCH(M$32,'Olin Raw'!$B$38:$K$38,0)
),"")</f>
        <v>1838.9</v>
      </c>
      <c r="N102" s="94">
        <f ca="1">'Olin Equity Schedule'!M$38</f>
        <v>1810.4824908181336</v>
      </c>
      <c r="O102" s="89">
        <f ca="1">'Olin Equity Schedule'!N$38</f>
        <v>1890.1235158766458</v>
      </c>
      <c r="P102" s="89">
        <f ca="1">'Olin Equity Schedule'!O$38</f>
        <v>2190.2476655739288</v>
      </c>
      <c r="Q102" s="89">
        <f ca="1">'Olin Equity Schedule'!P$38</f>
        <v>2672.0288852501171</v>
      </c>
      <c r="R102" s="89">
        <f ca="1">'Olin Equity Schedule'!Q$38</f>
        <v>3420.5926883151838</v>
      </c>
      <c r="S102" s="95">
        <f ca="1">'Olin Equity Schedule'!R$38</f>
        <v>4356.9418911627899</v>
      </c>
    </row>
    <row r="103" spans="1:19" x14ac:dyDescent="0.15"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98"/>
      <c r="O103" s="39"/>
      <c r="P103" s="39"/>
      <c r="Q103" s="39"/>
      <c r="R103" s="39"/>
      <c r="S103" s="99"/>
    </row>
    <row r="104" spans="1:19" ht="14" thickBot="1" x14ac:dyDescent="0.2">
      <c r="A104" t="s">
        <v>160</v>
      </c>
      <c r="C104" s="133" t="s">
        <v>282</v>
      </c>
      <c r="D104" s="135">
        <f>IFERROR(
INDEX('Olin Raw'!$B$41:$K$100,
MATCH(TRIM($A104),'Olin Raw'!$M$41:$M$100,0),
MATCH(D$32,'Olin Raw'!$B$38:$K$38,0)
),"")</f>
        <v>8762.6</v>
      </c>
      <c r="E104" s="135">
        <f>IFERROR(
INDEX('Olin Raw'!$B$41:$K$100,
MATCH(TRIM($A104),'Olin Raw'!$M$41:$M$100,0),
MATCH(E$32,'Olin Raw'!$B$38:$K$38,0)
),"")</f>
        <v>9218.2999999999993</v>
      </c>
      <c r="F104" s="135">
        <f>IFERROR(
INDEX('Olin Raw'!$B$41:$K$100,
MATCH(TRIM($A104),'Olin Raw'!$M$41:$M$100,0),
MATCH(F$32,'Olin Raw'!$B$38:$K$38,0)
),"")</f>
        <v>8997.4</v>
      </c>
      <c r="G104" s="135">
        <f>IFERROR(
INDEX('Olin Raw'!$B$41:$K$100,
MATCH(TRIM($A104),'Olin Raw'!$M$41:$M$100,0),
MATCH(G$32,'Olin Raw'!$B$38:$K$38,0)
),"")</f>
        <v>9187.7999999999993</v>
      </c>
      <c r="H104" s="135">
        <f>IFERROR(
INDEX('Olin Raw'!$B$41:$K$100,
MATCH(TRIM($A104),'Olin Raw'!$M$41:$M$100,0),
MATCH(H$32,'Olin Raw'!$B$38:$K$38,0)
),"")</f>
        <v>8270.9</v>
      </c>
      <c r="I104" s="135">
        <f>IFERROR(
INDEX('Olin Raw'!$B$41:$K$100,
MATCH(TRIM($A104),'Olin Raw'!$M$41:$M$100,0),
MATCH(I$32,'Olin Raw'!$B$38:$K$38,0)
),"")</f>
        <v>8517.7000000000007</v>
      </c>
      <c r="J104" s="135">
        <f>IFERROR(
INDEX('Olin Raw'!$B$41:$K$100,
MATCH(TRIM($A104),'Olin Raw'!$M$41:$M$100,0),
MATCH(J$32,'Olin Raw'!$B$38:$K$38,0)
),"")</f>
        <v>8044.2</v>
      </c>
      <c r="K104" s="135">
        <f>IFERROR(
INDEX('Olin Raw'!$B$41:$K$100,
MATCH(TRIM($A104),'Olin Raw'!$M$41:$M$100,0),
MATCH(K$32,'Olin Raw'!$B$38:$K$38,0)
),"")</f>
        <v>7713.2</v>
      </c>
      <c r="L104" s="135">
        <f>IFERROR(
INDEX('Olin Raw'!$B$41:$K$100,
MATCH(TRIM($A104),'Olin Raw'!$M$41:$M$100,0),
MATCH(L$32,'Olin Raw'!$B$38:$K$38,0)
),"")</f>
        <v>7579.1</v>
      </c>
      <c r="M104" s="135">
        <f>IFERROR(
INDEX('Olin Raw'!$B$41:$K$100,
MATCH(TRIM($A104),'Olin Raw'!$M$41:$M$100,0),
MATCH(M$32,'Olin Raw'!$B$38:$K$38,0)
),"")</f>
        <v>7325.8</v>
      </c>
      <c r="N104" s="134">
        <f t="shared" ref="N104:S104" ca="1" si="64">N$102+N$95</f>
        <v>7315.8448915618055</v>
      </c>
      <c r="O104" s="135">
        <f t="shared" ca="1" si="64"/>
        <v>7368.5635476853431</v>
      </c>
      <c r="P104" s="135">
        <f t="shared" ca="1" si="64"/>
        <v>7810.5908597650559</v>
      </c>
      <c r="Q104" s="135">
        <f t="shared" ca="1" si="64"/>
        <v>8342.9582036104148</v>
      </c>
      <c r="R104" s="135">
        <f t="shared" ca="1" si="64"/>
        <v>8684.8928070518959</v>
      </c>
      <c r="S104" s="136">
        <f t="shared" ca="1" si="64"/>
        <v>9704.1124858611965</v>
      </c>
    </row>
    <row r="105" spans="1:19" ht="14" thickTop="1" x14ac:dyDescent="0.15"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96"/>
      <c r="O105" s="57"/>
      <c r="P105" s="57"/>
      <c r="Q105" s="57"/>
      <c r="R105" s="57"/>
      <c r="S105" s="97"/>
    </row>
    <row r="106" spans="1:19" x14ac:dyDescent="0.15">
      <c r="C106" s="41" t="s">
        <v>397</v>
      </c>
      <c r="D106" s="12">
        <f>D104-D79</f>
        <v>0</v>
      </c>
      <c r="E106" s="12">
        <f t="shared" ref="E106:M106" si="65">E104-E79</f>
        <v>0</v>
      </c>
      <c r="F106" s="12">
        <f t="shared" si="65"/>
        <v>0</v>
      </c>
      <c r="G106" s="12">
        <f t="shared" si="65"/>
        <v>0</v>
      </c>
      <c r="H106" s="12">
        <f t="shared" si="65"/>
        <v>0</v>
      </c>
      <c r="I106" s="12">
        <f t="shared" si="65"/>
        <v>0</v>
      </c>
      <c r="J106" s="12">
        <f t="shared" si="65"/>
        <v>0</v>
      </c>
      <c r="K106" s="12">
        <f t="shared" si="65"/>
        <v>0</v>
      </c>
      <c r="L106" s="12">
        <f t="shared" si="65"/>
        <v>0</v>
      </c>
      <c r="M106" s="12">
        <f t="shared" si="65"/>
        <v>0</v>
      </c>
      <c r="N106" s="137">
        <f ca="1">N79-N104</f>
        <v>0</v>
      </c>
      <c r="O106" s="52">
        <f t="shared" ref="O106:S106" ca="1" si="66">O79-O104</f>
        <v>0</v>
      </c>
      <c r="P106" s="52">
        <f t="shared" ca="1" si="66"/>
        <v>0</v>
      </c>
      <c r="Q106" s="52">
        <f t="shared" ca="1" si="66"/>
        <v>0</v>
      </c>
      <c r="R106" s="52">
        <f t="shared" ca="1" si="66"/>
        <v>0</v>
      </c>
      <c r="S106" s="138">
        <f t="shared" ca="1" si="66"/>
        <v>0</v>
      </c>
    </row>
    <row r="107" spans="1:19" x14ac:dyDescent="0.15">
      <c r="A107" t="s">
        <v>161</v>
      </c>
      <c r="C107" t="s">
        <v>283</v>
      </c>
      <c r="D107">
        <f>IFERROR(
INDEX('Olin Raw'!$B$41:$K$100,
MATCH(TRIM($A107),'Olin Raw'!$M$41:$M$100,0),
MATCH(D$32,'Olin Raw'!$B$38:$K$38,0)
),"")</f>
        <v>165</v>
      </c>
      <c r="E107">
        <f>IFERROR(
INDEX('Olin Raw'!$B$41:$K$100,
MATCH(TRIM($A107),'Olin Raw'!$M$41:$M$100,0),
MATCH(E$32,'Olin Raw'!$B$38:$K$38,0)
),"")</f>
        <v>167</v>
      </c>
      <c r="F107">
        <f>IFERROR(
INDEX('Olin Raw'!$B$41:$K$100,
MATCH(TRIM($A107),'Olin Raw'!$M$41:$M$100,0),
MATCH(F$32,'Olin Raw'!$B$38:$K$38,0)
),"")</f>
        <v>165</v>
      </c>
      <c r="G107">
        <f>IFERROR(
INDEX('Olin Raw'!$B$41:$K$100,
MATCH(TRIM($A107),'Olin Raw'!$M$41:$M$100,0),
MATCH(G$32,'Olin Raw'!$B$38:$K$38,0)
),"")</f>
        <v>158</v>
      </c>
      <c r="H107">
        <f>IFERROR(
INDEX('Olin Raw'!$B$41:$K$100,
MATCH(TRIM($A107),'Olin Raw'!$M$41:$M$100,0),
MATCH(H$32,'Olin Raw'!$B$38:$K$38,0)
),"")</f>
        <v>158</v>
      </c>
      <c r="I107">
        <f>IFERROR(
INDEX('Olin Raw'!$B$41:$K$100,
MATCH(TRIM($A107),'Olin Raw'!$M$41:$M$100,0),
MATCH(I$32,'Olin Raw'!$B$38:$K$38,0)
),"")</f>
        <v>157</v>
      </c>
      <c r="J107">
        <f>IFERROR(
INDEX('Olin Raw'!$B$41:$K$100,
MATCH(TRIM($A107),'Olin Raw'!$M$41:$M$100,0),
MATCH(J$32,'Olin Raw'!$B$38:$K$38,0)
),"")</f>
        <v>132</v>
      </c>
      <c r="K107">
        <f>IFERROR(
INDEX('Olin Raw'!$B$41:$K$100,
MATCH(TRIM($A107),'Olin Raw'!$M$41:$M$100,0),
MATCH(K$32,'Olin Raw'!$B$38:$K$38,0)
),"")</f>
        <v>120</v>
      </c>
      <c r="L107">
        <f>IFERROR(
INDEX('Olin Raw'!$B$41:$K$100,
MATCH(TRIM($A107),'Olin Raw'!$M$41:$M$100,0),
MATCH(L$32,'Olin Raw'!$B$38:$K$38,0)
),"")</f>
        <v>116</v>
      </c>
      <c r="M107">
        <f>IFERROR(
INDEX('Olin Raw'!$B$41:$K$100,
MATCH(TRIM($A107),'Olin Raw'!$M$41:$M$100,0),
MATCH(M$32,'Olin Raw'!$B$38:$K$38,0)
),"")</f>
        <v>114</v>
      </c>
      <c r="N107" s="123">
        <f>'Olin Equity Schedule'!M$18</f>
        <v>114.6</v>
      </c>
      <c r="O107" s="124">
        <f>'Olin Equity Schedule'!N$18</f>
        <v>115.1</v>
      </c>
      <c r="P107" s="124">
        <f>'Olin Equity Schedule'!O$18</f>
        <v>115.6</v>
      </c>
      <c r="Q107" s="124">
        <f>'Olin Equity Schedule'!P$18</f>
        <v>116.1</v>
      </c>
      <c r="R107" s="124">
        <f>'Olin Equity Schedule'!Q$18</f>
        <v>116.6</v>
      </c>
      <c r="S107" s="125">
        <f>'Olin Equity Schedule'!R$18</f>
        <v>117.1</v>
      </c>
    </row>
    <row r="109" spans="1:19" ht="16" x14ac:dyDescent="0.15">
      <c r="C109" s="343" t="s">
        <v>405</v>
      </c>
      <c r="D109" s="343"/>
      <c r="E109" s="343"/>
      <c r="F109" s="343"/>
      <c r="G109" s="343"/>
      <c r="H109" s="343"/>
      <c r="I109" s="343"/>
      <c r="J109" s="343"/>
      <c r="K109" s="343"/>
      <c r="L109" s="343"/>
      <c r="M109" s="343"/>
      <c r="N109" s="343"/>
      <c r="O109" s="343"/>
      <c r="P109" s="343"/>
      <c r="Q109" s="343"/>
      <c r="R109" s="343"/>
      <c r="S109" s="343"/>
    </row>
    <row r="110" spans="1:19" x14ac:dyDescent="0.15">
      <c r="C110" s="90"/>
      <c r="D110" s="356" t="s">
        <v>399</v>
      </c>
      <c r="E110" s="356"/>
      <c r="F110" s="356"/>
      <c r="G110" s="356"/>
      <c r="H110" s="356"/>
      <c r="I110" s="356"/>
      <c r="J110" s="356"/>
      <c r="K110" s="356"/>
      <c r="L110" s="356"/>
      <c r="M110" s="356"/>
      <c r="N110" s="338" t="s">
        <v>400</v>
      </c>
      <c r="O110" s="339"/>
      <c r="P110" s="339"/>
      <c r="Q110" s="339"/>
      <c r="R110" s="339"/>
      <c r="S110" s="340"/>
    </row>
    <row r="111" spans="1:19" x14ac:dyDescent="0.15">
      <c r="C111" s="59" t="s">
        <v>86</v>
      </c>
      <c r="D111" s="60">
        <v>42735</v>
      </c>
      <c r="E111" s="60">
        <f t="shared" ref="E111:S111" si="67">EDATE(D111,12)</f>
        <v>43100</v>
      </c>
      <c r="F111" s="60">
        <f t="shared" si="67"/>
        <v>43465</v>
      </c>
      <c r="G111" s="60">
        <f t="shared" si="67"/>
        <v>43830</v>
      </c>
      <c r="H111" s="60">
        <f t="shared" si="67"/>
        <v>44196</v>
      </c>
      <c r="I111" s="60">
        <f t="shared" si="67"/>
        <v>44561</v>
      </c>
      <c r="J111" s="60">
        <f t="shared" si="67"/>
        <v>44926</v>
      </c>
      <c r="K111" s="60">
        <f t="shared" si="67"/>
        <v>45291</v>
      </c>
      <c r="L111" s="60">
        <f t="shared" si="67"/>
        <v>45657</v>
      </c>
      <c r="M111" s="60">
        <f t="shared" si="67"/>
        <v>46022</v>
      </c>
      <c r="N111" s="91">
        <f t="shared" si="67"/>
        <v>46387</v>
      </c>
      <c r="O111" s="60">
        <f t="shared" si="67"/>
        <v>46752</v>
      </c>
      <c r="P111" s="60">
        <f t="shared" si="67"/>
        <v>47118</v>
      </c>
      <c r="Q111" s="60">
        <f t="shared" si="67"/>
        <v>47483</v>
      </c>
      <c r="R111" s="60">
        <f t="shared" si="67"/>
        <v>47848</v>
      </c>
      <c r="S111" s="92">
        <f t="shared" si="67"/>
        <v>48213</v>
      </c>
    </row>
    <row r="112" spans="1:19" x14ac:dyDescent="0.15">
      <c r="C112" s="128"/>
      <c r="D112" s="129" t="s">
        <v>88</v>
      </c>
      <c r="E112" s="129" t="s">
        <v>88</v>
      </c>
      <c r="F112" s="129" t="s">
        <v>88</v>
      </c>
      <c r="G112" s="129" t="s">
        <v>88</v>
      </c>
      <c r="H112" s="129" t="s">
        <v>88</v>
      </c>
      <c r="I112" s="129" t="s">
        <v>88</v>
      </c>
      <c r="J112" s="129" t="s">
        <v>88</v>
      </c>
      <c r="K112" s="129" t="s">
        <v>88</v>
      </c>
      <c r="L112" s="129" t="s">
        <v>88</v>
      </c>
      <c r="M112" s="129" t="s">
        <v>88</v>
      </c>
      <c r="N112" s="130" t="s">
        <v>88</v>
      </c>
      <c r="O112" s="129" t="s">
        <v>88</v>
      </c>
      <c r="P112" s="129" t="s">
        <v>88</v>
      </c>
      <c r="Q112" s="129" t="s">
        <v>88</v>
      </c>
      <c r="R112" s="129" t="s">
        <v>88</v>
      </c>
      <c r="S112" s="131" t="s">
        <v>88</v>
      </c>
    </row>
    <row r="113" spans="1:20" x14ac:dyDescent="0.15">
      <c r="A113" t="s">
        <v>107</v>
      </c>
      <c r="C113" t="s">
        <v>107</v>
      </c>
      <c r="D113" s="39">
        <f>IFERROR(
INDEX('Olin Raw'!$B$92:$K$111,
MATCH(TRIM($A113),'Olin Raw'!$M$92:$M$111,0),
MATCH(D$32,'Olin Raw'!$B$89:$K$89,0)
),"")</f>
        <v>-3.9</v>
      </c>
      <c r="E113" s="39">
        <f>IFERROR(
INDEX('Olin Raw'!$B$92:$K$111,
MATCH(TRIM($A113),'Olin Raw'!$M$92:$M$111,0),
MATCH(E$32,'Olin Raw'!$B$89:$K$89,0)
),"")</f>
        <v>549.5</v>
      </c>
      <c r="F113" s="39">
        <f>IFERROR(
INDEX('Olin Raw'!$B$92:$K$111,
MATCH(TRIM($A113),'Olin Raw'!$M$92:$M$111,0),
MATCH(F$32,'Olin Raw'!$B$89:$K$89,0)
),"")</f>
        <v>327.9</v>
      </c>
      <c r="G113" s="39">
        <f>IFERROR(
INDEX('Olin Raw'!$B$92:$K$111,
MATCH(TRIM($A113),'Olin Raw'!$M$92:$M$111,0),
MATCH(G$32,'Olin Raw'!$B$89:$K$89,0)
),"")</f>
        <v>-11.3</v>
      </c>
      <c r="H113" s="39">
        <f>IFERROR(
INDEX('Olin Raw'!$B$92:$K$111,
MATCH(TRIM($A113),'Olin Raw'!$M$92:$M$111,0),
MATCH(H$32,'Olin Raw'!$B$89:$K$89,0)
),"")</f>
        <v>-969.9</v>
      </c>
      <c r="I113" s="39">
        <f>IFERROR(
INDEX('Olin Raw'!$B$92:$K$111,
MATCH(TRIM($A113),'Olin Raw'!$M$92:$M$111,0),
MATCH(I$32,'Olin Raw'!$B$89:$K$89,0)
),"")</f>
        <v>1296.7</v>
      </c>
      <c r="J113" s="39">
        <f>IFERROR(
INDEX('Olin Raw'!$B$92:$K$111,
MATCH(TRIM($A113),'Olin Raw'!$M$92:$M$111,0),
MATCH(J$32,'Olin Raw'!$B$89:$K$89,0)
),"")</f>
        <v>1326.9</v>
      </c>
      <c r="K113" s="39">
        <f>IFERROR(
INDEX('Olin Raw'!$B$92:$K$111,
MATCH(TRIM($A113),'Olin Raw'!$M$92:$M$111,0),
MATCH(K$32,'Olin Raw'!$B$89:$K$89,0)
),"")</f>
        <v>452</v>
      </c>
      <c r="L113" s="39">
        <f>IFERROR(
INDEX('Olin Raw'!$B$92:$K$111,
MATCH(TRIM($A113),'Olin Raw'!$M$92:$M$111,0),
MATCH(L$32,'Olin Raw'!$B$89:$K$89,0)
),"")</f>
        <v>105</v>
      </c>
      <c r="M113" s="39">
        <f>IFERROR(
INDEX('Olin Raw'!$B$92:$K$111,
MATCH(TRIM($A113),'Olin Raw'!$M$92:$M$111,0),
MATCH(M$32,'Olin Raw'!$B$89:$K$89,0)
),"")</f>
        <v>-101.1</v>
      </c>
      <c r="N113" s="98">
        <f ca="1">N$51-N$52</f>
        <v>30.022490818133349</v>
      </c>
      <c r="O113" s="39">
        <f t="shared" ref="O113:S113" ca="1" si="68">O$51-O$52</f>
        <v>136.52102505851218</v>
      </c>
      <c r="P113" s="39">
        <f t="shared" ca="1" si="68"/>
        <v>355.40414969728317</v>
      </c>
      <c r="Q113" s="39">
        <f t="shared" ca="1" si="68"/>
        <v>536.46121967618831</v>
      </c>
      <c r="R113" s="39">
        <f t="shared" ca="1" si="68"/>
        <v>802.64380306506644</v>
      </c>
      <c r="S113" s="99">
        <f t="shared" ca="1" si="68"/>
        <v>990.82920284760507</v>
      </c>
    </row>
    <row r="114" spans="1:20" x14ac:dyDescent="0.15">
      <c r="C114" s="2" t="s">
        <v>240</v>
      </c>
      <c r="D114" s="39">
        <f>'Olin D&amp;A'!C$36</f>
        <v>533.5</v>
      </c>
      <c r="E114" s="39">
        <f>'Olin D&amp;A'!D$36</f>
        <v>558.9</v>
      </c>
      <c r="F114" s="39">
        <f>'Olin D&amp;A'!E$36</f>
        <v>601.39999999999986</v>
      </c>
      <c r="G114" s="39">
        <f>'Olin D&amp;A'!F$36</f>
        <v>597.4</v>
      </c>
      <c r="H114" s="39">
        <f>'Olin D&amp;A'!G$36</f>
        <v>568.4</v>
      </c>
      <c r="I114" s="39">
        <f>'Olin D&amp;A'!H$36</f>
        <v>582.5</v>
      </c>
      <c r="J114" s="39">
        <f>'Olin D&amp;A'!I$36</f>
        <v>598.79999999999995</v>
      </c>
      <c r="K114" s="39">
        <f>'Olin D&amp;A'!J$36</f>
        <v>533.40000000000009</v>
      </c>
      <c r="L114" s="39">
        <f>'Olin D&amp;A'!K$36</f>
        <v>518.1</v>
      </c>
      <c r="M114" s="39">
        <f>'Olin D&amp;A'!L$36</f>
        <v>521.59999999999991</v>
      </c>
      <c r="N114" s="98">
        <f>'Olin D&amp;A'!M$36</f>
        <v>506.30688256320002</v>
      </c>
      <c r="O114" s="39">
        <f>'Olin D&amp;A'!N$36</f>
        <v>518.70839455934731</v>
      </c>
      <c r="P114" s="39">
        <f>'Olin D&amp;A'!O$36</f>
        <v>531.4396203509034</v>
      </c>
      <c r="Q114" s="39">
        <f>'Olin D&amp;A'!P$36</f>
        <v>545.03175735596687</v>
      </c>
      <c r="R114" s="39">
        <f>'Olin D&amp;A'!Q$36</f>
        <v>550.35088622830904</v>
      </c>
      <c r="S114" s="99">
        <f>'Olin D&amp;A'!R$36</f>
        <v>565.28366220912028</v>
      </c>
    </row>
    <row r="115" spans="1:20" x14ac:dyDescent="0.15">
      <c r="C115" s="132" t="s">
        <v>393</v>
      </c>
      <c r="D115" s="353" t="s">
        <v>394</v>
      </c>
      <c r="E115" s="353"/>
      <c r="F115" s="353"/>
      <c r="G115" s="353"/>
      <c r="H115" s="353"/>
      <c r="I115" s="353"/>
      <c r="J115" s="353"/>
      <c r="K115" s="353"/>
      <c r="L115" s="353"/>
      <c r="M115" s="353"/>
      <c r="N115" s="137">
        <f>'Olin Equity Schedule'!M10</f>
        <v>20</v>
      </c>
      <c r="O115" s="52">
        <f>'Olin Equity Schedule'!N10</f>
        <v>20</v>
      </c>
      <c r="P115" s="52">
        <f>'Olin Equity Schedule'!O10</f>
        <v>20</v>
      </c>
      <c r="Q115" s="52">
        <f>'Olin Equity Schedule'!P10</f>
        <v>20</v>
      </c>
      <c r="R115" s="52">
        <f>'Olin Equity Schedule'!Q10</f>
        <v>20</v>
      </c>
      <c r="S115" s="138">
        <f>'Olin Equity Schedule'!R10</f>
        <v>20</v>
      </c>
    </row>
    <row r="116" spans="1:20" x14ac:dyDescent="0.15">
      <c r="C116" s="2" t="s">
        <v>358</v>
      </c>
      <c r="D116" s="353" t="s">
        <v>394</v>
      </c>
      <c r="E116" s="353"/>
      <c r="F116" s="353"/>
      <c r="G116" s="353"/>
      <c r="H116" s="353"/>
      <c r="I116" s="353"/>
      <c r="J116" s="353"/>
      <c r="K116" s="353"/>
      <c r="L116" s="353"/>
      <c r="M116" s="353"/>
      <c r="N116" s="98">
        <f>'Olin Debt'!D45*-1</f>
        <v>3.6487500000000015</v>
      </c>
      <c r="O116" s="39">
        <f>'Olin Debt'!E45*-1</f>
        <v>3.6487500000000015</v>
      </c>
      <c r="P116" s="39">
        <f>'Olin Debt'!F45*-1</f>
        <v>3.2737499999999988</v>
      </c>
      <c r="Q116" s="39">
        <f>'Olin Debt'!G45*-1</f>
        <v>3.2737499999999997</v>
      </c>
      <c r="R116" s="39">
        <f>'Olin Debt'!H45*-1</f>
        <v>2.2487499999999998</v>
      </c>
      <c r="S116" s="99">
        <f>'Olin Debt'!I45*-1</f>
        <v>0.66875000000000018</v>
      </c>
    </row>
    <row r="117" spans="1:20" x14ac:dyDescent="0.15">
      <c r="A117" s="41" t="s">
        <v>313</v>
      </c>
      <c r="B117" s="41"/>
      <c r="C117" s="132" t="s">
        <v>313</v>
      </c>
      <c r="D117" s="52">
        <f t="shared" ref="D117:M117" si="69">D65+D66+D67+D68-D81-D82-D85</f>
        <v>519.5</v>
      </c>
      <c r="E117" s="52">
        <f t="shared" si="69"/>
        <v>527.19999999999993</v>
      </c>
      <c r="F117" s="52">
        <f t="shared" si="69"/>
        <v>536.19999999999982</v>
      </c>
      <c r="G117" s="52">
        <f t="shared" si="69"/>
        <v>412.99999999999994</v>
      </c>
      <c r="H117" s="52">
        <f t="shared" si="69"/>
        <v>354.8</v>
      </c>
      <c r="I117" s="52">
        <f t="shared" si="69"/>
        <v>586.79999999999973</v>
      </c>
      <c r="J117" s="52">
        <f t="shared" si="69"/>
        <v>410.69999999999976</v>
      </c>
      <c r="K117" s="52">
        <f t="shared" si="69"/>
        <v>353.5</v>
      </c>
      <c r="L117" s="52">
        <f t="shared" si="69"/>
        <v>400.99999999999989</v>
      </c>
      <c r="M117" s="52">
        <f t="shared" si="69"/>
        <v>283.7</v>
      </c>
      <c r="N117" s="137">
        <f>N$65+N$66+N$67+N$68-N$81-N$82-N$85</f>
        <v>305.39731969446575</v>
      </c>
      <c r="O117" s="52">
        <f t="shared" ref="O117:S117" si="70">O$65+O$66+O$67+O$68-O$81-O$82-O$85</f>
        <v>248.53574331964094</v>
      </c>
      <c r="P117" s="52">
        <f t="shared" si="70"/>
        <v>267.37904726692847</v>
      </c>
      <c r="Q117" s="52">
        <f t="shared" si="70"/>
        <v>276.21613642725845</v>
      </c>
      <c r="R117" s="52">
        <f t="shared" si="70"/>
        <v>293.84215464386546</v>
      </c>
      <c r="S117" s="138">
        <f t="shared" si="70"/>
        <v>306.10168186765804</v>
      </c>
      <c r="T117" t="s">
        <v>580</v>
      </c>
    </row>
    <row r="118" spans="1:20" x14ac:dyDescent="0.15">
      <c r="A118" t="s">
        <v>162</v>
      </c>
      <c r="C118" s="2" t="s">
        <v>460</v>
      </c>
      <c r="D118" s="39">
        <f>IFERROR(
INDEX('Olin Raw'!$B$92:$K$111,
MATCH(TRIM($A118),'Olin Raw'!$M$92:$M$111,0),
MATCH(D$32,'Olin Raw'!$B$89:$K$89,0)
),"")</f>
        <v>68</v>
      </c>
      <c r="E118" s="39">
        <f>IFERROR(
INDEX('Olin Raw'!$B$92:$K$111,
MATCH(TRIM($A118),'Olin Raw'!$M$92:$M$111,0),
MATCH(E$32,'Olin Raw'!$B$89:$K$89,0)
),"")</f>
        <v>16.100000000000001</v>
      </c>
      <c r="F118" s="39">
        <f>IFERROR(
INDEX('Olin Raw'!$B$92:$K$111,
MATCH(TRIM($A118),'Olin Raw'!$M$92:$M$111,0),
MATCH(F$32,'Olin Raw'!$B$89:$K$89,0)
),"")</f>
        <v>-75.8</v>
      </c>
      <c r="G118" s="39">
        <f>IFERROR(
INDEX('Olin Raw'!$B$92:$K$111,
MATCH(TRIM($A118),'Olin Raw'!$M$92:$M$111,0),
MATCH(G$32,'Olin Raw'!$B$89:$K$89,0)
),"")</f>
        <v>42.5</v>
      </c>
      <c r="H118" s="39">
        <f>IFERROR(
INDEX('Olin Raw'!$B$92:$K$111,
MATCH(TRIM($A118),'Olin Raw'!$M$92:$M$111,0),
MATCH(H$32,'Olin Raw'!$B$89:$K$89,0)
),"")</f>
        <v>138.4</v>
      </c>
      <c r="I118" s="39">
        <f>IFERROR(
INDEX('Olin Raw'!$B$92:$K$111,
MATCH(TRIM($A118),'Olin Raw'!$M$92:$M$111,0),
MATCH(I$32,'Olin Raw'!$B$89:$K$89,0)
),"")</f>
        <v>-225.7</v>
      </c>
      <c r="J118" s="39">
        <f>IFERROR(
INDEX('Olin Raw'!$B$92:$K$111,
MATCH(TRIM($A118),'Olin Raw'!$M$92:$M$111,0),
MATCH(J$32,'Olin Raw'!$B$89:$K$89,0)
),"")</f>
        <v>61.9</v>
      </c>
      <c r="K118" s="39">
        <f>IFERROR(
INDEX('Olin Raw'!$B$92:$K$111,
MATCH(TRIM($A118),'Olin Raw'!$M$92:$M$111,0),
MATCH(K$32,'Olin Raw'!$B$89:$K$89,0)
),"")</f>
        <v>57.3</v>
      </c>
      <c r="L118" s="39">
        <f>IFERROR(
INDEX('Olin Raw'!$B$92:$K$111,
MATCH(TRIM($A118),'Olin Raw'!$M$92:$M$111,0),
MATCH(L$32,'Olin Raw'!$B$89:$K$89,0)
),"")</f>
        <v>-78.7</v>
      </c>
      <c r="M118" s="39">
        <f>IFERROR(
INDEX('Olin Raw'!$B$92:$K$111,
MATCH(TRIM($A118),'Olin Raw'!$M$92:$M$111,0),
MATCH(M$32,'Olin Raw'!$B$89:$K$89,0)
),"")</f>
        <v>157.9</v>
      </c>
      <c r="N118" s="98">
        <f>(M$117-N$117)</f>
        <v>-21.697319694465762</v>
      </c>
      <c r="O118" s="39">
        <f t="shared" ref="O118:S118" si="71">(N$117-O$117)</f>
        <v>56.861576374824807</v>
      </c>
      <c r="P118" s="39">
        <f t="shared" si="71"/>
        <v>-18.843303947287524</v>
      </c>
      <c r="Q118" s="39">
        <f t="shared" si="71"/>
        <v>-8.837089160329981</v>
      </c>
      <c r="R118" s="39">
        <f t="shared" si="71"/>
        <v>-17.626018216607008</v>
      </c>
      <c r="S118" s="99">
        <f t="shared" si="71"/>
        <v>-12.259527223792588</v>
      </c>
    </row>
    <row r="119" spans="1:20" x14ac:dyDescent="0.15">
      <c r="C119" s="2" t="s">
        <v>424</v>
      </c>
      <c r="D119" s="39">
        <f>D$47</f>
        <v>0</v>
      </c>
      <c r="E119" s="39">
        <f t="shared" ref="E119:M119" si="72">E$47</f>
        <v>0</v>
      </c>
      <c r="F119" s="39">
        <f t="shared" si="72"/>
        <v>0</v>
      </c>
      <c r="G119" s="39">
        <f t="shared" si="72"/>
        <v>0</v>
      </c>
      <c r="H119" s="39">
        <f t="shared" si="72"/>
        <v>0</v>
      </c>
      <c r="I119" s="39">
        <f t="shared" si="72"/>
        <v>0</v>
      </c>
      <c r="J119" s="39">
        <f t="shared" si="72"/>
        <v>0</v>
      </c>
      <c r="K119" s="39">
        <f t="shared" si="72"/>
        <v>0</v>
      </c>
      <c r="L119" s="39">
        <f t="shared" si="72"/>
        <v>0</v>
      </c>
      <c r="M119" s="39">
        <f t="shared" si="72"/>
        <v>0</v>
      </c>
      <c r="N119" s="98">
        <f t="shared" ref="N119:S119" si="73">-N12</f>
        <v>0</v>
      </c>
      <c r="O119" s="39">
        <f t="shared" si="73"/>
        <v>0</v>
      </c>
      <c r="P119" s="39">
        <f t="shared" si="73"/>
        <v>0</v>
      </c>
      <c r="Q119" s="39">
        <f t="shared" si="73"/>
        <v>0</v>
      </c>
      <c r="R119" s="39">
        <f t="shared" si="73"/>
        <v>0</v>
      </c>
      <c r="S119" s="99">
        <f t="shared" si="73"/>
        <v>0</v>
      </c>
    </row>
    <row r="120" spans="1:20" x14ac:dyDescent="0.15">
      <c r="C120" s="2" t="s">
        <v>396</v>
      </c>
      <c r="D120" s="354" t="s">
        <v>394</v>
      </c>
      <c r="E120" s="354"/>
      <c r="F120" s="354"/>
      <c r="G120" s="354"/>
      <c r="H120" s="354"/>
      <c r="I120" s="354"/>
      <c r="J120" s="354"/>
      <c r="K120" s="354"/>
      <c r="L120" s="354"/>
      <c r="M120" s="354"/>
      <c r="N120" s="137">
        <f t="shared" ref="N120:S120" si="74">-(N77-M77)+(N93-M93)</f>
        <v>33.9720200000001</v>
      </c>
      <c r="O120" s="52">
        <f t="shared" si="74"/>
        <v>-2.3382880800000407</v>
      </c>
      <c r="P120" s="52">
        <f t="shared" si="74"/>
        <v>42.444839056967993</v>
      </c>
      <c r="Q120" s="52">
        <f>-(Q77-P77)+(Q93-P93)</f>
        <v>19.24009998609057</v>
      </c>
      <c r="R120" s="52">
        <f t="shared" si="74"/>
        <v>39.279038928746616</v>
      </c>
      <c r="S120" s="138">
        <f t="shared" si="74"/>
        <v>27.327908395672182</v>
      </c>
    </row>
    <row r="121" spans="1:20" x14ac:dyDescent="0.15">
      <c r="A121" t="s">
        <v>163</v>
      </c>
      <c r="C121" s="88" t="s">
        <v>284</v>
      </c>
      <c r="D121" s="89">
        <f>IFERROR(
INDEX('Olin Raw'!$B$92:$K$111,
MATCH(TRIM($A121),'Olin Raw'!$M$92:$M$111,0),
MATCH(D$32,'Olin Raw'!$B$89:$K$89,0)
),"")</f>
        <v>603.20000000000005</v>
      </c>
      <c r="E121" s="89">
        <f>IFERROR(
INDEX('Olin Raw'!$B$92:$K$111,
MATCH(TRIM($A121),'Olin Raw'!$M$92:$M$111,0),
MATCH(E$32,'Olin Raw'!$B$89:$K$89,0)
),"")</f>
        <v>648.79999999999995</v>
      </c>
      <c r="F121" s="89">
        <f>IFERROR(
INDEX('Olin Raw'!$B$92:$K$111,
MATCH(TRIM($A121),'Olin Raw'!$M$92:$M$111,0),
MATCH(F$32,'Olin Raw'!$B$89:$K$89,0)
),"")</f>
        <v>907.8</v>
      </c>
      <c r="G121" s="89">
        <f>IFERROR(
INDEX('Olin Raw'!$B$92:$K$111,
MATCH(TRIM($A121),'Olin Raw'!$M$92:$M$111,0),
MATCH(G$32,'Olin Raw'!$B$89:$K$89,0)
),"")</f>
        <v>617.29999999999995</v>
      </c>
      <c r="H121" s="89">
        <f>IFERROR(
INDEX('Olin Raw'!$B$92:$K$111,
MATCH(TRIM($A121),'Olin Raw'!$M$92:$M$111,0),
MATCH(H$32,'Olin Raw'!$B$89:$K$89,0)
),"")</f>
        <v>418.4</v>
      </c>
      <c r="I121" s="89">
        <f>IFERROR(
INDEX('Olin Raw'!$B$92:$K$111,
MATCH(TRIM($A121),'Olin Raw'!$M$92:$M$111,0),
MATCH(I$32,'Olin Raw'!$B$89:$K$89,0)
),"")</f>
        <v>1741</v>
      </c>
      <c r="J121" s="89">
        <f>IFERROR(
INDEX('Olin Raw'!$B$92:$K$111,
MATCH(TRIM($A121),'Olin Raw'!$M$92:$M$111,0),
MATCH(J$32,'Olin Raw'!$B$89:$K$89,0)
),"")</f>
        <v>1921.9</v>
      </c>
      <c r="K121" s="89">
        <f>IFERROR(
INDEX('Olin Raw'!$B$92:$K$111,
MATCH(TRIM($A121),'Olin Raw'!$M$92:$M$111,0),
MATCH(K$32,'Olin Raw'!$B$89:$K$89,0)
),"")</f>
        <v>974.3</v>
      </c>
      <c r="L121" s="89">
        <f>IFERROR(
INDEX('Olin Raw'!$B$92:$K$111,
MATCH(TRIM($A121),'Olin Raw'!$M$92:$M$111,0),
MATCH(L$32,'Olin Raw'!$B$89:$K$89,0)
),"")</f>
        <v>503.2</v>
      </c>
      <c r="M121" s="89">
        <f>IFERROR(
INDEX('Olin Raw'!$B$92:$K$111,
MATCH(TRIM($A121),'Olin Raw'!$M$92:$M$111,0),
MATCH(M$32,'Olin Raw'!$B$89:$K$89,0)
),"")</f>
        <v>474.2</v>
      </c>
      <c r="N121" s="94">
        <f t="shared" ref="N121:S121" ca="1" si="75">N$113+N$40+N$118+N116+N$114+N$115+N$120</f>
        <v>572.25282368686771</v>
      </c>
      <c r="O121" s="89">
        <f t="shared" ca="1" si="75"/>
        <v>733.40145791268424</v>
      </c>
      <c r="P121" s="89">
        <f t="shared" ca="1" si="75"/>
        <v>933.71905515786716</v>
      </c>
      <c r="Q121" s="89">
        <f t="shared" ca="1" si="75"/>
        <v>1115.1697378579156</v>
      </c>
      <c r="R121" s="89">
        <f t="shared" ca="1" si="75"/>
        <v>1396.8964600055151</v>
      </c>
      <c r="S121" s="95">
        <f t="shared" ca="1" si="75"/>
        <v>1591.8499962286051</v>
      </c>
    </row>
    <row r="122" spans="1:20" x14ac:dyDescent="0.15"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98"/>
      <c r="O122" s="39"/>
      <c r="P122" s="39"/>
      <c r="Q122" s="39"/>
      <c r="R122" s="39"/>
      <c r="S122" s="99"/>
    </row>
    <row r="123" spans="1:20" x14ac:dyDescent="0.15">
      <c r="A123" t="s">
        <v>164</v>
      </c>
      <c r="C123" s="48" t="s">
        <v>164</v>
      </c>
      <c r="D123" s="57">
        <f>IFERROR(
INDEX('Olin Raw'!$B$92:$K$111,
MATCH(TRIM($A123),'Olin Raw'!$M$92:$M$111,0),
MATCH(D$32,'Olin Raw'!$B$89:$K$89,0)
),"")</f>
        <v>-278</v>
      </c>
      <c r="E123" s="57">
        <f>IFERROR(
INDEX('Olin Raw'!$B$92:$K$111,
MATCH(TRIM($A123),'Olin Raw'!$M$92:$M$111,0),
MATCH(E$32,'Olin Raw'!$B$89:$K$89,0)
),"")</f>
        <v>-294.3</v>
      </c>
      <c r="F123" s="57">
        <f>IFERROR(
INDEX('Olin Raw'!$B$92:$K$111,
MATCH(TRIM($A123),'Olin Raw'!$M$92:$M$111,0),
MATCH(F$32,'Olin Raw'!$B$89:$K$89,0)
),"")</f>
        <v>-385.2</v>
      </c>
      <c r="G123" s="57">
        <f>IFERROR(
INDEX('Olin Raw'!$B$92:$K$111,
MATCH(TRIM($A123),'Olin Raw'!$M$92:$M$111,0),
MATCH(G$32,'Olin Raw'!$B$89:$K$89,0)
),"")</f>
        <v>-385.6</v>
      </c>
      <c r="H123" s="57">
        <f>IFERROR(
INDEX('Olin Raw'!$B$92:$K$111,
MATCH(TRIM($A123),'Olin Raw'!$M$92:$M$111,0),
MATCH(H$32,'Olin Raw'!$B$89:$K$89,0)
),"")</f>
        <v>-298.89999999999998</v>
      </c>
      <c r="I123" s="57">
        <f>IFERROR(
INDEX('Olin Raw'!$B$92:$K$111,
MATCH(TRIM($A123),'Olin Raw'!$M$92:$M$111,0),
MATCH(I$32,'Olin Raw'!$B$89:$K$89,0)
),"")</f>
        <v>-200.6</v>
      </c>
      <c r="J123" s="57">
        <f>IFERROR(
INDEX('Olin Raw'!$B$92:$K$111,
MATCH(TRIM($A123),'Olin Raw'!$M$92:$M$111,0),
MATCH(J$32,'Olin Raw'!$B$89:$K$89,0)
),"")</f>
        <v>-236.9</v>
      </c>
      <c r="K123" s="57">
        <f>IFERROR(
INDEX('Olin Raw'!$B$92:$K$111,
MATCH(TRIM($A123),'Olin Raw'!$M$92:$M$111,0),
MATCH(K$32,'Olin Raw'!$B$89:$K$89,0)
),"")</f>
        <v>-236</v>
      </c>
      <c r="L123" s="57">
        <f>IFERROR(
INDEX('Olin Raw'!$B$92:$K$111,
MATCH(TRIM($A123),'Olin Raw'!$M$92:$M$111,0),
MATCH(L$32,'Olin Raw'!$B$89:$K$89,0)
),"")</f>
        <v>-195.1</v>
      </c>
      <c r="M123" s="57">
        <f>IFERROR(
INDEX('Olin Raw'!$B$92:$K$111,
MATCH(TRIM($A123),'Olin Raw'!$M$92:$M$111,0),
MATCH(M$32,'Olin Raw'!$B$89:$K$89,0)
),"")</f>
        <v>-226.3</v>
      </c>
      <c r="N123" s="96">
        <f>'Olin D&amp;A'!M17</f>
        <v>-215.97526080000003</v>
      </c>
      <c r="O123" s="57">
        <f>'Olin D&amp;A'!N17</f>
        <v>-215.11135975680003</v>
      </c>
      <c r="P123" s="57">
        <f>'Olin D&amp;A'!O17</f>
        <v>-230.79297788307073</v>
      </c>
      <c r="Q123" s="57">
        <f>'Olin D&amp;A'!P17</f>
        <v>-237.90140160186931</v>
      </c>
      <c r="R123" s="57">
        <f>'Olin D&amp;A'!Q17</f>
        <v>-252.4133870995833</v>
      </c>
      <c r="S123" s="97">
        <f>'Olin D&amp;A'!R17</f>
        <v>-262.50992258356666</v>
      </c>
    </row>
    <row r="124" spans="1:20" x14ac:dyDescent="0.15">
      <c r="A124" t="s">
        <v>165</v>
      </c>
      <c r="C124" s="2" t="s">
        <v>285</v>
      </c>
      <c r="D124" s="39">
        <f>IFERROR(
INDEX('Olin Raw'!$B$92:$K$111,
MATCH(TRIM($A124),'Olin Raw'!$M$92:$M$111,0),
MATCH(D$32,'Olin Raw'!$B$89:$K$89,0)
),"")</f>
        <v>0</v>
      </c>
      <c r="E124" s="39">
        <f>IFERROR(
INDEX('Olin Raw'!$B$92:$K$111,
MATCH(TRIM($A124),'Olin Raw'!$M$92:$M$111,0),
MATCH(E$32,'Olin Raw'!$B$89:$K$89,0)
),"")</f>
        <v>0</v>
      </c>
      <c r="F124" s="39">
        <f>IFERROR(
INDEX('Olin Raw'!$B$92:$K$111,
MATCH(TRIM($A124),'Olin Raw'!$M$92:$M$111,0),
MATCH(F$32,'Olin Raw'!$B$89:$K$89,0)
),"")</f>
        <v>0</v>
      </c>
      <c r="G124" s="39">
        <f>IFERROR(
INDEX('Olin Raw'!$B$92:$K$111,
MATCH(TRIM($A124),'Olin Raw'!$M$92:$M$111,0),
MATCH(G$32,'Olin Raw'!$B$89:$K$89,0)
),"")</f>
        <v>0</v>
      </c>
      <c r="H124" s="39">
        <f>IFERROR(
INDEX('Olin Raw'!$B$92:$K$111,
MATCH(TRIM($A124),'Olin Raw'!$M$92:$M$111,0),
MATCH(H$32,'Olin Raw'!$B$89:$K$89,0)
),"")</f>
        <v>0</v>
      </c>
      <c r="I124" s="39">
        <f>IFERROR(
INDEX('Olin Raw'!$B$92:$K$111,
MATCH(TRIM($A124),'Olin Raw'!$M$92:$M$111,0),
MATCH(I$32,'Olin Raw'!$B$89:$K$89,0)
),"")</f>
        <v>0</v>
      </c>
      <c r="J124" s="39">
        <f>IFERROR(
INDEX('Olin Raw'!$B$92:$K$111,
MATCH(TRIM($A124),'Olin Raw'!$M$92:$M$111,0),
MATCH(J$32,'Olin Raw'!$B$89:$K$89,0)
),"")</f>
        <v>0</v>
      </c>
      <c r="K124" s="39">
        <f>IFERROR(
INDEX('Olin Raw'!$B$92:$K$111,
MATCH(TRIM($A124),'Olin Raw'!$M$92:$M$111,0),
MATCH(K$32,'Olin Raw'!$B$89:$K$89,0)
),"")</f>
        <v>0</v>
      </c>
      <c r="L124" s="39">
        <f>IFERROR(
INDEX('Olin Raw'!$B$92:$K$111,
MATCH(TRIM($A124),'Olin Raw'!$M$92:$M$111,0),
MATCH(L$32,'Olin Raw'!$B$89:$K$89,0)
),"")</f>
        <v>0</v>
      </c>
      <c r="M124" s="39">
        <f>IFERROR(
INDEX('Olin Raw'!$B$92:$K$111,
MATCH(TRIM($A124),'Olin Raw'!$M$92:$M$111,0),
MATCH(M$32,'Olin Raw'!$B$89:$K$89,0)
),"")</f>
        <v>0</v>
      </c>
      <c r="N124" s="184">
        <f>$M$124</f>
        <v>0</v>
      </c>
      <c r="O124" s="50">
        <f t="shared" ref="O124:S124" si="76">$M$124</f>
        <v>0</v>
      </c>
      <c r="P124" s="50">
        <f t="shared" si="76"/>
        <v>0</v>
      </c>
      <c r="Q124" s="50">
        <f t="shared" si="76"/>
        <v>0</v>
      </c>
      <c r="R124" s="50">
        <f t="shared" si="76"/>
        <v>0</v>
      </c>
      <c r="S124" s="105">
        <f t="shared" si="76"/>
        <v>0</v>
      </c>
    </row>
    <row r="125" spans="1:20" x14ac:dyDescent="0.15">
      <c r="A125" t="s">
        <v>167</v>
      </c>
      <c r="C125" s="2" t="s">
        <v>286</v>
      </c>
      <c r="D125" s="39">
        <f>IFERROR(
INDEX('Olin Raw'!$B$92:$K$111,
MATCH(TRIM($A125),'Olin Raw'!$M$92:$M$111,0),
MATCH(D$32,'Olin Raw'!$B$89:$K$89,0)
),"")</f>
        <v>40.9</v>
      </c>
      <c r="E125" s="39">
        <f>IFERROR(
INDEX('Olin Raw'!$B$92:$K$111,
MATCH(TRIM($A125),'Olin Raw'!$M$92:$M$111,0),
MATCH(E$32,'Olin Raw'!$B$89:$K$89,0)
),"")</f>
        <v>5.2</v>
      </c>
      <c r="F125" s="39">
        <f>IFERROR(
INDEX('Olin Raw'!$B$92:$K$111,
MATCH(TRIM($A125),'Olin Raw'!$M$92:$M$111,0),
MATCH(F$32,'Olin Raw'!$B$89:$K$89,0)
),"")</f>
        <v>2.9</v>
      </c>
      <c r="G125" s="39">
        <f>IFERROR(
INDEX('Olin Raw'!$B$92:$K$111,
MATCH(TRIM($A125),'Olin Raw'!$M$92:$M$111,0),
MATCH(G$32,'Olin Raw'!$B$89:$K$89,0)
),"")</f>
        <v>0</v>
      </c>
      <c r="H125" s="39">
        <f>IFERROR(
INDEX('Olin Raw'!$B$92:$K$111,
MATCH(TRIM($A125),'Olin Raw'!$M$92:$M$111,0),
MATCH(H$32,'Olin Raw'!$B$89:$K$89,0)
),"")</f>
        <v>0</v>
      </c>
      <c r="I125" s="39">
        <f>IFERROR(
INDEX('Olin Raw'!$B$92:$K$111,
MATCH(TRIM($A125),'Olin Raw'!$M$92:$M$111,0),
MATCH(I$32,'Olin Raw'!$B$89:$K$89,0)
),"")</f>
        <v>3.2</v>
      </c>
      <c r="J125" s="39">
        <f>IFERROR(
INDEX('Olin Raw'!$B$92:$K$111,
MATCH(TRIM($A125),'Olin Raw'!$M$92:$M$111,0),
MATCH(J$32,'Olin Raw'!$B$89:$K$89,0)
),"")</f>
        <v>14.9</v>
      </c>
      <c r="K125" s="39">
        <f>IFERROR(
INDEX('Olin Raw'!$B$92:$K$111,
MATCH(TRIM($A125),'Olin Raw'!$M$92:$M$111,0),
MATCH(K$32,'Olin Raw'!$B$89:$K$89,0)
),"")</f>
        <v>28.8</v>
      </c>
      <c r="L125" s="39">
        <f>IFERROR(
INDEX('Olin Raw'!$B$92:$K$111,
MATCH(TRIM($A125),'Olin Raw'!$M$92:$M$111,0),
MATCH(L$32,'Olin Raw'!$B$89:$K$89,0)
),"")</f>
        <v>0</v>
      </c>
      <c r="M125" s="39">
        <f>IFERROR(
INDEX('Olin Raw'!$B$92:$K$111,
MATCH(TRIM($A125),'Olin Raw'!$M$92:$M$111,0),
MATCH(M$32,'Olin Raw'!$B$89:$K$89,0)
),"")</f>
        <v>0</v>
      </c>
      <c r="N125" s="184">
        <v>0</v>
      </c>
      <c r="O125" s="50">
        <f>$N$125</f>
        <v>0</v>
      </c>
      <c r="P125" s="50">
        <f t="shared" ref="P125:S125" si="77">$N$125</f>
        <v>0</v>
      </c>
      <c r="Q125" s="50">
        <f t="shared" si="77"/>
        <v>0</v>
      </c>
      <c r="R125" s="50">
        <f t="shared" si="77"/>
        <v>0</v>
      </c>
      <c r="S125" s="105">
        <f t="shared" si="77"/>
        <v>0</v>
      </c>
    </row>
    <row r="126" spans="1:20" x14ac:dyDescent="0.15">
      <c r="A126" t="s">
        <v>168</v>
      </c>
      <c r="C126" s="2" t="s">
        <v>287</v>
      </c>
      <c r="D126" s="39">
        <f>IFERROR(
INDEX('Olin Raw'!$B$92:$K$111,
MATCH(TRIM($A126),'Olin Raw'!$M$92:$M$111,0),
MATCH(D$32,'Olin Raw'!$B$89:$K$89,0)
),"")</f>
        <v>-69.5</v>
      </c>
      <c r="E126" s="39">
        <f>IFERROR(
INDEX('Olin Raw'!$B$92:$K$111,
MATCH(TRIM($A126),'Olin Raw'!$M$92:$M$111,0),
MATCH(E$32,'Olin Raw'!$B$89:$K$89,0)
),"")</f>
        <v>0</v>
      </c>
      <c r="F126" s="39">
        <f>IFERROR(
INDEX('Olin Raw'!$B$92:$K$111,
MATCH(TRIM($A126),'Olin Raw'!$M$92:$M$111,0),
MATCH(F$32,'Olin Raw'!$B$89:$K$89,0)
),"")</f>
        <v>0</v>
      </c>
      <c r="G126" s="39">
        <f>IFERROR(
INDEX('Olin Raw'!$B$92:$K$111,
MATCH(TRIM($A126),'Olin Raw'!$M$92:$M$111,0),
MATCH(G$32,'Olin Raw'!$B$89:$K$89,0)
),"")</f>
        <v>0</v>
      </c>
      <c r="H126" s="39">
        <f>IFERROR(
INDEX('Olin Raw'!$B$92:$K$111,
MATCH(TRIM($A126),'Olin Raw'!$M$92:$M$111,0),
MATCH(H$32,'Olin Raw'!$B$89:$K$89,0)
),"")</f>
        <v>0</v>
      </c>
      <c r="I126" s="39">
        <f>IFERROR(
INDEX('Olin Raw'!$B$92:$K$111,
MATCH(TRIM($A126),'Olin Raw'!$M$92:$M$111,0),
MATCH(I$32,'Olin Raw'!$B$89:$K$89,0)
),"")</f>
        <v>0</v>
      </c>
      <c r="J126" s="39">
        <f>IFERROR(
INDEX('Olin Raw'!$B$92:$K$111,
MATCH(TRIM($A126),'Olin Raw'!$M$92:$M$111,0),
MATCH(J$32,'Olin Raw'!$B$89:$K$89,0)
),"")</f>
        <v>0</v>
      </c>
      <c r="K126" s="39">
        <f>IFERROR(
INDEX('Olin Raw'!$B$92:$K$111,
MATCH(TRIM($A126),'Olin Raw'!$M$92:$M$111,0),
MATCH(K$32,'Olin Raw'!$B$89:$K$89,0)
),"")</f>
        <v>-63.9</v>
      </c>
      <c r="L126" s="39">
        <f>IFERROR(
INDEX('Olin Raw'!$B$92:$K$111,
MATCH(TRIM($A126),'Olin Raw'!$M$92:$M$111,0),
MATCH(L$32,'Olin Raw'!$B$89:$K$89,0)
),"")</f>
        <v>0</v>
      </c>
      <c r="M126" s="39">
        <f>IFERROR(
INDEX('Olin Raw'!$B$92:$K$111,
MATCH(TRIM($A126),'Olin Raw'!$M$92:$M$111,0),
MATCH(M$32,'Olin Raw'!$B$89:$K$89,0)
),"")</f>
        <v>-55.8</v>
      </c>
      <c r="N126" s="104">
        <v>0</v>
      </c>
      <c r="O126" s="50">
        <v>0</v>
      </c>
      <c r="P126" s="50">
        <v>0</v>
      </c>
      <c r="Q126" s="50">
        <v>0</v>
      </c>
      <c r="R126" s="50">
        <v>0</v>
      </c>
      <c r="S126" s="105">
        <v>0</v>
      </c>
    </row>
    <row r="127" spans="1:20" x14ac:dyDescent="0.15">
      <c r="A127" t="s">
        <v>170</v>
      </c>
      <c r="C127" s="2" t="s">
        <v>288</v>
      </c>
      <c r="D127" s="39">
        <f>IFERROR(
INDEX('Olin Raw'!$B$92:$K$111,
MATCH(TRIM($A127),'Olin Raw'!$M$92:$M$111,0),
MATCH(D$32,'Olin Raw'!$B$89:$K$89,0)
),"")</f>
        <v>-195.5</v>
      </c>
      <c r="E127" s="39">
        <f>IFERROR(
INDEX('Olin Raw'!$B$92:$K$111,
MATCH(TRIM($A127),'Olin Raw'!$M$92:$M$111,0),
MATCH(E$32,'Olin Raw'!$B$89:$K$89,0)
),"")</f>
        <v>-204.2</v>
      </c>
      <c r="F127" s="39">
        <f>IFERROR(
INDEX('Olin Raw'!$B$92:$K$111,
MATCH(TRIM($A127),'Olin Raw'!$M$92:$M$111,0),
MATCH(F$32,'Olin Raw'!$B$89:$K$89,0)
),"")</f>
        <v>2.9</v>
      </c>
      <c r="G127" s="39">
        <f>IFERROR(
INDEX('Olin Raw'!$B$92:$K$111,
MATCH(TRIM($A127),'Olin Raw'!$M$92:$M$111,0),
MATCH(G$32,'Olin Raw'!$B$89:$K$89,0)
),"")</f>
        <v>20</v>
      </c>
      <c r="H127" s="39">
        <f>IFERROR(
INDEX('Olin Raw'!$B$92:$K$111,
MATCH(TRIM($A127),'Olin Raw'!$M$92:$M$111,0),
MATCH(H$32,'Olin Raw'!$B$89:$K$89,0)
),"")</f>
        <v>-536.79999999999995</v>
      </c>
      <c r="I127" s="39">
        <f>IFERROR(
INDEX('Olin Raw'!$B$92:$K$111,
MATCH(TRIM($A127),'Olin Raw'!$M$92:$M$111,0),
MATCH(I$32,'Olin Raw'!$B$89:$K$89,0)
),"")</f>
        <v>3.2</v>
      </c>
      <c r="J127" s="39">
        <f>IFERROR(
INDEX('Olin Raw'!$B$92:$K$111,
MATCH(TRIM($A127),'Olin Raw'!$M$92:$M$111,0),
MATCH(J$32,'Olin Raw'!$B$89:$K$89,0)
),"")</f>
        <v>-22.8</v>
      </c>
      <c r="K127" s="39">
        <f>IFERROR(
INDEX('Olin Raw'!$B$92:$K$111,
MATCH(TRIM($A127),'Olin Raw'!$M$92:$M$111,0),
MATCH(K$32,'Olin Raw'!$B$89:$K$89,0)
),"")</f>
        <v>-104.8</v>
      </c>
      <c r="L127" s="39">
        <f>IFERROR(
INDEX('Olin Raw'!$B$92:$K$111,
MATCH(TRIM($A127),'Olin Raw'!$M$92:$M$111,0),
MATCH(L$32,'Olin Raw'!$B$89:$K$89,0)
),"")</f>
        <v>-88.6</v>
      </c>
      <c r="M127" s="39">
        <f>IFERROR(
INDEX('Olin Raw'!$B$92:$K$111,
MATCH(TRIM($A127),'Olin Raw'!$M$92:$M$111,0),
MATCH(M$32,'Olin Raw'!$B$89:$K$89,0)
),"")</f>
        <v>-93.3</v>
      </c>
      <c r="N127" s="104">
        <v>0</v>
      </c>
      <c r="O127" s="50">
        <v>0</v>
      </c>
      <c r="P127" s="50">
        <v>0</v>
      </c>
      <c r="Q127" s="50">
        <v>0</v>
      </c>
      <c r="R127" s="50">
        <v>0</v>
      </c>
      <c r="S127" s="105">
        <v>0</v>
      </c>
    </row>
    <row r="128" spans="1:20" x14ac:dyDescent="0.15">
      <c r="A128" t="s">
        <v>171</v>
      </c>
      <c r="C128" s="88" t="s">
        <v>289</v>
      </c>
      <c r="D128" s="112">
        <f>IFERROR(
INDEX('Olin Raw'!$B$92:$K$111,
MATCH(TRIM($A128),'Olin Raw'!$M$92:$M$111,0),
MATCH(D$32,'Olin Raw'!$B$89:$K$89,0)
),"")</f>
        <v>-473.5</v>
      </c>
      <c r="E128" s="112">
        <f>IFERROR(
INDEX('Olin Raw'!$B$92:$K$111,
MATCH(TRIM($A128),'Olin Raw'!$M$92:$M$111,0),
MATCH(E$32,'Olin Raw'!$B$89:$K$89,0)
),"")</f>
        <v>-498.5</v>
      </c>
      <c r="F128" s="112">
        <f>IFERROR(
INDEX('Olin Raw'!$B$92:$K$111,
MATCH(TRIM($A128),'Olin Raw'!$M$92:$M$111,0),
MATCH(F$32,'Olin Raw'!$B$89:$K$89,0)
),"")</f>
        <v>-382.3</v>
      </c>
      <c r="G128" s="112">
        <f>IFERROR(
INDEX('Olin Raw'!$B$92:$K$111,
MATCH(TRIM($A128),'Olin Raw'!$M$92:$M$111,0),
MATCH(G$32,'Olin Raw'!$B$89:$K$89,0)
),"")</f>
        <v>-365.6</v>
      </c>
      <c r="H128" s="112">
        <f>IFERROR(
INDEX('Olin Raw'!$B$92:$K$111,
MATCH(TRIM($A128),'Olin Raw'!$M$92:$M$111,0),
MATCH(H$32,'Olin Raw'!$B$89:$K$89,0)
),"")</f>
        <v>-835.7</v>
      </c>
      <c r="I128" s="112">
        <f>IFERROR(
INDEX('Olin Raw'!$B$92:$K$111,
MATCH(TRIM($A128),'Olin Raw'!$M$92:$M$111,0),
MATCH(I$32,'Olin Raw'!$B$89:$K$89,0)
),"")</f>
        <v>-197.4</v>
      </c>
      <c r="J128" s="112">
        <f>IFERROR(
INDEX('Olin Raw'!$B$92:$K$111,
MATCH(TRIM($A128),'Olin Raw'!$M$92:$M$111,0),
MATCH(J$32,'Olin Raw'!$B$89:$K$89,0)
),"")</f>
        <v>-259.7</v>
      </c>
      <c r="K128" s="112">
        <f>IFERROR(
INDEX('Olin Raw'!$B$92:$K$111,
MATCH(TRIM($A128),'Olin Raw'!$M$92:$M$111,0),
MATCH(K$32,'Olin Raw'!$B$89:$K$89,0)
),"")</f>
        <v>-340.8</v>
      </c>
      <c r="L128" s="112">
        <f>IFERROR(
INDEX('Olin Raw'!$B$92:$K$111,
MATCH(TRIM($A128),'Olin Raw'!$M$92:$M$111,0),
MATCH(L$32,'Olin Raw'!$B$89:$K$89,0)
),"")</f>
        <v>-283.7</v>
      </c>
      <c r="M128" s="112">
        <f>IFERROR(
INDEX('Olin Raw'!$B$92:$K$111,
MATCH(TRIM($A128),'Olin Raw'!$M$92:$M$111,0),
MATCH(M$32,'Olin Raw'!$B$89:$K$89,0)
),"")</f>
        <v>-319.60000000000002</v>
      </c>
      <c r="N128" s="126">
        <f>SUM(N123:N127)</f>
        <v>-215.97526080000003</v>
      </c>
      <c r="O128" s="112">
        <f t="shared" ref="O128:S128" si="78">SUM(O123:O127)</f>
        <v>-215.11135975680003</v>
      </c>
      <c r="P128" s="112">
        <f t="shared" si="78"/>
        <v>-230.79297788307073</v>
      </c>
      <c r="Q128" s="112">
        <f t="shared" si="78"/>
        <v>-237.90140160186931</v>
      </c>
      <c r="R128" s="112">
        <f t="shared" si="78"/>
        <v>-252.4133870995833</v>
      </c>
      <c r="S128" s="127">
        <f t="shared" si="78"/>
        <v>-262.50992258356666</v>
      </c>
    </row>
    <row r="129" spans="1:20" x14ac:dyDescent="0.15">
      <c r="C129" s="48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98"/>
      <c r="O129" s="39"/>
      <c r="P129" s="39"/>
      <c r="Q129" s="39"/>
      <c r="R129" s="39"/>
      <c r="S129" s="99"/>
    </row>
    <row r="130" spans="1:20" x14ac:dyDescent="0.15">
      <c r="A130" t="s">
        <v>172</v>
      </c>
      <c r="C130" s="2" t="s">
        <v>290</v>
      </c>
      <c r="D130" s="39">
        <f>IFERROR(
INDEX('Olin Raw'!$B$92:$K$111,
MATCH(TRIM($A130),'Olin Raw'!$M$92:$M$111,0),
MATCH(D$32,'Olin Raw'!$B$89:$K$89,0)
),"")</f>
        <v>0</v>
      </c>
      <c r="E130" s="39">
        <f>IFERROR(
INDEX('Olin Raw'!$B$92:$K$111,
MATCH(TRIM($A130),'Olin Raw'!$M$92:$M$111,0),
MATCH(E$32,'Olin Raw'!$B$89:$K$89,0)
),"")</f>
        <v>0</v>
      </c>
      <c r="F130" s="39">
        <f>IFERROR(
INDEX('Olin Raw'!$B$92:$K$111,
MATCH(TRIM($A130),'Olin Raw'!$M$92:$M$111,0),
MATCH(F$32,'Olin Raw'!$B$89:$K$89,0)
),"")</f>
        <v>0</v>
      </c>
      <c r="G130" s="39">
        <f>IFERROR(
INDEX('Olin Raw'!$B$92:$K$111,
MATCH(TRIM($A130),'Olin Raw'!$M$92:$M$111,0),
MATCH(G$32,'Olin Raw'!$B$89:$K$89,0)
),"")</f>
        <v>0</v>
      </c>
      <c r="H130" s="39">
        <f>IFERROR(
INDEX('Olin Raw'!$B$92:$K$111,
MATCH(TRIM($A130),'Olin Raw'!$M$92:$M$111,0),
MATCH(H$32,'Olin Raw'!$B$89:$K$89,0)
),"")</f>
        <v>0</v>
      </c>
      <c r="I130" s="39">
        <f>IFERROR(
INDEX('Olin Raw'!$B$92:$K$111,
MATCH(TRIM($A130),'Olin Raw'!$M$92:$M$111,0),
MATCH(I$32,'Olin Raw'!$B$89:$K$89,0)
),"")</f>
        <v>0</v>
      </c>
      <c r="J130" s="39">
        <f>IFERROR(
INDEX('Olin Raw'!$B$92:$K$111,
MATCH(TRIM($A130),'Olin Raw'!$M$92:$M$111,0),
MATCH(J$32,'Olin Raw'!$B$89:$K$89,0)
),"")</f>
        <v>0</v>
      </c>
      <c r="K130" s="39">
        <f>IFERROR(
INDEX('Olin Raw'!$B$92:$K$111,
MATCH(TRIM($A130),'Olin Raw'!$M$92:$M$111,0),
MATCH(K$32,'Olin Raw'!$B$89:$K$89,0)
),"")</f>
        <v>0</v>
      </c>
      <c r="L130" s="39">
        <f>IFERROR(
INDEX('Olin Raw'!$B$92:$K$111,
MATCH(TRIM($A130),'Olin Raw'!$M$92:$M$111,0),
MATCH(L$32,'Olin Raw'!$B$89:$K$89,0)
),"")</f>
        <v>0</v>
      </c>
      <c r="M130" s="39">
        <f>IFERROR(
INDEX('Olin Raw'!$B$92:$K$111,
MATCH(TRIM($A130),'Olin Raw'!$M$92:$M$111,0),
MATCH(M$32,'Olin Raw'!$B$89:$K$89,0)
),"")</f>
        <v>0</v>
      </c>
      <c r="N130" s="98">
        <f ca="1">'Olin Debt'!D$42</f>
        <v>0</v>
      </c>
      <c r="O130" s="39">
        <f ca="1">'Olin Debt'!E$42</f>
        <v>0</v>
      </c>
      <c r="P130" s="39">
        <f ca="1">'Olin Debt'!F$42</f>
        <v>0</v>
      </c>
      <c r="Q130" s="39">
        <f ca="1">'Olin Debt'!G$42</f>
        <v>0</v>
      </c>
      <c r="R130" s="39">
        <f ca="1">'Olin Debt'!H$42</f>
        <v>0</v>
      </c>
      <c r="S130" s="99">
        <f ca="1">'Olin Debt'!I$42</f>
        <v>0</v>
      </c>
    </row>
    <row r="131" spans="1:20" x14ac:dyDescent="0.15">
      <c r="A131" t="s">
        <v>173</v>
      </c>
      <c r="C131" s="2" t="s">
        <v>291</v>
      </c>
      <c r="D131" s="39">
        <f>IFERROR(
INDEX('Olin Raw'!$B$92:$K$111,
MATCH(TRIM($A131),'Olin Raw'!$M$92:$M$111,0),
MATCH(D$32,'Olin Raw'!$B$89:$K$89,0)
),"")</f>
        <v>-205.3</v>
      </c>
      <c r="E131" s="39">
        <f>IFERROR(
INDEX('Olin Raw'!$B$92:$K$111,
MATCH(TRIM($A131),'Olin Raw'!$M$92:$M$111,0),
MATCH(E$32,'Olin Raw'!$B$89:$K$89,0)
),"")</f>
        <v>-2.4</v>
      </c>
      <c r="F131" s="39">
        <f>IFERROR(
INDEX('Olin Raw'!$B$92:$K$111,
MATCH(TRIM($A131),'Olin Raw'!$M$92:$M$111,0),
MATCH(F$32,'Olin Raw'!$B$89:$K$89,0)
),"")</f>
        <v>-376.1</v>
      </c>
      <c r="G131" s="39">
        <f>IFERROR(
INDEX('Olin Raw'!$B$92:$K$111,
MATCH(TRIM($A131),'Olin Raw'!$M$92:$M$111,0),
MATCH(G$32,'Olin Raw'!$B$89:$K$89,0)
),"")</f>
        <v>80.8</v>
      </c>
      <c r="H131" s="39">
        <f>IFERROR(
INDEX('Olin Raw'!$B$92:$K$111,
MATCH(TRIM($A131),'Olin Raw'!$M$92:$M$111,0),
MATCH(H$32,'Olin Raw'!$B$89:$K$89,0)
),"")</f>
        <v>520.29999999999995</v>
      </c>
      <c r="I131" s="39">
        <f>IFERROR(
INDEX('Olin Raw'!$B$92:$K$111,
MATCH(TRIM($A131),'Olin Raw'!$M$92:$M$111,0),
MATCH(I$32,'Olin Raw'!$B$89:$K$89,0)
),"")</f>
        <v>-1103.0999999999999</v>
      </c>
      <c r="J131" s="39">
        <f>IFERROR(
INDEX('Olin Raw'!$B$92:$K$111,
MATCH(TRIM($A131),'Olin Raw'!$M$92:$M$111,0),
MATCH(J$32,'Olin Raw'!$B$89:$K$89,0)
),"")</f>
        <v>-201.1</v>
      </c>
      <c r="K131" s="39">
        <f>IFERROR(
INDEX('Olin Raw'!$B$92:$K$111,
MATCH(TRIM($A131),'Olin Raw'!$M$92:$M$111,0),
MATCH(K$32,'Olin Raw'!$B$89:$K$89,0)
),"")</f>
        <v>85.9</v>
      </c>
      <c r="L131" s="39">
        <f>IFERROR(
INDEX('Olin Raw'!$B$92:$K$111,
MATCH(TRIM($A131),'Olin Raw'!$M$92:$M$111,0),
MATCH(L$32,'Olin Raw'!$B$89:$K$89,0)
),"")</f>
        <v>169.7</v>
      </c>
      <c r="M131" s="39">
        <f>IFERROR(
INDEX('Olin Raw'!$B$92:$K$111,
MATCH(TRIM($A131),'Olin Raw'!$M$92:$M$111,0),
MATCH(M$32,'Olin Raw'!$B$89:$K$89,0)
),"")</f>
        <v>-11.2</v>
      </c>
      <c r="N131" s="98">
        <f>'Olin Debt'!D43</f>
        <v>-109.7</v>
      </c>
      <c r="O131" s="39">
        <f>'Olin Debt'!E43</f>
        <v>0</v>
      </c>
      <c r="P131" s="39">
        <f>'Olin Debt'!F43</f>
        <v>0</v>
      </c>
      <c r="Q131" s="39">
        <f>'Olin Debt'!G43</f>
        <v>0</v>
      </c>
      <c r="R131" s="39">
        <f>'Olin Debt'!H43</f>
        <v>-528.09999999999991</v>
      </c>
      <c r="S131" s="99">
        <f>'Olin Debt'!I43</f>
        <v>0</v>
      </c>
    </row>
    <row r="132" spans="1:20" x14ac:dyDescent="0.15">
      <c r="A132" t="s">
        <v>174</v>
      </c>
      <c r="C132" s="2" t="s">
        <v>292</v>
      </c>
      <c r="D132" s="39">
        <f>IFERROR(
INDEX('Olin Raw'!$B$92:$K$111,
MATCH(TRIM($A132),'Olin Raw'!$M$92:$M$111,0),
MATCH(D$32,'Olin Raw'!$B$89:$K$89,0)
),"")</f>
        <v>0.5</v>
      </c>
      <c r="E132" s="39">
        <f>IFERROR(
INDEX('Olin Raw'!$B$92:$K$111,
MATCH(TRIM($A132),'Olin Raw'!$M$92:$M$111,0),
MATCH(E$32,'Olin Raw'!$B$89:$K$89,0)
),"")</f>
        <v>29.8</v>
      </c>
      <c r="F132" s="39">
        <f>IFERROR(
INDEX('Olin Raw'!$B$92:$K$111,
MATCH(TRIM($A132),'Olin Raw'!$M$92:$M$111,0),
MATCH(F$32,'Olin Raw'!$B$89:$K$89,0)
),"")</f>
        <v>-46.6</v>
      </c>
      <c r="G132" s="39">
        <f>IFERROR(
INDEX('Olin Raw'!$B$92:$K$111,
MATCH(TRIM($A132),'Olin Raw'!$M$92:$M$111,0),
MATCH(G$32,'Olin Raw'!$B$89:$K$89,0)
),"")</f>
        <v>-144.19999999999999</v>
      </c>
      <c r="H132" s="39">
        <f>IFERROR(
INDEX('Olin Raw'!$B$92:$K$111,
MATCH(TRIM($A132),'Olin Raw'!$M$92:$M$111,0),
MATCH(H$32,'Olin Raw'!$B$89:$K$89,0)
),"")</f>
        <v>1.9</v>
      </c>
      <c r="I132" s="39">
        <f>IFERROR(
INDEX('Olin Raw'!$B$92:$K$111,
MATCH(TRIM($A132),'Olin Raw'!$M$92:$M$111,0),
MATCH(I$32,'Olin Raw'!$B$89:$K$89,0)
),"")</f>
        <v>-179.5</v>
      </c>
      <c r="J132" s="39">
        <f>IFERROR(
INDEX('Olin Raw'!$B$92:$K$111,
MATCH(TRIM($A132),'Olin Raw'!$M$92:$M$111,0),
MATCH(J$32,'Olin Raw'!$B$89:$K$89,0)
),"")</f>
        <v>-1325</v>
      </c>
      <c r="K132" s="39">
        <f>IFERROR(
INDEX('Olin Raw'!$B$92:$K$111,
MATCH(TRIM($A132),'Olin Raw'!$M$92:$M$111,0),
MATCH(K$32,'Olin Raw'!$B$89:$K$89,0)
),"")</f>
        <v>-685.9</v>
      </c>
      <c r="L132" s="39">
        <f>IFERROR(
INDEX('Olin Raw'!$B$92:$K$111,
MATCH(TRIM($A132),'Olin Raw'!$M$92:$M$111,0),
MATCH(L$32,'Olin Raw'!$B$89:$K$89,0)
),"")</f>
        <v>-276.39999999999998</v>
      </c>
      <c r="M132" s="39">
        <f>IFERROR(
INDEX('Olin Raw'!$B$92:$K$111,
MATCH(TRIM($A132),'Olin Raw'!$M$92:$M$111,0),
MATCH(M$32,'Olin Raw'!$B$89:$K$89,0)
),"")</f>
        <v>-48.2</v>
      </c>
      <c r="N132" s="104">
        <v>10</v>
      </c>
      <c r="O132" s="50">
        <v>12</v>
      </c>
      <c r="P132" s="50">
        <v>14</v>
      </c>
      <c r="Q132" s="50">
        <v>15</v>
      </c>
      <c r="R132" s="50">
        <v>16</v>
      </c>
      <c r="S132" s="105">
        <v>16</v>
      </c>
      <c r="T132" t="s">
        <v>580</v>
      </c>
    </row>
    <row r="133" spans="1:20" x14ac:dyDescent="0.15">
      <c r="A133" t="s">
        <v>175</v>
      </c>
      <c r="C133" s="2" t="s">
        <v>293</v>
      </c>
      <c r="D133" s="39">
        <f>IFERROR(
INDEX('Olin Raw'!$B$92:$K$111,
MATCH(TRIM($A133),'Olin Raw'!$M$92:$M$111,0),
MATCH(D$32,'Olin Raw'!$B$89:$K$89,0)
),"")</f>
        <v>-132.1</v>
      </c>
      <c r="E133" s="39">
        <f>IFERROR(
INDEX('Olin Raw'!$B$92:$K$111,
MATCH(TRIM($A133),'Olin Raw'!$M$92:$M$111,0),
MATCH(E$32,'Olin Raw'!$B$89:$K$89,0)
),"")</f>
        <v>-133</v>
      </c>
      <c r="F133" s="39">
        <f>IFERROR(
INDEX('Olin Raw'!$B$92:$K$111,
MATCH(TRIM($A133),'Olin Raw'!$M$92:$M$111,0),
MATCH(F$32,'Olin Raw'!$B$89:$K$89,0)
),"")</f>
        <v>-133.6</v>
      </c>
      <c r="G133" s="39">
        <f>IFERROR(
INDEX('Olin Raw'!$B$92:$K$111,
MATCH(TRIM($A133),'Olin Raw'!$M$92:$M$111,0),
MATCH(G$32,'Olin Raw'!$B$89:$K$89,0)
),"")</f>
        <v>-129.30000000000001</v>
      </c>
      <c r="H133" s="39">
        <f>IFERROR(
INDEX('Olin Raw'!$B$92:$K$111,
MATCH(TRIM($A133),'Olin Raw'!$M$92:$M$111,0),
MATCH(H$32,'Olin Raw'!$B$89:$K$89,0)
),"")</f>
        <v>-126.3</v>
      </c>
      <c r="I133" s="39">
        <f>IFERROR(
INDEX('Olin Raw'!$B$92:$K$111,
MATCH(TRIM($A133),'Olin Raw'!$M$92:$M$111,0),
MATCH(I$32,'Olin Raw'!$B$89:$K$89,0)
),"")</f>
        <v>-127.8</v>
      </c>
      <c r="J133" s="39">
        <f>IFERROR(
INDEX('Olin Raw'!$B$92:$K$111,
MATCH(TRIM($A133),'Olin Raw'!$M$92:$M$111,0),
MATCH(J$32,'Olin Raw'!$B$89:$K$89,0)
),"")</f>
        <v>-116.2</v>
      </c>
      <c r="K133" s="39">
        <f>IFERROR(
INDEX('Olin Raw'!$B$92:$K$111,
MATCH(TRIM($A133),'Olin Raw'!$M$92:$M$111,0),
MATCH(K$32,'Olin Raw'!$B$89:$K$89,0)
),"")</f>
        <v>-101</v>
      </c>
      <c r="L133" s="39">
        <f>IFERROR(
INDEX('Olin Raw'!$B$92:$K$111,
MATCH(TRIM($A133),'Olin Raw'!$M$92:$M$111,0),
MATCH(L$32,'Olin Raw'!$B$89:$K$89,0)
),"")</f>
        <v>-94.2</v>
      </c>
      <c r="M133" s="39">
        <f>IFERROR(
INDEX('Olin Raw'!$B$92:$K$111,
MATCH(TRIM($A133),'Olin Raw'!$M$92:$M$111,0),
MATCH(M$32,'Olin Raw'!$B$89:$K$89,0)
),"")</f>
        <v>-91.6</v>
      </c>
      <c r="N133" s="98">
        <f>'Olin Equity Schedule'!M$33</f>
        <v>-91.44</v>
      </c>
      <c r="O133" s="39">
        <f>'Olin Equity Schedule'!N$33</f>
        <v>-91.88</v>
      </c>
      <c r="P133" s="39">
        <f>'Olin Equity Schedule'!O$33</f>
        <v>-92.28</v>
      </c>
      <c r="Q133" s="39">
        <f>'Olin Equity Schedule'!P$33</f>
        <v>-92.68</v>
      </c>
      <c r="R133" s="39">
        <f>'Olin Equity Schedule'!Q$33</f>
        <v>-93.08</v>
      </c>
      <c r="S133" s="99">
        <f>'Olin Equity Schedule'!R$33</f>
        <v>-93.48</v>
      </c>
    </row>
    <row r="134" spans="1:20" x14ac:dyDescent="0.15">
      <c r="A134" t="s">
        <v>176</v>
      </c>
      <c r="C134" s="88" t="s">
        <v>294</v>
      </c>
      <c r="D134" s="89">
        <f>IFERROR(
INDEX('Olin Raw'!$B$92:$K$111,
MATCH(TRIM($A134),'Olin Raw'!$M$92:$M$111,0),
MATCH(D$32,'Olin Raw'!$B$89:$K$89,0)
),"")</f>
        <v>-337.5</v>
      </c>
      <c r="E134" s="89">
        <f>IFERROR(
INDEX('Olin Raw'!$B$92:$K$111,
MATCH(TRIM($A134),'Olin Raw'!$M$92:$M$111,0),
MATCH(E$32,'Olin Raw'!$B$89:$K$89,0)
),"")</f>
        <v>-116.8</v>
      </c>
      <c r="F134" s="89">
        <f>IFERROR(
INDEX('Olin Raw'!$B$92:$K$111,
MATCH(TRIM($A134),'Olin Raw'!$M$92:$M$111,0),
MATCH(F$32,'Olin Raw'!$B$89:$K$89,0)
),"")</f>
        <v>-564.79999999999995</v>
      </c>
      <c r="G134" s="89">
        <f>IFERROR(
INDEX('Olin Raw'!$B$92:$K$111,
MATCH(TRIM($A134),'Olin Raw'!$M$92:$M$111,0),
MATCH(G$32,'Olin Raw'!$B$89:$K$89,0)
),"")</f>
        <v>-209.3</v>
      </c>
      <c r="H134" s="89">
        <f>IFERROR(
INDEX('Olin Raw'!$B$92:$K$111,
MATCH(TRIM($A134),'Olin Raw'!$M$92:$M$111,0),
MATCH(H$32,'Olin Raw'!$B$89:$K$89,0)
),"")</f>
        <v>385.6</v>
      </c>
      <c r="I134" s="89">
        <f>IFERROR(
INDEX('Olin Raw'!$B$92:$K$111,
MATCH(TRIM($A134),'Olin Raw'!$M$92:$M$111,0),
MATCH(I$32,'Olin Raw'!$B$89:$K$89,0)
),"")</f>
        <v>-1552</v>
      </c>
      <c r="J134" s="89">
        <f>IFERROR(
INDEX('Olin Raw'!$B$92:$K$111,
MATCH(TRIM($A134),'Olin Raw'!$M$92:$M$111,0),
MATCH(J$32,'Olin Raw'!$B$89:$K$89,0)
),"")</f>
        <v>-1646.7</v>
      </c>
      <c r="K134" s="89">
        <f>IFERROR(
INDEX('Olin Raw'!$B$92:$K$111,
MATCH(TRIM($A134),'Olin Raw'!$M$92:$M$111,0),
MATCH(K$32,'Olin Raw'!$B$89:$K$89,0)
),"")</f>
        <v>-656.9</v>
      </c>
      <c r="L134" s="89">
        <f>IFERROR(
INDEX('Olin Raw'!$B$92:$K$111,
MATCH(TRIM($A134),'Olin Raw'!$M$92:$M$111,0),
MATCH(L$32,'Olin Raw'!$B$89:$K$89,0)
),"")</f>
        <v>-212.6</v>
      </c>
      <c r="M134" s="89">
        <f>IFERROR(
INDEX('Olin Raw'!$B$92:$K$111,
MATCH(TRIM($A134),'Olin Raw'!$M$92:$M$111,0),
MATCH(M$32,'Olin Raw'!$B$89:$K$89,0)
),"")</f>
        <v>-163</v>
      </c>
      <c r="N134" s="94">
        <f t="shared" ref="N134:S134" ca="1" si="79">SUM(N$130:N$133)</f>
        <v>-191.14</v>
      </c>
      <c r="O134" s="89">
        <f t="shared" ca="1" si="79"/>
        <v>-79.88</v>
      </c>
      <c r="P134" s="89">
        <f t="shared" ca="1" si="79"/>
        <v>-78.28</v>
      </c>
      <c r="Q134" s="89">
        <f t="shared" ca="1" si="79"/>
        <v>-77.680000000000007</v>
      </c>
      <c r="R134" s="89">
        <f t="shared" ca="1" si="79"/>
        <v>-605.17999999999995</v>
      </c>
      <c r="S134" s="95">
        <f t="shared" ca="1" si="79"/>
        <v>-77.48</v>
      </c>
    </row>
    <row r="135" spans="1:20" x14ac:dyDescent="0.15"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98"/>
      <c r="O135" s="39"/>
      <c r="P135" s="39"/>
      <c r="Q135" s="39"/>
      <c r="R135" s="39"/>
      <c r="S135" s="99"/>
    </row>
    <row r="136" spans="1:20" x14ac:dyDescent="0.15">
      <c r="A136" t="s">
        <v>177</v>
      </c>
      <c r="C136" t="s">
        <v>177</v>
      </c>
      <c r="D136" s="39">
        <f>IFERROR(
INDEX('Olin Raw'!$B$92:$K$111,
MATCH(TRIM($A136),'Olin Raw'!$M$92:$M$111,0),
MATCH(D$32,'Olin Raw'!$B$89:$K$89,0)
),"")</f>
        <v>0.3</v>
      </c>
      <c r="E136" s="39">
        <f>IFERROR(
INDEX('Olin Raw'!$B$92:$K$111,
MATCH(TRIM($A136),'Olin Raw'!$M$92:$M$111,0),
MATCH(E$32,'Olin Raw'!$B$89:$K$89,0)
),"")</f>
        <v>0.4</v>
      </c>
      <c r="F136" s="39">
        <f>IFERROR(
INDEX('Olin Raw'!$B$92:$K$111,
MATCH(TRIM($A136),'Olin Raw'!$M$92:$M$111,0),
MATCH(F$32,'Olin Raw'!$B$89:$K$89,0)
),"")</f>
        <v>-0.3</v>
      </c>
      <c r="G136" s="39">
        <f>IFERROR(
INDEX('Olin Raw'!$B$92:$K$111,
MATCH(TRIM($A136),'Olin Raw'!$M$92:$M$111,0),
MATCH(G$32,'Olin Raw'!$B$89:$K$89,0)
),"")</f>
        <v>-0.3</v>
      </c>
      <c r="H136" s="39">
        <f>IFERROR(
INDEX('Olin Raw'!$B$92:$K$111,
MATCH(TRIM($A136),'Olin Raw'!$M$92:$M$111,0),
MATCH(H$32,'Olin Raw'!$B$89:$K$89,0)
),"")</f>
        <v>0.5</v>
      </c>
      <c r="I136" s="39">
        <f>IFERROR(
INDEX('Olin Raw'!$B$92:$K$111,
MATCH(TRIM($A136),'Olin Raw'!$M$92:$M$111,0),
MATCH(I$32,'Olin Raw'!$B$89:$K$89,0)
),"")</f>
        <v>-0.8</v>
      </c>
      <c r="J136" s="39">
        <f>IFERROR(
INDEX('Olin Raw'!$B$92:$K$111,
MATCH(TRIM($A136),'Olin Raw'!$M$92:$M$111,0),
MATCH(J$32,'Olin Raw'!$B$89:$K$89,0)
),"")</f>
        <v>-2</v>
      </c>
      <c r="K136" s="39">
        <f>IFERROR(
INDEX('Olin Raw'!$B$92:$K$111,
MATCH(TRIM($A136),'Olin Raw'!$M$92:$M$111,0),
MATCH(K$32,'Olin Raw'!$B$89:$K$89,0)
),"")</f>
        <v>-0.3</v>
      </c>
      <c r="L136" s="39">
        <f>IFERROR(
INDEX('Olin Raw'!$B$92:$K$111,
MATCH(TRIM($A136),'Olin Raw'!$M$92:$M$111,0),
MATCH(L$32,'Olin Raw'!$B$89:$K$89,0)
),"")</f>
        <v>-1.6</v>
      </c>
      <c r="M136" s="39">
        <f>IFERROR(
INDEX('Olin Raw'!$B$92:$K$111,
MATCH(TRIM($A136),'Olin Raw'!$M$92:$M$111,0),
MATCH(M$32,'Olin Raw'!$B$89:$K$89,0)
),"")</f>
        <v>0.4</v>
      </c>
      <c r="N136" s="184">
        <v>0</v>
      </c>
      <c r="O136" s="50">
        <f>$N$136</f>
        <v>0</v>
      </c>
      <c r="P136" s="50">
        <f t="shared" ref="P136:S136" si="80">$N$136</f>
        <v>0</v>
      </c>
      <c r="Q136" s="50">
        <f t="shared" si="80"/>
        <v>0</v>
      </c>
      <c r="R136" s="50">
        <f t="shared" si="80"/>
        <v>0</v>
      </c>
      <c r="S136" s="105">
        <f t="shared" si="80"/>
        <v>0</v>
      </c>
    </row>
    <row r="137" spans="1:20" x14ac:dyDescent="0.15">
      <c r="A137" t="s">
        <v>178</v>
      </c>
      <c r="C137" s="88" t="s">
        <v>178</v>
      </c>
      <c r="D137" s="89">
        <f>IFERROR(
INDEX('Olin Raw'!$B$92:$K$111,
MATCH(TRIM($A137),'Olin Raw'!$M$92:$M$111,0),
MATCH(D$32,'Olin Raw'!$B$89:$K$89,0)
),"")</f>
        <v>-207.5</v>
      </c>
      <c r="E137" s="89">
        <f>IFERROR(
INDEX('Olin Raw'!$B$92:$K$111,
MATCH(TRIM($A137),'Olin Raw'!$M$92:$M$111,0),
MATCH(E$32,'Olin Raw'!$B$89:$K$89,0)
),"")</f>
        <v>33.9</v>
      </c>
      <c r="F137" s="89">
        <f>IFERROR(
INDEX('Olin Raw'!$B$92:$K$111,
MATCH(TRIM($A137),'Olin Raw'!$M$92:$M$111,0),
MATCH(F$32,'Olin Raw'!$B$89:$K$89,0)
),"")</f>
        <v>-39.6</v>
      </c>
      <c r="G137" s="89">
        <f>IFERROR(
INDEX('Olin Raw'!$B$92:$K$111,
MATCH(TRIM($A137),'Olin Raw'!$M$92:$M$111,0),
MATCH(G$32,'Olin Raw'!$B$89:$K$89,0)
),"")</f>
        <v>42.1</v>
      </c>
      <c r="H137" s="89">
        <f>IFERROR(
INDEX('Olin Raw'!$B$92:$K$111,
MATCH(TRIM($A137),'Olin Raw'!$M$92:$M$111,0),
MATCH(H$32,'Olin Raw'!$B$89:$K$89,0)
),"")</f>
        <v>-31.2</v>
      </c>
      <c r="I137" s="89">
        <f>IFERROR(
INDEX('Olin Raw'!$B$92:$K$111,
MATCH(TRIM($A137),'Olin Raw'!$M$92:$M$111,0),
MATCH(I$32,'Olin Raw'!$B$89:$K$89,0)
),"")</f>
        <v>-9.1999999999999993</v>
      </c>
      <c r="J137" s="89">
        <f>IFERROR(
INDEX('Olin Raw'!$B$92:$K$111,
MATCH(TRIM($A137),'Olin Raw'!$M$92:$M$111,0),
MATCH(J$32,'Olin Raw'!$B$89:$K$89,0)
),"")</f>
        <v>13.5</v>
      </c>
      <c r="K137" s="89">
        <f>IFERROR(
INDEX('Olin Raw'!$B$92:$K$111,
MATCH(TRIM($A137),'Olin Raw'!$M$92:$M$111,0),
MATCH(K$32,'Olin Raw'!$B$89:$K$89,0)
),"")</f>
        <v>-23.7</v>
      </c>
      <c r="L137" s="89">
        <f>IFERROR(
INDEX('Olin Raw'!$B$92:$K$111,
MATCH(TRIM($A137),'Olin Raw'!$M$92:$M$111,0),
MATCH(L$32,'Olin Raw'!$B$89:$K$89,0)
),"")</f>
        <v>5.3</v>
      </c>
      <c r="M137" s="89">
        <f>IFERROR(
INDEX('Olin Raw'!$B$92:$K$111,
MATCH(TRIM($A137),'Olin Raw'!$M$92:$M$111,0),
MATCH(M$32,'Olin Raw'!$B$89:$K$89,0)
),"")</f>
        <v>-8</v>
      </c>
      <c r="N137" s="94">
        <f t="shared" ref="N137:S137" ca="1" si="81">N121+N128+N134+N136</f>
        <v>165.13756288686773</v>
      </c>
      <c r="O137" s="89">
        <f t="shared" ca="1" si="81"/>
        <v>438.41009815588416</v>
      </c>
      <c r="P137" s="89">
        <f t="shared" ca="1" si="81"/>
        <v>624.64607727479643</v>
      </c>
      <c r="Q137" s="89">
        <f t="shared" ca="1" si="81"/>
        <v>799.5883362560462</v>
      </c>
      <c r="R137" s="89">
        <f t="shared" ca="1" si="81"/>
        <v>539.3030729059318</v>
      </c>
      <c r="S137" s="95">
        <f t="shared" ca="1" si="81"/>
        <v>1251.8600736450385</v>
      </c>
    </row>
    <row r="138" spans="1:20" x14ac:dyDescent="0.15">
      <c r="A138" t="s">
        <v>179</v>
      </c>
      <c r="C138" t="s">
        <v>295</v>
      </c>
      <c r="D138" s="39">
        <f>IFERROR(
INDEX('Olin Raw'!$B$92:$K$111,
MATCH(TRIM($A138),'Olin Raw'!$M$92:$M$111,0),
MATCH(D$32,'Olin Raw'!$B$89:$K$89,0)
),"")</f>
        <v>392</v>
      </c>
      <c r="E138" s="39">
        <f>IFERROR(
INDEX('Olin Raw'!$B$92:$K$111,
MATCH(TRIM($A138),'Olin Raw'!$M$92:$M$111,0),
MATCH(E$32,'Olin Raw'!$B$89:$K$89,0)
),"")</f>
        <v>184.5</v>
      </c>
      <c r="F138" s="39">
        <f>IFERROR(
INDEX('Olin Raw'!$B$92:$K$111,
MATCH(TRIM($A138),'Olin Raw'!$M$92:$M$111,0),
MATCH(F$32,'Olin Raw'!$B$89:$K$89,0)
),"")</f>
        <v>218.4</v>
      </c>
      <c r="G138" s="39">
        <f>IFERROR(
INDEX('Olin Raw'!$B$92:$K$111,
MATCH(TRIM($A138),'Olin Raw'!$M$92:$M$111,0),
MATCH(G$32,'Olin Raw'!$B$89:$K$89,0)
),"")</f>
        <v>178.8</v>
      </c>
      <c r="H138" s="39">
        <f>IFERROR(
INDEX('Olin Raw'!$B$92:$K$111,
MATCH(TRIM($A138),'Olin Raw'!$M$92:$M$111,0),
MATCH(H$32,'Olin Raw'!$B$89:$K$89,0)
),"")</f>
        <v>220.9</v>
      </c>
      <c r="I138" s="39">
        <f>IFERROR(
INDEX('Olin Raw'!$B$92:$K$111,
MATCH(TRIM($A138),'Olin Raw'!$M$92:$M$111,0),
MATCH(I$32,'Olin Raw'!$B$89:$K$89,0)
),"")</f>
        <v>189.7</v>
      </c>
      <c r="J138" s="39">
        <f>IFERROR(
INDEX('Olin Raw'!$B$92:$K$111,
MATCH(TRIM($A138),'Olin Raw'!$M$92:$M$111,0),
MATCH(J$32,'Olin Raw'!$B$89:$K$89,0)
),"")</f>
        <v>180.5</v>
      </c>
      <c r="K138" s="39">
        <f>IFERROR(
INDEX('Olin Raw'!$B$92:$K$111,
MATCH(TRIM($A138),'Olin Raw'!$M$92:$M$111,0),
MATCH(K$32,'Olin Raw'!$B$89:$K$89,0)
),"")</f>
        <v>194</v>
      </c>
      <c r="L138" s="39">
        <f>IFERROR(
INDEX('Olin Raw'!$B$92:$K$111,
MATCH(TRIM($A138),'Olin Raw'!$M$92:$M$111,0),
MATCH(L$32,'Olin Raw'!$B$89:$K$89,0)
),"")</f>
        <v>170.3</v>
      </c>
      <c r="M138" s="39">
        <f>IFERROR(
INDEX('Olin Raw'!$B$92:$K$111,
MATCH(TRIM($A138),'Olin Raw'!$M$92:$M$111,0),
MATCH(M$32,'Olin Raw'!$B$89:$K$89,0)
),"")</f>
        <v>175.6</v>
      </c>
      <c r="N138" s="98">
        <f>M139</f>
        <v>167.6</v>
      </c>
      <c r="O138" s="39">
        <f t="shared" ref="O138:S138" ca="1" si="82">N139</f>
        <v>332.73756288686775</v>
      </c>
      <c r="P138" s="39">
        <f t="shared" ca="1" si="82"/>
        <v>771.14766104275191</v>
      </c>
      <c r="Q138" s="39">
        <f t="shared" ca="1" si="82"/>
        <v>1395.7937383175483</v>
      </c>
      <c r="R138" s="39">
        <f ca="1">Q139</f>
        <v>2195.3820745735948</v>
      </c>
      <c r="S138" s="99">
        <f t="shared" ca="1" si="82"/>
        <v>2734.6851474795267</v>
      </c>
    </row>
    <row r="139" spans="1:20" ht="14" thickBot="1" x14ac:dyDescent="0.2">
      <c r="A139" t="s">
        <v>180</v>
      </c>
      <c r="C139" s="133" t="s">
        <v>296</v>
      </c>
      <c r="D139" s="135">
        <f>IFERROR(
INDEX('Olin Raw'!$B$92:$K$111,
MATCH(TRIM($A139),'Olin Raw'!$M$92:$M$111,0),
MATCH(D$32,'Olin Raw'!$B$89:$K$89,0)
),"")</f>
        <v>184.5</v>
      </c>
      <c r="E139" s="135">
        <f>IFERROR(
INDEX('Olin Raw'!$B$92:$K$111,
MATCH(TRIM($A139),'Olin Raw'!$M$92:$M$111,0),
MATCH(E$32,'Olin Raw'!$B$89:$K$89,0)
),"")</f>
        <v>218.4</v>
      </c>
      <c r="F139" s="135">
        <f>IFERROR(
INDEX('Olin Raw'!$B$92:$K$111,
MATCH(TRIM($A139),'Olin Raw'!$M$92:$M$111,0),
MATCH(F$32,'Olin Raw'!$B$89:$K$89,0)
),"")</f>
        <v>178.8</v>
      </c>
      <c r="G139" s="135">
        <f>IFERROR(
INDEX('Olin Raw'!$B$92:$K$111,
MATCH(TRIM($A139),'Olin Raw'!$M$92:$M$111,0),
MATCH(G$32,'Olin Raw'!$B$89:$K$89,0)
),"")</f>
        <v>220.9</v>
      </c>
      <c r="H139" s="135">
        <f>IFERROR(
INDEX('Olin Raw'!$B$92:$K$111,
MATCH(TRIM($A139),'Olin Raw'!$M$92:$M$111,0),
MATCH(H$32,'Olin Raw'!$B$89:$K$89,0)
),"")</f>
        <v>189.7</v>
      </c>
      <c r="I139" s="135">
        <f>IFERROR(
INDEX('Olin Raw'!$B$92:$K$111,
MATCH(TRIM($A139),'Olin Raw'!$M$92:$M$111,0),
MATCH(I$32,'Olin Raw'!$B$89:$K$89,0)
),"")</f>
        <v>180.5</v>
      </c>
      <c r="J139" s="135">
        <f>IFERROR(
INDEX('Olin Raw'!$B$92:$K$111,
MATCH(TRIM($A139),'Olin Raw'!$M$92:$M$111,0),
MATCH(J$32,'Olin Raw'!$B$89:$K$89,0)
),"")</f>
        <v>194</v>
      </c>
      <c r="K139" s="135">
        <f>IFERROR(
INDEX('Olin Raw'!$B$92:$K$111,
MATCH(TRIM($A139),'Olin Raw'!$M$92:$M$111,0),
MATCH(K$32,'Olin Raw'!$B$89:$K$89,0)
),"")</f>
        <v>170.3</v>
      </c>
      <c r="L139" s="135">
        <f>IFERROR(
INDEX('Olin Raw'!$B$92:$K$111,
MATCH(TRIM($A139),'Olin Raw'!$M$92:$M$111,0),
MATCH(L$32,'Olin Raw'!$B$89:$K$89,0)
),"")</f>
        <v>175.6</v>
      </c>
      <c r="M139" s="135">
        <f>IFERROR(
INDEX('Olin Raw'!$B$92:$K$111,
MATCH(TRIM($A139),'Olin Raw'!$M$92:$M$111,0),
MATCH(M$32,'Olin Raw'!$B$89:$K$89,0)
),"")</f>
        <v>167.6</v>
      </c>
      <c r="N139" s="134">
        <f ca="1">N$138+N$137</f>
        <v>332.73756288686775</v>
      </c>
      <c r="O139" s="135">
        <f t="shared" ref="O139:S139" ca="1" si="83">O$138+O$137</f>
        <v>771.14766104275191</v>
      </c>
      <c r="P139" s="135">
        <f t="shared" ca="1" si="83"/>
        <v>1395.7937383175483</v>
      </c>
      <c r="Q139" s="135">
        <f t="shared" ca="1" si="83"/>
        <v>2195.3820745735948</v>
      </c>
      <c r="R139" s="135">
        <f t="shared" ca="1" si="83"/>
        <v>2734.6851474795267</v>
      </c>
      <c r="S139" s="136">
        <f t="shared" ca="1" si="83"/>
        <v>3986.5452211245652</v>
      </c>
    </row>
    <row r="140" spans="1:20" ht="14" thickTop="1" x14ac:dyDescent="0.15">
      <c r="D140" s="39" t="str">
        <f>IFERROR(
INDEX('Olin Raw'!$B$92:$K$111,
MATCH(TRIM($A140),'Olin Raw'!$M$92:$M$111,0),
MATCH(D$32,'Olin Raw'!$B$89:$K$89,0)
),"")</f>
        <v/>
      </c>
      <c r="E140" s="39" t="str">
        <f>IFERROR(
INDEX('Olin Raw'!$B$92:$K$111,
MATCH(TRIM($A140),'Olin Raw'!$M$92:$M$111,0),
MATCH(E$32,'Olin Raw'!$B$89:$K$89,0)
),"")</f>
        <v/>
      </c>
      <c r="F140" s="39" t="str">
        <f>IFERROR(
INDEX('Olin Raw'!$B$92:$K$111,
MATCH(TRIM($A140),'Olin Raw'!$M$92:$M$111,0),
MATCH(F$32,'Olin Raw'!$B$89:$K$89,0)
),"")</f>
        <v/>
      </c>
      <c r="G140" s="39" t="str">
        <f>IFERROR(
INDEX('Olin Raw'!$B$92:$K$111,
MATCH(TRIM($A140),'Olin Raw'!$M$92:$M$111,0),
MATCH(G$32,'Olin Raw'!$B$89:$K$89,0)
),"")</f>
        <v/>
      </c>
      <c r="H140" s="39" t="str">
        <f>IFERROR(
INDEX('Olin Raw'!$B$92:$K$111,
MATCH(TRIM($A140),'Olin Raw'!$M$92:$M$111,0),
MATCH(H$32,'Olin Raw'!$B$89:$K$89,0)
),"")</f>
        <v/>
      </c>
      <c r="I140" s="39" t="str">
        <f>IFERROR(
INDEX('Olin Raw'!$B$92:$K$111,
MATCH(TRIM($A140),'Olin Raw'!$M$92:$M$111,0),
MATCH(I$32,'Olin Raw'!$B$89:$K$89,0)
),"")</f>
        <v/>
      </c>
      <c r="J140" s="39" t="str">
        <f>IFERROR(
INDEX('Olin Raw'!$B$92:$K$111,
MATCH(TRIM($A140),'Olin Raw'!$M$92:$M$111,0),
MATCH(J$32,'Olin Raw'!$B$89:$K$89,0)
),"")</f>
        <v/>
      </c>
      <c r="K140" s="39" t="str">
        <f>IFERROR(
INDEX('Olin Raw'!$B$92:$K$111,
MATCH(TRIM($A140),'Olin Raw'!$M$92:$M$111,0),
MATCH(K$32,'Olin Raw'!$B$89:$K$89,0)
),"")</f>
        <v/>
      </c>
      <c r="L140" s="39" t="str">
        <f>IFERROR(
INDEX('Olin Raw'!$B$92:$K$111,
MATCH(TRIM($A140),'Olin Raw'!$M$92:$M$111,0),
MATCH(L$32,'Olin Raw'!$B$89:$K$89,0)
),"")</f>
        <v/>
      </c>
      <c r="M140" s="39" t="str">
        <f>IFERROR(
INDEX('Olin Raw'!$B$92:$K$111,
MATCH(TRIM($A140),'Olin Raw'!$M$92:$M$111,0),
MATCH(M$32,'Olin Raw'!$B$89:$K$89,0)
),"")</f>
        <v/>
      </c>
      <c r="N140" s="98"/>
      <c r="O140" s="39"/>
      <c r="P140" s="39"/>
      <c r="Q140" s="39"/>
      <c r="R140" s="39"/>
      <c r="S140" s="99"/>
    </row>
    <row r="141" spans="1:20" x14ac:dyDescent="0.15">
      <c r="A141" t="s">
        <v>187</v>
      </c>
      <c r="C141" t="s">
        <v>187</v>
      </c>
      <c r="D141" s="39" cm="1">
        <f t="array" ref="D141">IFERROR(INDEX('Olin Raw'!$B$119:$K$165, MATCH(TRIM($A142),'Olin Raw'!$M$119:$M$165,0) - 1, MATCH(D$32,'Olin Raw'!$B$116:$K$116,0)),"")</f>
        <v>325.8</v>
      </c>
      <c r="E141" s="39" cm="1">
        <f t="array" ref="E141">IFERROR(INDEX('Olin Raw'!$B$119:$K$165, MATCH(TRIM($A142),'Olin Raw'!$M$119:$M$165,0) - 1, MATCH(E$32,'Olin Raw'!$B$116:$K$116,0)),"")</f>
        <v>379.6</v>
      </c>
      <c r="F141" s="39" cm="1">
        <f t="array" ref="F141">IFERROR(INDEX('Olin Raw'!$B$119:$K$165, MATCH(TRIM($A142),'Olin Raw'!$M$119:$M$165,0) - 1, MATCH(F$32,'Olin Raw'!$B$116:$K$116,0)),"")</f>
        <v>594.20000000000005</v>
      </c>
      <c r="G141" s="39" cm="1">
        <f t="array" ref="G141">IFERROR(INDEX('Olin Raw'!$B$119:$K$165, MATCH(TRIM($A142),'Olin Raw'!$M$119:$M$165,0) - 1, MATCH(G$32,'Olin Raw'!$B$116:$K$116,0)),"")</f>
        <v>253.5</v>
      </c>
      <c r="H141" s="39" cm="1">
        <f t="array" ref="H141">IFERROR(INDEX('Olin Raw'!$B$119:$K$165, MATCH(TRIM($A142),'Olin Raw'!$M$119:$M$165,0) - 1, MATCH(H$32,'Olin Raw'!$B$116:$K$116,0)),"")</f>
        <v>35.200000000000003</v>
      </c>
      <c r="I141" s="39" cm="1">
        <f t="array" ref="I141">IFERROR(INDEX('Olin Raw'!$B$119:$K$165, MATCH(TRIM($A142),'Olin Raw'!$M$119:$M$165,0) - 1, MATCH(I$32,'Olin Raw'!$B$116:$K$116,0)),"")</f>
        <v>1875.1</v>
      </c>
      <c r="J141" s="39" cm="1">
        <f t="array" ref="J141">IFERROR(INDEX('Olin Raw'!$B$119:$K$165, MATCH(TRIM($A142),'Olin Raw'!$M$119:$M$165,0) - 1, MATCH(J$32,'Olin Raw'!$B$116:$K$116,0)),"")</f>
        <v>1790.3</v>
      </c>
      <c r="K141" s="39" cm="1">
        <f t="array" ref="K141">IFERROR(INDEX('Olin Raw'!$B$119:$K$165, MATCH(TRIM($A142),'Olin Raw'!$M$119:$M$165,0) - 1, MATCH(K$32,'Olin Raw'!$B$116:$K$116,0)),"")</f>
        <v>782.8</v>
      </c>
      <c r="L141" s="39" cm="1">
        <f t="array" ref="L141">IFERROR(INDEX('Olin Raw'!$B$119:$K$165, MATCH(TRIM($A142),'Olin Raw'!$M$119:$M$165,0) - 1, MATCH(L$32,'Olin Raw'!$B$116:$K$116,0)),"")</f>
        <v>360</v>
      </c>
      <c r="M141" s="39" cm="1">
        <f t="array" ref="M141">IFERROR(INDEX('Olin Raw'!$B$119:$K$165, MATCH(TRIM($A142),'Olin Raw'!$M$119:$M$165,0) - 1, MATCH(M$32,'Olin Raw'!$B$116:$K$116,0)),"")</f>
        <v>63.2</v>
      </c>
      <c r="N141" s="98">
        <f>N$44</f>
        <v>178.16854848000003</v>
      </c>
      <c r="O141" s="39">
        <f t="shared" ref="O141:S141" si="84">O$44</f>
        <v>315.31545579628801</v>
      </c>
      <c r="P141" s="39">
        <f t="shared" si="84"/>
        <v>602.94456716309196</v>
      </c>
      <c r="Q141" s="39">
        <f t="shared" si="84"/>
        <v>841.17755397744077</v>
      </c>
      <c r="R141" s="39">
        <f t="shared" si="84"/>
        <v>1176.0337562785962</v>
      </c>
      <c r="S141" s="99">
        <f t="shared" si="84"/>
        <v>1407.7070854135154</v>
      </c>
    </row>
    <row r="142" spans="1:20" x14ac:dyDescent="0.15">
      <c r="A142" t="s">
        <v>188</v>
      </c>
      <c r="C142" s="48" t="s">
        <v>188</v>
      </c>
      <c r="D142" s="57">
        <f>IFERROR(
INDEX('Olin Raw'!$B$119:$K$165,
MATCH(TRIM($A142),'Olin Raw'!$M$119:$M$165,0),
MATCH(D$32,'Olin Raw'!$B$116:$K$116,0)
),"")</f>
        <v>859.3</v>
      </c>
      <c r="E142" s="57">
        <f>IFERROR(
INDEX('Olin Raw'!$B$119:$K$165,
MATCH(TRIM($A142),'Olin Raw'!$M$119:$M$165,0),
MATCH(E$32,'Olin Raw'!$B$116:$K$116,0)
),"")</f>
        <v>938.5</v>
      </c>
      <c r="F142" s="57">
        <f>IFERROR(
INDEX('Olin Raw'!$B$119:$K$165,
MATCH(TRIM($A142),'Olin Raw'!$M$119:$M$165,0),
MATCH(F$32,'Olin Raw'!$B$116:$K$116,0)
),"")</f>
        <v>1195.5999999999999</v>
      </c>
      <c r="G142" s="57">
        <f>IFERROR(
INDEX('Olin Raw'!$B$119:$K$165,
MATCH(TRIM($A142),'Olin Raw'!$M$119:$M$165,0),
MATCH(G$32,'Olin Raw'!$B$116:$K$116,0)
),"")</f>
        <v>850.9</v>
      </c>
      <c r="H142" s="57">
        <f>IFERROR(
INDEX('Olin Raw'!$B$119:$K$165,
MATCH(TRIM($A142),'Olin Raw'!$M$119:$M$165,0),
MATCH(H$32,'Olin Raw'!$B$116:$K$116,0)
),"")</f>
        <v>603.6</v>
      </c>
      <c r="I142" s="57">
        <f>IFERROR(
INDEX('Olin Raw'!$B$119:$K$165,
MATCH(TRIM($A142),'Olin Raw'!$M$119:$M$165,0),
MATCH(I$32,'Olin Raw'!$B$116:$K$116,0)
),"")</f>
        <v>2457.6</v>
      </c>
      <c r="J142" s="57">
        <f>IFERROR(
INDEX('Olin Raw'!$B$119:$K$165,
MATCH(TRIM($A142),'Olin Raw'!$M$119:$M$165,0),
MATCH(J$32,'Olin Raw'!$B$116:$K$116,0)
),"")</f>
        <v>2389.1</v>
      </c>
      <c r="K142" s="57">
        <f>IFERROR(
INDEX('Olin Raw'!$B$119:$K$165,
MATCH(TRIM($A142),'Olin Raw'!$M$119:$M$165,0),
MATCH(K$32,'Olin Raw'!$B$116:$K$116,0)
),"")</f>
        <v>1316.2</v>
      </c>
      <c r="L142" s="57">
        <f>IFERROR(
INDEX('Olin Raw'!$B$119:$K$165,
MATCH(TRIM($A142),'Olin Raw'!$M$119:$M$165,0),
MATCH(L$32,'Olin Raw'!$B$116:$K$116,0)
),"")</f>
        <v>878.1</v>
      </c>
      <c r="M142" s="57">
        <f>IFERROR(
INDEX('Olin Raw'!$B$119:$K$165,
MATCH(TRIM($A142),'Olin Raw'!$M$119:$M$165,0),
MATCH(M$32,'Olin Raw'!$B$116:$K$116,0)
),"")</f>
        <v>584.79999999999995</v>
      </c>
      <c r="N142" s="96">
        <f t="shared" ref="N142:S142" si="85">N$44+N$114</f>
        <v>684.47543104320005</v>
      </c>
      <c r="O142" s="57">
        <f t="shared" si="85"/>
        <v>834.02385035563532</v>
      </c>
      <c r="P142" s="57">
        <f t="shared" si="85"/>
        <v>1134.3841875139954</v>
      </c>
      <c r="Q142" s="57">
        <f t="shared" si="85"/>
        <v>1386.2093113334076</v>
      </c>
      <c r="R142" s="57">
        <f t="shared" si="85"/>
        <v>1726.3846425069053</v>
      </c>
      <c r="S142" s="97">
        <f t="shared" si="85"/>
        <v>1972.9907476226358</v>
      </c>
    </row>
    <row r="143" spans="1:20" x14ac:dyDescent="0.15">
      <c r="A143" t="s">
        <v>198</v>
      </c>
      <c r="C143" t="s">
        <v>198</v>
      </c>
      <c r="D143" s="39">
        <f>IFERROR(
INDEX('Olin Raw'!$B$119:$K$165,
MATCH(TRIM($A143),'Olin Raw'!$M$119:$M$165,0),
MATCH(D$32,'Olin Raw'!$B$116:$K$116,0)
),"")</f>
        <v>3433</v>
      </c>
      <c r="E143" s="39">
        <f>IFERROR(
INDEX('Olin Raw'!$B$119:$K$165,
MATCH(TRIM($A143),'Olin Raw'!$M$119:$M$165,0),
MATCH(E$32,'Olin Raw'!$B$116:$K$116,0)
),"")</f>
        <v>3393.6</v>
      </c>
      <c r="F143" s="39">
        <f>IFERROR(
INDEX('Olin Raw'!$B$119:$K$165,
MATCH(TRIM($A143),'Olin Raw'!$M$119:$M$165,0),
MATCH(F$32,'Olin Raw'!$B$116:$K$116,0)
),"")</f>
        <v>3051.5</v>
      </c>
      <c r="G143" s="39">
        <f>IFERROR(
INDEX('Olin Raw'!$B$119:$K$165,
MATCH(TRIM($A143),'Olin Raw'!$M$119:$M$165,0),
MATCH(G$32,'Olin Raw'!$B$116:$K$116,0)
),"")</f>
        <v>3119.9</v>
      </c>
      <c r="H143" s="39">
        <f>IFERROR(
INDEX('Olin Raw'!$B$119:$K$165,
MATCH(TRIM($A143),'Olin Raw'!$M$119:$M$165,0),
MATCH(H$32,'Olin Raw'!$B$116:$K$116,0)
),"")</f>
        <v>3674.1</v>
      </c>
      <c r="I143" s="39">
        <f>IFERROR(
INDEX('Olin Raw'!$B$119:$K$165,
MATCH(TRIM($A143),'Olin Raw'!$M$119:$M$165,0),
MATCH(I$32,'Olin Raw'!$B$116:$K$116,0)
),"")</f>
        <v>2598.8000000000002</v>
      </c>
      <c r="J143" s="39">
        <f>IFERROR(
INDEX('Olin Raw'!$B$119:$K$165,
MATCH(TRIM($A143),'Olin Raw'!$M$119:$M$165,0),
MATCH(J$32,'Olin Raw'!$B$116:$K$116,0)
),"")</f>
        <v>2386.6999999999998</v>
      </c>
      <c r="K143" s="39">
        <f>IFERROR(
INDEX('Olin Raw'!$B$119:$K$165,
MATCH(TRIM($A143),'Olin Raw'!$M$119:$M$165,0),
MATCH(K$32,'Olin Raw'!$B$116:$K$116,0)
),"")</f>
        <v>2535.6999999999998</v>
      </c>
      <c r="L143" s="39">
        <f>IFERROR(
INDEX('Olin Raw'!$B$119:$K$165,
MATCH(TRIM($A143),'Olin Raw'!$M$119:$M$165,0),
MATCH(L$32,'Olin Raw'!$B$116:$K$116,0)
),"")</f>
        <v>2698.9</v>
      </c>
      <c r="M143" s="39">
        <f>IFERROR(
INDEX('Olin Raw'!$B$119:$K$165,
MATCH(TRIM($A143),'Olin Raw'!$M$119:$M$165,0),
MATCH(M$32,'Olin Raw'!$B$116:$K$116,0)
),"")</f>
        <v>2691.4</v>
      </c>
      <c r="N143" s="98">
        <f ca="1">'Olin Debt'!D47</f>
        <v>2388.5111871131321</v>
      </c>
      <c r="O143" s="39">
        <f ca="1">'Olin Debt'!E47</f>
        <v>1953.7498389572481</v>
      </c>
      <c r="P143" s="39">
        <f ca="1">'Olin Debt'!F47</f>
        <v>1332.3775116824515</v>
      </c>
      <c r="Q143" s="39">
        <f ca="1">'Olin Debt'!G47</f>
        <v>536.06292542640495</v>
      </c>
      <c r="R143" s="39">
        <f ca="1">'Olin Debt'!H47</f>
        <v>-529.09139747952668</v>
      </c>
      <c r="S143" s="99">
        <f ca="1">'Olin Debt'!I47</f>
        <v>-1780.2827211245653</v>
      </c>
    </row>
    <row r="144" spans="1:20" x14ac:dyDescent="0.15">
      <c r="A144" t="s">
        <v>221</v>
      </c>
      <c r="C144" s="48" t="s">
        <v>297</v>
      </c>
      <c r="D144" s="57">
        <f>IFERROR(
INDEX('Olin Raw'!$B$119:$K$165,
MATCH(TRIM($A144),'Olin Raw'!$M$119:$M$165,0),
MATCH(D$32,'Olin Raw'!$B$116:$K$116,0)
),"")</f>
        <v>325.2</v>
      </c>
      <c r="E144" s="57">
        <f>IFERROR(
INDEX('Olin Raw'!$B$119:$K$165,
MATCH(TRIM($A144),'Olin Raw'!$M$119:$M$165,0),
MATCH(E$32,'Olin Raw'!$B$116:$K$116,0)
),"")</f>
        <v>354.5</v>
      </c>
      <c r="F144" s="57">
        <f>IFERROR(
INDEX('Olin Raw'!$B$119:$K$165,
MATCH(TRIM($A144),'Olin Raw'!$M$119:$M$165,0),
MATCH(F$32,'Olin Raw'!$B$116:$K$116,0)
),"")</f>
        <v>522.6</v>
      </c>
      <c r="G144" s="57">
        <f>IFERROR(
INDEX('Olin Raw'!$B$119:$K$165,
MATCH(TRIM($A144),'Olin Raw'!$M$119:$M$165,0),
MATCH(G$32,'Olin Raw'!$B$116:$K$116,0)
),"")</f>
        <v>231.7</v>
      </c>
      <c r="H144" s="57">
        <f>IFERROR(
INDEX('Olin Raw'!$B$119:$K$165,
MATCH(TRIM($A144),'Olin Raw'!$M$119:$M$165,0),
MATCH(H$32,'Olin Raw'!$B$116:$K$116,0)
),"")</f>
        <v>119.5</v>
      </c>
      <c r="I144" s="57">
        <f>IFERROR(
INDEX('Olin Raw'!$B$119:$K$165,
MATCH(TRIM($A144),'Olin Raw'!$M$119:$M$165,0),
MATCH(I$32,'Olin Raw'!$B$116:$K$116,0)
),"")</f>
        <v>1540.4</v>
      </c>
      <c r="J144" s="57">
        <f>IFERROR(
INDEX('Olin Raw'!$B$119:$K$165,
MATCH(TRIM($A144),'Olin Raw'!$M$119:$M$165,0),
MATCH(J$32,'Olin Raw'!$B$116:$K$116,0)
),"")</f>
        <v>1685</v>
      </c>
      <c r="K144" s="57">
        <f>IFERROR(
INDEX('Olin Raw'!$B$119:$K$165,
MATCH(TRIM($A144),'Olin Raw'!$M$119:$M$165,0),
MATCH(K$32,'Olin Raw'!$B$116:$K$116,0)
),"")</f>
        <v>738.3</v>
      </c>
      <c r="L144" s="57">
        <f>IFERROR(
INDEX('Olin Raw'!$B$119:$K$165,
MATCH(TRIM($A144),'Olin Raw'!$M$119:$M$165,0),
MATCH(L$32,'Olin Raw'!$B$116:$K$116,0)
),"")</f>
        <v>308.10000000000002</v>
      </c>
      <c r="M144" s="57">
        <f>IFERROR(
INDEX('Olin Raw'!$B$119:$K$165,
MATCH(TRIM($A144),'Olin Raw'!$M$119:$M$165,0),
MATCH(M$32,'Olin Raw'!$B$116:$K$116,0)
),"")</f>
        <v>247.9</v>
      </c>
      <c r="N144" s="140">
        <f ca="1">N$121+N$123</f>
        <v>356.27756288686771</v>
      </c>
      <c r="O144" s="141">
        <f t="shared" ref="O144:S144" ca="1" si="86">O$121+O$123</f>
        <v>518.29009815588415</v>
      </c>
      <c r="P144" s="141">
        <f t="shared" ca="1" si="86"/>
        <v>702.9260772747964</v>
      </c>
      <c r="Q144" s="141">
        <f t="shared" ca="1" si="86"/>
        <v>877.26833625604627</v>
      </c>
      <c r="R144" s="141">
        <f t="shared" ca="1" si="86"/>
        <v>1144.4830729059317</v>
      </c>
      <c r="S144" s="142">
        <f t="shared" ca="1" si="86"/>
        <v>1329.3400736450385</v>
      </c>
    </row>
    <row r="149" spans="15:15" x14ac:dyDescent="0.15">
      <c r="O149" s="48"/>
    </row>
  </sheetData>
  <mergeCells count="16">
    <mergeCell ref="C2:S2"/>
    <mergeCell ref="D3:M3"/>
    <mergeCell ref="N3:S3"/>
    <mergeCell ref="C30:S30"/>
    <mergeCell ref="D31:M31"/>
    <mergeCell ref="N31:S31"/>
    <mergeCell ref="D115:M115"/>
    <mergeCell ref="D116:M116"/>
    <mergeCell ref="D120:M120"/>
    <mergeCell ref="D40:M40"/>
    <mergeCell ref="C60:S60"/>
    <mergeCell ref="D61:M61"/>
    <mergeCell ref="N61:S61"/>
    <mergeCell ref="C109:S109"/>
    <mergeCell ref="D110:M110"/>
    <mergeCell ref="N110:S110"/>
  </mergeCells>
  <pageMargins left="0.7" right="0.7" top="0.75" bottom="0.75" header="0.3" footer="0.3"/>
  <pageSetup orientation="portrait" horizontalDpi="0" verticalDpi="0"/>
  <ignoredErrors>
    <ignoredError sqref="D55:M55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D74D0-6D67-8F43-8EE9-2E8B9AFE530A}">
  <sheetPr codeName="Sheet9"/>
  <dimension ref="A1:U105"/>
  <sheetViews>
    <sheetView showGridLines="0" topLeftCell="A77" workbookViewId="0">
      <selection activeCell="H13" sqref="H13"/>
    </sheetView>
  </sheetViews>
  <sheetFormatPr baseColWidth="10" defaultRowHeight="13" x14ac:dyDescent="0.15"/>
  <cols>
    <col min="1" max="1" width="8" customWidth="1"/>
    <col min="2" max="2" width="34.1640625" customWidth="1"/>
    <col min="3" max="9" width="11.5" customWidth="1"/>
    <col min="10" max="10" width="13" customWidth="1"/>
    <col min="11" max="11" width="8.5" customWidth="1"/>
    <col min="12" max="12" width="23.33203125" customWidth="1"/>
    <col min="13" max="16" width="20.6640625" customWidth="1"/>
    <col min="20" max="20" width="9.6640625" customWidth="1"/>
    <col min="21" max="21" width="19.5" hidden="1" customWidth="1"/>
  </cols>
  <sheetData>
    <row r="1" spans="1:21" ht="20" x14ac:dyDescent="0.2">
      <c r="A1" s="298" t="str">
        <f>HYPERLINK("#'Table of Contents'!A1", "&lt;---------")</f>
        <v>&lt;---------</v>
      </c>
      <c r="B1" s="58" t="s">
        <v>413</v>
      </c>
      <c r="U1" s="2" t="s">
        <v>322</v>
      </c>
    </row>
    <row r="2" spans="1:21" ht="18" x14ac:dyDescent="0.15">
      <c r="B2" s="62" t="s">
        <v>414</v>
      </c>
      <c r="C2" s="44"/>
      <c r="D2" s="44"/>
      <c r="E2" s="44"/>
      <c r="F2" s="44"/>
      <c r="G2" s="44"/>
      <c r="H2" s="44"/>
      <c r="I2" s="44"/>
      <c r="U2" s="2" t="s">
        <v>330</v>
      </c>
    </row>
    <row r="3" spans="1:21" x14ac:dyDescent="0.15">
      <c r="B3" s="59" t="s">
        <v>316</v>
      </c>
      <c r="C3" s="87"/>
      <c r="D3" s="59"/>
      <c r="E3" s="59"/>
      <c r="F3" s="59"/>
      <c r="G3" s="59"/>
      <c r="H3" s="59"/>
      <c r="I3" s="59"/>
      <c r="U3" s="2" t="s">
        <v>325</v>
      </c>
    </row>
    <row r="4" spans="1:21" x14ac:dyDescent="0.15">
      <c r="B4" t="s">
        <v>317</v>
      </c>
      <c r="C4" s="164">
        <v>200</v>
      </c>
      <c r="U4" s="2" t="s">
        <v>326</v>
      </c>
    </row>
    <row r="5" spans="1:21" x14ac:dyDescent="0.15">
      <c r="B5" t="s">
        <v>331</v>
      </c>
      <c r="C5" s="165">
        <v>3.7499999999999999E-2</v>
      </c>
      <c r="U5" s="2" t="s">
        <v>323</v>
      </c>
    </row>
    <row r="6" spans="1:21" x14ac:dyDescent="0.15">
      <c r="B6" t="s">
        <v>341</v>
      </c>
      <c r="C6" s="165">
        <v>2.2499999999999999E-2</v>
      </c>
      <c r="U6" s="45" t="s">
        <v>324</v>
      </c>
    </row>
    <row r="7" spans="1:21" x14ac:dyDescent="0.15">
      <c r="B7" t="s">
        <v>332</v>
      </c>
      <c r="C7" s="165">
        <v>3.7499999999999999E-2</v>
      </c>
    </row>
    <row r="8" spans="1:21" x14ac:dyDescent="0.15">
      <c r="B8" t="s">
        <v>333</v>
      </c>
      <c r="C8" s="165">
        <v>1.6899999999999998E-2</v>
      </c>
    </row>
    <row r="9" spans="1:21" x14ac:dyDescent="0.15">
      <c r="B9" t="s">
        <v>334</v>
      </c>
      <c r="C9" s="165">
        <v>8.5000000000000006E-3</v>
      </c>
    </row>
    <row r="10" spans="1:21" x14ac:dyDescent="0.15">
      <c r="B10" t="s">
        <v>335</v>
      </c>
      <c r="C10" s="165">
        <v>1.4500000000000001E-2</v>
      </c>
    </row>
    <row r="11" spans="1:21" x14ac:dyDescent="0.15">
      <c r="B11" t="s">
        <v>336</v>
      </c>
      <c r="C11" s="171">
        <v>1200</v>
      </c>
    </row>
    <row r="12" spans="1:21" x14ac:dyDescent="0.15">
      <c r="B12" t="s">
        <v>410</v>
      </c>
      <c r="C12" s="166">
        <v>1</v>
      </c>
    </row>
    <row r="13" spans="1:21" x14ac:dyDescent="0.15">
      <c r="C13" s="183"/>
    </row>
    <row r="14" spans="1:21" x14ac:dyDescent="0.15">
      <c r="B14" s="358" t="s">
        <v>423</v>
      </c>
      <c r="C14" s="359"/>
      <c r="D14" s="359"/>
      <c r="E14" s="359"/>
      <c r="F14" s="359"/>
      <c r="G14" s="359"/>
      <c r="H14" s="359"/>
      <c r="I14" s="359"/>
      <c r="J14" s="220"/>
      <c r="L14" s="182" t="s">
        <v>455</v>
      </c>
      <c r="M14" s="182"/>
      <c r="N14" s="182"/>
      <c r="O14" s="182"/>
      <c r="P14" s="182"/>
    </row>
    <row r="15" spans="1:21" s="47" customFormat="1" ht="41" customHeight="1" x14ac:dyDescent="0.15">
      <c r="B15" s="179" t="s">
        <v>63</v>
      </c>
      <c r="C15" s="198" t="s">
        <v>51</v>
      </c>
      <c r="D15" s="198" t="s">
        <v>318</v>
      </c>
      <c r="E15" s="198" t="s">
        <v>342</v>
      </c>
      <c r="F15" s="198" t="s">
        <v>343</v>
      </c>
      <c r="G15" s="198" t="s">
        <v>348</v>
      </c>
      <c r="H15" s="198" t="s">
        <v>353</v>
      </c>
      <c r="I15" s="198" t="s">
        <v>355</v>
      </c>
      <c r="J15" s="180" t="s">
        <v>453</v>
      </c>
      <c r="L15" s="178" t="s">
        <v>63</v>
      </c>
      <c r="M15" s="178" t="s">
        <v>422</v>
      </c>
      <c r="N15" s="178" t="s">
        <v>330</v>
      </c>
      <c r="O15" s="178" t="s">
        <v>325</v>
      </c>
      <c r="P15" s="178" t="s">
        <v>326</v>
      </c>
    </row>
    <row r="16" spans="1:21" x14ac:dyDescent="0.15">
      <c r="B16" s="3" t="s">
        <v>319</v>
      </c>
      <c r="C16" s="43">
        <v>5.4379999999999998E-2</v>
      </c>
      <c r="D16">
        <v>2030</v>
      </c>
      <c r="E16">
        <v>0</v>
      </c>
      <c r="F16" t="s">
        <v>319</v>
      </c>
      <c r="G16" t="s">
        <v>350</v>
      </c>
      <c r="H16" t="s">
        <v>351</v>
      </c>
      <c r="I16" s="49">
        <v>4</v>
      </c>
      <c r="J16" s="5">
        <v>0</v>
      </c>
      <c r="L16" t="s">
        <v>416</v>
      </c>
      <c r="M16">
        <v>2026</v>
      </c>
      <c r="N16">
        <v>0</v>
      </c>
      <c r="O16">
        <v>109.7</v>
      </c>
    </row>
    <row r="17" spans="1:15" x14ac:dyDescent="0.15">
      <c r="B17" s="3" t="s">
        <v>416</v>
      </c>
      <c r="C17" s="43">
        <v>5.4379999999999998E-2</v>
      </c>
      <c r="D17">
        <v>2030</v>
      </c>
      <c r="E17">
        <v>637.79999999999995</v>
      </c>
      <c r="F17" t="s">
        <v>417</v>
      </c>
      <c r="G17" t="s">
        <v>350</v>
      </c>
      <c r="H17" t="s">
        <v>352</v>
      </c>
      <c r="I17" s="49">
        <v>1</v>
      </c>
      <c r="J17" s="5">
        <v>0</v>
      </c>
      <c r="L17" t="s">
        <v>319</v>
      </c>
      <c r="M17">
        <v>2026</v>
      </c>
      <c r="N17">
        <v>109.7</v>
      </c>
      <c r="O17">
        <v>0</v>
      </c>
    </row>
    <row r="18" spans="1:15" x14ac:dyDescent="0.15">
      <c r="B18" s="3" t="s">
        <v>320</v>
      </c>
      <c r="C18" s="43">
        <v>5.6250000000000001E-2</v>
      </c>
      <c r="D18">
        <v>2029</v>
      </c>
      <c r="E18">
        <v>669.3</v>
      </c>
      <c r="F18" t="s">
        <v>344</v>
      </c>
      <c r="G18" t="s">
        <v>349</v>
      </c>
      <c r="H18" t="s">
        <v>351</v>
      </c>
      <c r="I18">
        <v>4.0999999999999996</v>
      </c>
      <c r="J18" s="5">
        <v>0</v>
      </c>
      <c r="L18" t="s">
        <v>416</v>
      </c>
      <c r="M18">
        <v>2030</v>
      </c>
      <c r="N18">
        <v>0</v>
      </c>
      <c r="O18">
        <v>528.1</v>
      </c>
    </row>
    <row r="19" spans="1:15" x14ac:dyDescent="0.15">
      <c r="B19" s="3" t="s">
        <v>421</v>
      </c>
      <c r="C19" s="43">
        <v>0.05</v>
      </c>
      <c r="D19">
        <v>2030</v>
      </c>
      <c r="E19">
        <v>515.29999999999995</v>
      </c>
      <c r="F19" t="s">
        <v>344</v>
      </c>
      <c r="G19" t="s">
        <v>349</v>
      </c>
      <c r="H19" t="s">
        <v>351</v>
      </c>
      <c r="I19">
        <v>2.9</v>
      </c>
      <c r="J19" s="5">
        <v>0</v>
      </c>
    </row>
    <row r="20" spans="1:15" x14ac:dyDescent="0.15">
      <c r="B20" s="3" t="s">
        <v>415</v>
      </c>
      <c r="C20" s="43">
        <v>6.6250000000000003E-2</v>
      </c>
      <c r="D20">
        <v>2033</v>
      </c>
      <c r="E20">
        <v>600</v>
      </c>
      <c r="F20" t="s">
        <v>344</v>
      </c>
      <c r="G20" t="s">
        <v>349</v>
      </c>
      <c r="H20" t="s">
        <v>351</v>
      </c>
      <c r="I20" s="49">
        <v>5</v>
      </c>
      <c r="J20" s="5">
        <v>0</v>
      </c>
    </row>
    <row r="21" spans="1:15" x14ac:dyDescent="0.15">
      <c r="B21" s="3" t="s">
        <v>418</v>
      </c>
      <c r="C21" s="43">
        <f>$C$7+$C$9</f>
        <v>4.5999999999999999E-2</v>
      </c>
      <c r="D21">
        <v>2027</v>
      </c>
      <c r="E21">
        <v>340</v>
      </c>
      <c r="F21" t="s">
        <v>345</v>
      </c>
      <c r="G21" t="s">
        <v>349</v>
      </c>
      <c r="H21" t="s">
        <v>351</v>
      </c>
      <c r="I21">
        <v>0.75</v>
      </c>
      <c r="J21" s="5">
        <v>0</v>
      </c>
    </row>
    <row r="22" spans="1:15" x14ac:dyDescent="0.15">
      <c r="B22" s="3" t="s">
        <v>419</v>
      </c>
      <c r="C22" s="43">
        <v>4.938E-2</v>
      </c>
      <c r="D22">
        <v>2033</v>
      </c>
      <c r="E22">
        <v>83</v>
      </c>
      <c r="F22" t="s">
        <v>420</v>
      </c>
      <c r="G22" t="s">
        <v>349</v>
      </c>
      <c r="H22" t="s">
        <v>351</v>
      </c>
      <c r="I22">
        <v>0.35</v>
      </c>
      <c r="J22" s="5">
        <v>0</v>
      </c>
    </row>
    <row r="23" spans="1:15" x14ac:dyDescent="0.15">
      <c r="B23" s="3"/>
      <c r="C23" s="43"/>
      <c r="J23" s="5" t="s">
        <v>577</v>
      </c>
    </row>
    <row r="24" spans="1:15" x14ac:dyDescent="0.15">
      <c r="B24" s="3"/>
      <c r="C24" s="43"/>
      <c r="J24" s="5"/>
      <c r="L24" s="40"/>
    </row>
    <row r="25" spans="1:15" x14ac:dyDescent="0.15">
      <c r="B25" s="3"/>
      <c r="C25" s="43"/>
      <c r="J25" s="5"/>
    </row>
    <row r="26" spans="1:15" x14ac:dyDescent="0.15">
      <c r="B26" s="3"/>
      <c r="C26" s="43"/>
      <c r="J26" s="5"/>
    </row>
    <row r="27" spans="1:15" x14ac:dyDescent="0.15">
      <c r="B27" s="3"/>
      <c r="C27" s="43"/>
      <c r="J27" s="5"/>
    </row>
    <row r="28" spans="1:15" x14ac:dyDescent="0.15">
      <c r="B28" s="3"/>
      <c r="C28" s="43"/>
      <c r="J28" s="5"/>
    </row>
    <row r="29" spans="1:15" x14ac:dyDescent="0.15">
      <c r="B29" s="7"/>
      <c r="C29" s="181"/>
      <c r="D29" s="9"/>
      <c r="E29" s="9"/>
      <c r="F29" s="9"/>
      <c r="G29" s="9"/>
      <c r="H29" s="9"/>
      <c r="I29" s="9"/>
      <c r="J29" s="6"/>
    </row>
    <row r="30" spans="1:15" x14ac:dyDescent="0.15">
      <c r="C30" s="43"/>
    </row>
    <row r="31" spans="1:15" x14ac:dyDescent="0.15">
      <c r="B31" s="357" t="s">
        <v>411</v>
      </c>
      <c r="C31" s="357"/>
      <c r="D31" s="357"/>
      <c r="E31" s="357"/>
      <c r="F31" s="357"/>
      <c r="G31" s="357"/>
      <c r="H31" s="357"/>
      <c r="I31" s="357"/>
    </row>
    <row r="32" spans="1:15" x14ac:dyDescent="0.15">
      <c r="A32" s="167"/>
      <c r="B32" s="168"/>
      <c r="C32" s="168" t="s">
        <v>399</v>
      </c>
      <c r="D32" s="339" t="s">
        <v>400</v>
      </c>
      <c r="E32" s="339"/>
      <c r="F32" s="339"/>
      <c r="G32" s="339"/>
      <c r="H32" s="339"/>
      <c r="I32" s="339"/>
      <c r="K32" s="169"/>
      <c r="L32" s="169"/>
    </row>
    <row r="33" spans="2:12" x14ac:dyDescent="0.15">
      <c r="B33" s="61" t="s">
        <v>86</v>
      </c>
      <c r="C33" s="143">
        <f>'Olin Standalone'!M4</f>
        <v>46022</v>
      </c>
      <c r="D33" s="143">
        <f>EDATE(C33,12)</f>
        <v>46387</v>
      </c>
      <c r="E33" s="143">
        <f t="shared" ref="E33:I33" si="0">EDATE(D33,12)</f>
        <v>46752</v>
      </c>
      <c r="F33" s="143">
        <f>EDATE(E33,12)</f>
        <v>47118</v>
      </c>
      <c r="G33" s="143">
        <f t="shared" si="0"/>
        <v>47483</v>
      </c>
      <c r="H33" s="143">
        <f t="shared" si="0"/>
        <v>47848</v>
      </c>
      <c r="I33" s="143">
        <f t="shared" si="0"/>
        <v>48213</v>
      </c>
    </row>
    <row r="34" spans="2:12" x14ac:dyDescent="0.15">
      <c r="C34" s="16" t="s">
        <v>88</v>
      </c>
      <c r="D34" s="16" t="s">
        <v>88</v>
      </c>
      <c r="E34" s="16" t="s">
        <v>88</v>
      </c>
      <c r="F34" s="16" t="s">
        <v>88</v>
      </c>
      <c r="G34" s="16" t="s">
        <v>88</v>
      </c>
      <c r="H34" s="16" t="s">
        <v>88</v>
      </c>
      <c r="I34" s="16" t="s">
        <v>88</v>
      </c>
    </row>
    <row r="35" spans="2:12" x14ac:dyDescent="0.15">
      <c r="B35" s="59" t="s">
        <v>327</v>
      </c>
      <c r="C35" s="59"/>
      <c r="D35" s="59"/>
      <c r="E35" s="59"/>
      <c r="F35" s="59"/>
      <c r="G35" s="59"/>
      <c r="H35" s="59"/>
      <c r="I35" s="59"/>
    </row>
    <row r="36" spans="2:12" x14ac:dyDescent="0.15">
      <c r="B36" t="s">
        <v>271</v>
      </c>
      <c r="C36" s="46">
        <f>INDEX('Olin Standalone'!$D$34:$S$144,
MATCH($B36,'Olin Standalone'!$C$34:$C$144,0),
MATCH(C$33,'Olin Standalone'!$D$62:$S$62,0))</f>
        <v>109.7</v>
      </c>
      <c r="D36" s="46">
        <f>+D94</f>
        <v>340</v>
      </c>
      <c r="E36" s="46">
        <f>0</f>
        <v>0</v>
      </c>
      <c r="F36" s="46">
        <f>+F70</f>
        <v>669.3</v>
      </c>
      <c r="G36" s="46">
        <f ca="1">+G54+G62+G78</f>
        <v>1043.3999999999999</v>
      </c>
      <c r="H36" s="46">
        <f>0</f>
        <v>0</v>
      </c>
      <c r="I36" s="46">
        <f>0</f>
        <v>0</v>
      </c>
      <c r="L36">
        <f>_xlfn.XMATCH("Ending Balance",INDEX('Huntsman Debt'!$B:$B,_xlfn.XMATCH("Revolver",'Huntsman Debt'!$B:$B,0,-1)+1):INDEX('Huntsman Debt'!$B:$B,_xlfn.XMATCH("Revolver",'Huntsman Debt'!$B:$B,0,-1)+10),0)</f>
        <v>5</v>
      </c>
    </row>
    <row r="37" spans="2:12" x14ac:dyDescent="0.15">
      <c r="B37" t="s">
        <v>273</v>
      </c>
      <c r="C37" s="46">
        <f>SUM('Olin Debt'!$E$16:$E$29)-C36</f>
        <v>2735.7</v>
      </c>
      <c r="D37" s="46">
        <f t="shared" ref="D37:I37" ca="1" si="1">(+D54+D62+D70+D78+D86+D94+D102)-D36</f>
        <v>2395.6999999999998</v>
      </c>
      <c r="E37" s="46">
        <f t="shared" ca="1" si="1"/>
        <v>2735.7</v>
      </c>
      <c r="F37" s="46">
        <f t="shared" ca="1" si="1"/>
        <v>2066.3999999999996</v>
      </c>
      <c r="G37" s="46">
        <f t="shared" ca="1" si="1"/>
        <v>1692.3</v>
      </c>
      <c r="H37" s="46">
        <f t="shared" ca="1" si="1"/>
        <v>2207.6</v>
      </c>
      <c r="I37" s="46">
        <f t="shared" ca="1" si="1"/>
        <v>2207.6</v>
      </c>
    </row>
    <row r="38" spans="2:12" x14ac:dyDescent="0.15">
      <c r="B38" s="2" t="s">
        <v>347</v>
      </c>
      <c r="C38" s="46">
        <f>-SUM('Olin Debt'!$I$16:$I$29)</f>
        <v>-18.100000000000001</v>
      </c>
      <c r="D38" s="46">
        <f>-(+('Olin Debt'!$I$16*MAX(0,(2030-2026)/(2030-2025)))+('Olin Debt'!$I$17*MAX(0,(2030-2026)/(2030-2025)))+('Olin Debt'!$I$18*MAX(0,(2029-2026)/(2029-2025)))+('Olin Debt'!$I$19*MAX(0,(2030-2026)/(2030-2025)))+('Olin Debt'!$I$20*MAX(0,(2033-2026)/(2033-2025)))+('Olin Debt'!$I$21*MAX(0,(2027-2026)/(2027-2025)))+('Olin Debt'!$I$22*MAX(0,(2033-2026)/(2033-2025))))</f>
        <v>-14.45125</v>
      </c>
      <c r="E38" s="46">
        <f>-(+('Olin Debt'!$I$16*MAX(0,(2030-2027)/(2030-2025)))+('Olin Debt'!$I$17*MAX(0,(2030-2027)/(2030-2025)))+('Olin Debt'!$I$18*MAX(0,(2029-2027)/(2029-2025)))+('Olin Debt'!$I$19*MAX(0,(2030-2027)/(2030-2025)))+('Olin Debt'!$I$20*MAX(0,(2033-2027)/(2033-2025)))+('Olin Debt'!$I$21*MAX(0,(2027-2027)/(2027-2025)))+('Olin Debt'!$I$22*MAX(0,(2033-2027)/(2033-2025))))</f>
        <v>-10.802499999999998</v>
      </c>
      <c r="F38" s="46">
        <f>-(+('Olin Debt'!$I$16*MAX(0,(2030-2028)/(2030-2025)))+('Olin Debt'!$I$17*MAX(0,(2030-2028)/(2030-2025)))+('Olin Debt'!$I$18*MAX(0,(2029-2028)/(2029-2025)))+('Olin Debt'!$I$19*MAX(0,(2030-2028)/(2030-2025)))+('Olin Debt'!$I$20*MAX(0,(2033-2028)/(2033-2025)))+('Olin Debt'!$I$21*MAX(0,(2027-2028)/(2027-2025)))+('Olin Debt'!$I$22*MAX(0,(2033-2028)/(2033-2025))))</f>
        <v>-7.5287499999999996</v>
      </c>
      <c r="G38" s="46">
        <f>-(+('Olin Debt'!$I$16*MAX(0,(2030-2029)/(2030-2025)))+('Olin Debt'!$I$17*MAX(0,(2030-2029)/(2030-2025)))+('Olin Debt'!$I$18*MAX(0,(2029-2029)/(2029-2025)))+('Olin Debt'!$I$19*MAX(0,(2030-2029)/(2030-2025)))+('Olin Debt'!$I$20*MAX(0,(2033-2029)/(2033-2025)))+('Olin Debt'!$I$21*MAX(0,(2027-2029)/(2027-2025)))+('Olin Debt'!$I$22*MAX(0,(2033-2029)/(2033-2025))))</f>
        <v>-4.2549999999999999</v>
      </c>
      <c r="H38" s="46">
        <f>-(+('Olin Debt'!$I$16*MAX(0,(2030-2030)/(2030-2025)))+('Olin Debt'!$I$17*MAX(0,(2030-2030)/(2030-2025)))+('Olin Debt'!$I$18*MAX(0,(2029-2030)/(2029-2025)))+('Olin Debt'!$I$19*MAX(0,(2030-2030)/(2030-2025)))+('Olin Debt'!$I$20*MAX(0,(2033-2030)/(2033-2025)))+('Olin Debt'!$I$21*MAX(0,(2027-2030)/(2027-2025)))+('Olin Debt'!$I$22*MAX(0,(2033-2030)/(2033-2025))))</f>
        <v>-2.0062500000000001</v>
      </c>
      <c r="I38" s="46">
        <f>-(+('Olin Debt'!$I$16*MAX(0,(2030-2031)/(2030-2025)))+('Olin Debt'!$I$17*MAX(0,(2030-2031)/(2030-2025)))+('Olin Debt'!$I$18*MAX(0,(2029-2031)/(2029-2025)))+('Olin Debt'!$I$19*MAX(0,(2030-2031)/(2030-2025)))+('Olin Debt'!$I$20*MAX(0,(2033-2031)/(2033-2025)))+('Olin Debt'!$I$21*MAX(0,(2027-2031)/(2027-2025)))+('Olin Debt'!$I$22*MAX(0,(2033-2031)/(2033-2025))))</f>
        <v>-1.3374999999999999</v>
      </c>
    </row>
    <row r="39" spans="2:12" x14ac:dyDescent="0.15">
      <c r="B39" t="s">
        <v>328</v>
      </c>
      <c r="C39" s="46">
        <f t="shared" ref="C39:I39" si="2">C36+C37+C38</f>
        <v>2827.2999999999997</v>
      </c>
      <c r="D39" s="46">
        <f t="shared" ca="1" si="2"/>
        <v>2721.2487499999997</v>
      </c>
      <c r="E39" s="46">
        <f t="shared" ca="1" si="2"/>
        <v>2724.8975</v>
      </c>
      <c r="F39" s="46">
        <f t="shared" ca="1" si="2"/>
        <v>2728.1712499999999</v>
      </c>
      <c r="G39" s="46">
        <f t="shared" ca="1" si="2"/>
        <v>2731.4449999999997</v>
      </c>
      <c r="H39" s="46">
        <f t="shared" ca="1" si="2"/>
        <v>2205.59375</v>
      </c>
      <c r="I39" s="46">
        <f t="shared" ca="1" si="2"/>
        <v>2206.2624999999998</v>
      </c>
    </row>
    <row r="40" spans="2:12" x14ac:dyDescent="0.15">
      <c r="B40" t="s">
        <v>233</v>
      </c>
      <c r="C40" s="46">
        <f>INDEX('Olin Standalone'!$D$34:$S$144,
MATCH("Cash and Cash Equivalents",'Olin Standalone'!$C$34:$C$144,0),
MATCH(C$33,'Olin Standalone'!$D$62:$S$62,0))</f>
        <v>167.6</v>
      </c>
      <c r="D40" s="46">
        <f ca="1">'Olin Standalone'!N139</f>
        <v>332.73756288686775</v>
      </c>
      <c r="E40" s="46">
        <f ca="1">'Olin Standalone'!O139</f>
        <v>771.14766104275191</v>
      </c>
      <c r="F40" s="46">
        <f ca="1">'Olin Standalone'!P139</f>
        <v>1395.7937383175483</v>
      </c>
      <c r="G40" s="46">
        <f ca="1">'Olin Standalone'!Q139</f>
        <v>2195.3820745735948</v>
      </c>
      <c r="H40" s="46">
        <f ca="1">'Olin Standalone'!R139</f>
        <v>2734.6851474795267</v>
      </c>
      <c r="I40" s="46">
        <f ca="1">'Olin Standalone'!S139</f>
        <v>3986.5452211245652</v>
      </c>
    </row>
    <row r="41" spans="2:12" x14ac:dyDescent="0.15">
      <c r="C41" s="46"/>
      <c r="D41" s="46"/>
      <c r="E41" s="46"/>
      <c r="F41" s="46"/>
      <c r="G41" s="46"/>
      <c r="H41" s="46"/>
      <c r="I41" s="46"/>
    </row>
    <row r="42" spans="2:12" x14ac:dyDescent="0.15">
      <c r="B42" t="s">
        <v>354</v>
      </c>
      <c r="C42" s="46">
        <f>INDEX('Olin Standalone'!$D$34:$S$144,
MATCH("Change in Short-Term Debt",'Olin Standalone'!$C$34:$C$144,0),
MATCH(C$33,'Olin Standalone'!$D$62:$S$62,0))</f>
        <v>0</v>
      </c>
      <c r="D42" s="46">
        <f t="shared" ref="D42:I42" ca="1" si="3">+D51-D52-D53+D91-D92-D93</f>
        <v>0</v>
      </c>
      <c r="E42" s="46">
        <f t="shared" ca="1" si="3"/>
        <v>0</v>
      </c>
      <c r="F42" s="46">
        <f t="shared" ca="1" si="3"/>
        <v>0</v>
      </c>
      <c r="G42" s="46">
        <f t="shared" ca="1" si="3"/>
        <v>0</v>
      </c>
      <c r="H42" s="46">
        <f t="shared" ca="1" si="3"/>
        <v>0</v>
      </c>
      <c r="I42" s="46">
        <f t="shared" ca="1" si="3"/>
        <v>0</v>
      </c>
    </row>
    <row r="43" spans="2:12" x14ac:dyDescent="0.15">
      <c r="B43" t="s">
        <v>291</v>
      </c>
      <c r="C43" s="46">
        <f>INDEX('Olin Standalone'!$D$34:$S$144,
MATCH("Debt Issuance (Repayment)",'Olin Standalone'!$C$34:$C$144,0),
MATCH(C$33,'Olin Standalone'!$D$62:$S$62,0))</f>
        <v>-11.2</v>
      </c>
      <c r="D43" s="46">
        <f t="shared" ref="D43:I43" si="4">+D59-D60-D61+D67-D68-D69+D75-D76-D77+D83-D84-D85+D99-D100-D101</f>
        <v>-109.7</v>
      </c>
      <c r="E43" s="46">
        <f t="shared" si="4"/>
        <v>0</v>
      </c>
      <c r="F43" s="46">
        <f t="shared" si="4"/>
        <v>0</v>
      </c>
      <c r="G43" s="46">
        <f t="shared" si="4"/>
        <v>0</v>
      </c>
      <c r="H43" s="46">
        <f t="shared" si="4"/>
        <v>-528.09999999999991</v>
      </c>
      <c r="I43" s="46">
        <f t="shared" si="4"/>
        <v>0</v>
      </c>
    </row>
    <row r="44" spans="2:12" x14ac:dyDescent="0.15">
      <c r="B44" t="s">
        <v>329</v>
      </c>
      <c r="C44" s="46">
        <f t="shared" ref="C44" si="5">+C57+C65+C73+C81+C89+C97+C105</f>
        <v>0</v>
      </c>
      <c r="D44" s="46">
        <f t="shared" ref="D44:I44" ca="1" si="6">+D55+D63+D71+D79+D87+D95+D103</f>
        <v>-154.602486</v>
      </c>
      <c r="E44" s="46">
        <f t="shared" ca="1" si="6"/>
        <v>-151.61974300000003</v>
      </c>
      <c r="F44" s="46">
        <f t="shared" ca="1" si="6"/>
        <v>-151.61974300000003</v>
      </c>
      <c r="G44" s="46">
        <f t="shared" ca="1" si="6"/>
        <v>-151.61974300000003</v>
      </c>
      <c r="H44" s="46">
        <f t="shared" ca="1" si="6"/>
        <v>-137.26070400000003</v>
      </c>
      <c r="I44" s="46">
        <f t="shared" ca="1" si="6"/>
        <v>-122.90166500000001</v>
      </c>
    </row>
    <row r="45" spans="2:12" x14ac:dyDescent="0.15">
      <c r="B45" t="s">
        <v>356</v>
      </c>
      <c r="C45" s="46"/>
      <c r="D45" s="46">
        <f>-(D38-C38)</f>
        <v>-3.6487500000000015</v>
      </c>
      <c r="E45" s="46">
        <f t="shared" ref="E45:H45" si="7">-(E38-D38)</f>
        <v>-3.6487500000000015</v>
      </c>
      <c r="F45" s="46">
        <f t="shared" si="7"/>
        <v>-3.2737499999999988</v>
      </c>
      <c r="G45" s="46">
        <f t="shared" si="7"/>
        <v>-3.2737499999999997</v>
      </c>
      <c r="H45" s="46">
        <f t="shared" si="7"/>
        <v>-2.2487499999999998</v>
      </c>
      <c r="I45" s="46">
        <f>-(I38-H38)</f>
        <v>-0.66875000000000018</v>
      </c>
    </row>
    <row r="46" spans="2:12" x14ac:dyDescent="0.15">
      <c r="B46" t="s">
        <v>357</v>
      </c>
      <c r="C46" s="46">
        <f>INDEX('Olin Standalone'!$D$34:$S$144,
MATCH("Interest Expense, Net",'Olin Standalone'!$C$34:$C$144,0),
MATCH(C$33,'Olin Standalone'!$D$62:$S$62,0))</f>
        <v>-187</v>
      </c>
      <c r="D46" s="46">
        <f t="shared" ref="D46:I46" ca="1" si="8">D44+D45</f>
        <v>-158.25123600000001</v>
      </c>
      <c r="E46" s="46">
        <f t="shared" ca="1" si="8"/>
        <v>-155.26849300000003</v>
      </c>
      <c r="F46" s="46">
        <f t="shared" ca="1" si="8"/>
        <v>-154.89349300000003</v>
      </c>
      <c r="G46" s="46">
        <f t="shared" ca="1" si="8"/>
        <v>-154.89349300000003</v>
      </c>
      <c r="H46" s="46">
        <f t="shared" ca="1" si="8"/>
        <v>-139.50945400000003</v>
      </c>
      <c r="I46" s="46">
        <f t="shared" ca="1" si="8"/>
        <v>-123.57041500000001</v>
      </c>
    </row>
    <row r="47" spans="2:12" ht="14" thickBot="1" x14ac:dyDescent="0.2">
      <c r="B47" s="133" t="s">
        <v>198</v>
      </c>
      <c r="C47" s="170">
        <f t="shared" ref="C47:I47" si="9">C39-C40</f>
        <v>2659.7</v>
      </c>
      <c r="D47" s="170">
        <f t="shared" ca="1" si="9"/>
        <v>2388.5111871131321</v>
      </c>
      <c r="E47" s="170">
        <f t="shared" ca="1" si="9"/>
        <v>1953.7498389572481</v>
      </c>
      <c r="F47" s="170">
        <f t="shared" ca="1" si="9"/>
        <v>1332.3775116824515</v>
      </c>
      <c r="G47" s="170">
        <f t="shared" ca="1" si="9"/>
        <v>536.06292542640495</v>
      </c>
      <c r="H47" s="170">
        <f t="shared" ca="1" si="9"/>
        <v>-529.09139747952668</v>
      </c>
      <c r="I47" s="170">
        <f t="shared" ca="1" si="9"/>
        <v>-1780.2827211245653</v>
      </c>
    </row>
    <row r="48" spans="2:12" ht="14" thickTop="1" x14ac:dyDescent="0.15">
      <c r="C48" s="46"/>
      <c r="D48" s="46"/>
      <c r="E48" s="46"/>
      <c r="F48" s="46"/>
      <c r="G48" s="46"/>
      <c r="H48" s="46"/>
      <c r="I48" s="46"/>
    </row>
    <row r="49" spans="1:9" x14ac:dyDescent="0.15">
      <c r="A49" s="174"/>
      <c r="B49" s="172" t="s">
        <v>319</v>
      </c>
      <c r="C49" s="173"/>
      <c r="D49" s="173"/>
      <c r="E49" s="173"/>
      <c r="F49" s="173"/>
      <c r="G49" s="173"/>
      <c r="H49" s="173"/>
      <c r="I49" s="173"/>
    </row>
    <row r="50" spans="1:9" x14ac:dyDescent="0.15">
      <c r="A50" s="2"/>
      <c r="B50" s="2" t="s">
        <v>322</v>
      </c>
      <c r="C50" s="46"/>
      <c r="D50" s="46">
        <f t="shared" ref="D50:I50" si="10">C54</f>
        <v>0</v>
      </c>
      <c r="E50" s="46">
        <f t="shared" ca="1" si="10"/>
        <v>0</v>
      </c>
      <c r="F50" s="46">
        <f t="shared" ca="1" si="10"/>
        <v>0</v>
      </c>
      <c r="G50" s="46">
        <f t="shared" ca="1" si="10"/>
        <v>0</v>
      </c>
      <c r="H50" s="46">
        <f t="shared" ca="1" si="10"/>
        <v>0</v>
      </c>
      <c r="I50" s="46">
        <f t="shared" ca="1" si="10"/>
        <v>0</v>
      </c>
    </row>
    <row r="51" spans="1:9" x14ac:dyDescent="0.15">
      <c r="A51" s="2"/>
      <c r="B51" s="2" t="s">
        <v>330</v>
      </c>
      <c r="C51" s="46"/>
      <c r="D51" s="46">
        <f ca="1">0+SUMIFS('Olin Debt'!$N$16:$N$29,'Olin Debt'!$L$16:$L$29,'Olin Debt'!$B$16,'Olin Debt'!$M$16:$M$29,2026)+IF(OR($C$12=1,UPPER($C$12&amp;"")="YES",UPPER($C$12&amp;"")="Y",UPPER($C$12&amp;"")="TRUE"),MIN(MAX(0,$C$4-(D40-D42)),MAX(0,$C$11-(D50+0+SUMIFS('Olin Debt'!$N$16:$N$29,'Olin Debt'!$L$16:$L$29,'Olin Debt'!$B$16,'Olin Debt'!$M$16:$M$29,2026)-D52))),0)</f>
        <v>109.7</v>
      </c>
      <c r="E51" s="46">
        <f ca="1">0+SUMIFS('Olin Debt'!$N$16:$N$29,'Olin Debt'!$L$16:$L$29,'Olin Debt'!$B$16,'Olin Debt'!$M$16:$M$29,2027)+IF(OR($C$12=1,UPPER($C$12&amp;"")="YES",UPPER($C$12&amp;"")="Y",UPPER($C$12&amp;"")="TRUE"),MIN(MAX(0,$C$4-(E40-E42)),MAX(0,$C$11-(E50+0+SUMIFS('Olin Debt'!$N$16:$N$29,'Olin Debt'!$L$16:$L$29,'Olin Debt'!$B$16,'Olin Debt'!$M$16:$M$29,2027)-E52))),0)</f>
        <v>0</v>
      </c>
      <c r="F51" s="46">
        <f ca="1">0+SUMIFS('Olin Debt'!$N$16:$N$29,'Olin Debt'!$L$16:$L$29,'Olin Debt'!$B$16,'Olin Debt'!$M$16:$M$29,2028)+IF(OR($C$12=1,UPPER($C$12&amp;"")="YES",UPPER($C$12&amp;"")="Y",UPPER($C$12&amp;"")="TRUE"),MIN(MAX(0,$C$4-(F40-F42)),MAX(0,$C$11-(F50+0+SUMIFS('Olin Debt'!$N$16:$N$29,'Olin Debt'!$L$16:$L$29,'Olin Debt'!$B$16,'Olin Debt'!$M$16:$M$29,2028)-F52))),0)</f>
        <v>0</v>
      </c>
      <c r="G51" s="46">
        <f ca="1">0+SUMIFS('Olin Debt'!$N$16:$N$29,'Olin Debt'!$L$16:$L$29,'Olin Debt'!$B$16,'Olin Debt'!$M$16:$M$29,2029)+IF(OR($C$12=1,UPPER($C$12&amp;"")="YES",UPPER($C$12&amp;"")="Y",UPPER($C$12&amp;"")="TRUE"),MIN(MAX(0,$C$4-(G40-G42)),MAX(0,$C$11-(G50+0+SUMIFS('Olin Debt'!$N$16:$N$29,'Olin Debt'!$L$16:$L$29,'Olin Debt'!$B$16,'Olin Debt'!$M$16:$M$29,2029)-G52))),0)</f>
        <v>0</v>
      </c>
      <c r="H51" s="46">
        <f ca="1">H52+SUMIFS('Olin Debt'!$N$16:$N$29,'Olin Debt'!$L$16:$L$29,'Olin Debt'!$B$16,'Olin Debt'!$M$16:$M$29,2030)+IF(OR($C$12=1,UPPER($C$12&amp;"")="YES",UPPER($C$12&amp;"")="Y",UPPER($C$12&amp;"")="TRUE"),MIN(MAX(0,$C$4-(H40-H42)),MAX(0,$C$11-(H50+H52+SUMIFS('Olin Debt'!$N$16:$N$29,'Olin Debt'!$L$16:$L$29,'Olin Debt'!$B$16,'Olin Debt'!$M$16:$M$29,2030)-H52))),0)</f>
        <v>0</v>
      </c>
      <c r="I51" s="46">
        <f ca="1">0+SUMIFS('Olin Debt'!$N$16:$N$29,'Olin Debt'!$L$16:$L$29,'Olin Debt'!$B$16,'Olin Debt'!$M$16:$M$29,2031)+IF(OR($C$12=1,UPPER($C$12&amp;"")="YES",UPPER($C$12&amp;"")="Y",UPPER($C$12&amp;"")="TRUE"),MIN(MAX(0,$C$4-(I40-I42)),MAX(0,$C$11-(I50+0+SUMIFS('Olin Debt'!$N$16:$N$29,'Olin Debt'!$L$16:$L$29,'Olin Debt'!$B$16,'Olin Debt'!$M$16:$M$29,2031)-I52))),0)</f>
        <v>0</v>
      </c>
    </row>
    <row r="52" spans="1:9" x14ac:dyDescent="0.15">
      <c r="A52" s="2"/>
      <c r="B52" s="2" t="s">
        <v>325</v>
      </c>
      <c r="C52" s="46"/>
      <c r="D52" s="46">
        <f>MIN(D50+SUMIFS('Olin Debt'!$N$16:$N$29,'Olin Debt'!$L$16:$L$29,'Olin Debt'!$B$16,'Olin Debt'!$M$16:$M$29,2026),0+SUMIFS('Olin Debt'!$O$16:$O$29,'Olin Debt'!$L$16:$L$29,'Olin Debt'!$B$16,'Olin Debt'!$M$16:$M$29,2026))</f>
        <v>0</v>
      </c>
      <c r="E52" s="46">
        <f ca="1">MIN(E50+SUMIFS('Olin Debt'!$N$16:$N$29,'Olin Debt'!$L$16:$L$29,'Olin Debt'!$B$16,'Olin Debt'!$M$16:$M$29,2027),0+SUMIFS('Olin Debt'!$O$16:$O$29,'Olin Debt'!$L$16:$L$29,'Olin Debt'!$B$16,'Olin Debt'!$M$16:$M$29,2027))</f>
        <v>0</v>
      </c>
      <c r="F52" s="46">
        <f ca="1">MIN(F50+SUMIFS('Olin Debt'!$N$16:$N$29,'Olin Debt'!$L$16:$L$29,'Olin Debt'!$B$16,'Olin Debt'!$M$16:$M$29,2028),0+SUMIFS('Olin Debt'!$O$16:$O$29,'Olin Debt'!$L$16:$L$29,'Olin Debt'!$B$16,'Olin Debt'!$M$16:$M$29,2028))</f>
        <v>0</v>
      </c>
      <c r="G52" s="46">
        <f ca="1">MIN(G50+SUMIFS('Olin Debt'!$N$16:$N$29,'Olin Debt'!$L$16:$L$29,'Olin Debt'!$B$16,'Olin Debt'!$M$16:$M$29,2029),0+SUMIFS('Olin Debt'!$O$16:$O$29,'Olin Debt'!$L$16:$L$29,'Olin Debt'!$B$16,'Olin Debt'!$M$16:$M$29,2029))</f>
        <v>0</v>
      </c>
      <c r="H52" s="46">
        <f ca="1">MIN(H50+SUMIFS('Olin Debt'!$N$16:$N$29,'Olin Debt'!$L$16:$L$29,'Olin Debt'!$B$16,'Olin Debt'!$M$16:$M$29,2030),0+SUMIFS('Olin Debt'!$O$16:$O$29,'Olin Debt'!$L$16:$L$29,'Olin Debt'!$B$16,'Olin Debt'!$M$16:$M$29,2030))</f>
        <v>0</v>
      </c>
      <c r="I52" s="46">
        <f ca="1">MIN(I50+SUMIFS('Olin Debt'!$N$16:$N$29,'Olin Debt'!$L$16:$L$29,'Olin Debt'!$B$16,'Olin Debt'!$M$16:$M$29,2031),0+SUMIFS('Olin Debt'!$O$16:$O$29,'Olin Debt'!$L$16:$L$29,'Olin Debt'!$B$16,'Olin Debt'!$M$16:$M$29,2031))</f>
        <v>0</v>
      </c>
    </row>
    <row r="53" spans="1:9" x14ac:dyDescent="0.15">
      <c r="A53" s="2"/>
      <c r="B53" s="2" t="s">
        <v>326</v>
      </c>
      <c r="C53" s="46"/>
      <c r="D53" s="46">
        <f ca="1">MIN(MAX(0,D50+D51-D52),SUMIFS('Olin Debt'!$P$16:$P$29,'Olin Debt'!$L$16:$L$29,'Olin Debt'!$B$16,'Olin Debt'!$M$16:$M$29,2026)+IF(OR($C$12=1,UPPER($C$12&amp;"")="YES",UPPER($C$12&amp;"")="Y",UPPER($C$12&amp;"")="TRUE"),MAX(0,(D40-D42)-$C$4),0))</f>
        <v>109.7</v>
      </c>
      <c r="E53" s="46">
        <f ca="1">MIN(MAX(0,E50+E51-E52),SUMIFS('Olin Debt'!$P$16:$P$29,'Olin Debt'!$L$16:$L$29,'Olin Debt'!$B$16,'Olin Debt'!$M$16:$M$29,2027)+IF(OR($C$12=1,UPPER($C$12&amp;"")="YES",UPPER($C$12&amp;"")="Y",UPPER($C$12&amp;"")="TRUE"),MAX(0,(E40-E42)-$C$4),0))</f>
        <v>0</v>
      </c>
      <c r="F53" s="46">
        <f ca="1">MIN(MAX(0,F50+F51-F52),SUMIFS('Olin Debt'!$P$16:$P$29,'Olin Debt'!$L$16:$L$29,'Olin Debt'!$B$16,'Olin Debt'!$M$16:$M$29,2028)+IF(OR($C$12=1,UPPER($C$12&amp;"")="YES",UPPER($C$12&amp;"")="Y",UPPER($C$12&amp;"")="TRUE"),MAX(0,(F40-F42)-$C$4),0))</f>
        <v>0</v>
      </c>
      <c r="G53" s="46">
        <f ca="1">MIN(MAX(0,G50+G51-G52),SUMIFS('Olin Debt'!$P$16:$P$29,'Olin Debt'!$L$16:$L$29,'Olin Debt'!$B$16,'Olin Debt'!$M$16:$M$29,2029)+IF(OR($C$12=1,UPPER($C$12&amp;"")="YES",UPPER($C$12&amp;"")="Y",UPPER($C$12&amp;"")="TRUE"),MAX(0,(G40-G42)-$C$4),0))</f>
        <v>0</v>
      </c>
      <c r="H53" s="46">
        <f ca="1">MIN(MAX(0,H50+H51-H52),SUMIFS('Olin Debt'!$P$16:$P$29,'Olin Debt'!$L$16:$L$29,'Olin Debt'!$B$16,'Olin Debt'!$M$16:$M$29,2030)+IF(OR($C$12=1,UPPER($C$12&amp;"")="YES",UPPER($C$12&amp;"")="Y",UPPER($C$12&amp;"")="TRUE"),MAX(0,(H40-H42)-$C$4),0))</f>
        <v>0</v>
      </c>
      <c r="I53" s="46">
        <f ca="1">MIN(MAX(0,I50+I51-I52),SUMIFS('Olin Debt'!$P$16:$P$29,'Olin Debt'!$L$16:$L$29,'Olin Debt'!$B$16,'Olin Debt'!$M$16:$M$29,2031)+IF(OR($C$12=1,UPPER($C$12&amp;"")="YES",UPPER($C$12&amp;"")="Y",UPPER($C$12&amp;"")="TRUE"),MAX(0,(I40-I42)-$C$4),0))</f>
        <v>0</v>
      </c>
    </row>
    <row r="54" spans="1:9" x14ac:dyDescent="0.15">
      <c r="A54" s="2"/>
      <c r="B54" s="2" t="s">
        <v>323</v>
      </c>
      <c r="C54" s="46">
        <f>'Olin Debt'!$E$16</f>
        <v>0</v>
      </c>
      <c r="D54" s="46">
        <f t="shared" ref="D54:I54" ca="1" si="11">D50+D51-D52-D53</f>
        <v>0</v>
      </c>
      <c r="E54" s="46">
        <f t="shared" ca="1" si="11"/>
        <v>0</v>
      </c>
      <c r="F54" s="46">
        <f t="shared" ca="1" si="11"/>
        <v>0</v>
      </c>
      <c r="G54" s="46">
        <f t="shared" ca="1" si="11"/>
        <v>0</v>
      </c>
      <c r="H54" s="46">
        <f t="shared" ca="1" si="11"/>
        <v>0</v>
      </c>
      <c r="I54" s="46">
        <f t="shared" ca="1" si="11"/>
        <v>0</v>
      </c>
    </row>
    <row r="55" spans="1:9" x14ac:dyDescent="0.15">
      <c r="A55" s="45"/>
      <c r="B55" s="45" t="s">
        <v>324</v>
      </c>
      <c r="C55" s="46"/>
      <c r="D55" s="46">
        <f ca="1">-AVERAGE(D50,D54)*'Olin Debt'!$C$16</f>
        <v>0</v>
      </c>
      <c r="E55" s="46">
        <f ca="1">-AVERAGE(E50,E54)*'Olin Debt'!$C$16</f>
        <v>0</v>
      </c>
      <c r="F55" s="46">
        <f ca="1">-AVERAGE(F50,F54)*'Olin Debt'!$C$16</f>
        <v>0</v>
      </c>
      <c r="G55" s="46">
        <f ca="1">-AVERAGE(G50,G54)*'Olin Debt'!$C$16</f>
        <v>0</v>
      </c>
      <c r="H55" s="46">
        <f ca="1">-AVERAGE(H50,H54)*'Olin Debt'!$C$16</f>
        <v>0</v>
      </c>
      <c r="I55" s="46">
        <f ca="1">-AVERAGE(I50,I54)*'Olin Debt'!$C$16</f>
        <v>0</v>
      </c>
    </row>
    <row r="56" spans="1:9" x14ac:dyDescent="0.15">
      <c r="B56" s="2"/>
      <c r="C56" s="46"/>
      <c r="D56" s="46"/>
      <c r="E56" s="46"/>
      <c r="F56" s="46"/>
      <c r="G56" s="46"/>
      <c r="H56" s="46"/>
      <c r="I56" s="46"/>
    </row>
    <row r="57" spans="1:9" x14ac:dyDescent="0.15">
      <c r="A57" s="174"/>
      <c r="B57" s="172" t="s">
        <v>416</v>
      </c>
      <c r="C57" s="173"/>
      <c r="D57" s="173"/>
      <c r="E57" s="173"/>
      <c r="F57" s="173"/>
      <c r="G57" s="173"/>
      <c r="H57" s="173"/>
      <c r="I57" s="173"/>
    </row>
    <row r="58" spans="1:9" x14ac:dyDescent="0.15">
      <c r="A58" s="2"/>
      <c r="B58" s="2" t="s">
        <v>322</v>
      </c>
      <c r="C58" s="46"/>
      <c r="D58" s="46">
        <f t="shared" ref="D58:I58" si="12">C62</f>
        <v>637.79999999999995</v>
      </c>
      <c r="E58" s="46">
        <f t="shared" si="12"/>
        <v>528.09999999999991</v>
      </c>
      <c r="F58" s="46">
        <f t="shared" si="12"/>
        <v>528.09999999999991</v>
      </c>
      <c r="G58" s="46">
        <f t="shared" si="12"/>
        <v>528.09999999999991</v>
      </c>
      <c r="H58" s="46">
        <f t="shared" si="12"/>
        <v>528.09999999999991</v>
      </c>
      <c r="I58" s="46">
        <f t="shared" si="12"/>
        <v>0</v>
      </c>
    </row>
    <row r="59" spans="1:9" x14ac:dyDescent="0.15">
      <c r="A59" s="2"/>
      <c r="B59" s="2" t="s">
        <v>330</v>
      </c>
      <c r="C59" s="46"/>
      <c r="D59" s="46">
        <f>0+SUMIFS('Olin Debt'!$N$16:$N$29,'Olin Debt'!$L$16:$L$29,'Olin Debt'!$B$17,'Olin Debt'!$M$16:$M$29,2026)</f>
        <v>0</v>
      </c>
      <c r="E59" s="46">
        <f>0+SUMIFS('Olin Debt'!$N$16:$N$29,'Olin Debt'!$L$16:$L$29,'Olin Debt'!$B$17,'Olin Debt'!$M$16:$M$29,2027)</f>
        <v>0</v>
      </c>
      <c r="F59" s="46">
        <f>0+SUMIFS('Olin Debt'!$N$16:$N$29,'Olin Debt'!$L$16:$L$29,'Olin Debt'!$B$17,'Olin Debt'!$M$16:$M$29,2028)</f>
        <v>0</v>
      </c>
      <c r="G59" s="46">
        <f>0+SUMIFS('Olin Debt'!$N$16:$N$29,'Olin Debt'!$L$16:$L$29,'Olin Debt'!$B$17,'Olin Debt'!$M$16:$M$29,2029)</f>
        <v>0</v>
      </c>
      <c r="H59" s="46">
        <f>0+SUMIFS('Olin Debt'!$N$16:$N$29,'Olin Debt'!$L$16:$L$29,'Olin Debt'!$B$17,'Olin Debt'!$M$16:$M$29,2030)</f>
        <v>0</v>
      </c>
      <c r="I59" s="46">
        <f>0+SUMIFS('Olin Debt'!$N$16:$N$29,'Olin Debt'!$L$16:$L$29,'Olin Debt'!$B$17,'Olin Debt'!$M$16:$M$29,2031)</f>
        <v>0</v>
      </c>
    </row>
    <row r="60" spans="1:9" x14ac:dyDescent="0.15">
      <c r="A60" s="2"/>
      <c r="B60" s="2" t="s">
        <v>325</v>
      </c>
      <c r="C60" s="46"/>
      <c r="D60" s="46">
        <f>MIN(D58+SUMIFS('Olin Debt'!$N$16:$N$29,'Olin Debt'!$L$16:$L$29,'Olin Debt'!$B$17,'Olin Debt'!$M$16:$M$29,2026),0+SUMIFS('Olin Debt'!$O$16:$O$29,'Olin Debt'!$L$16:$L$29,'Olin Debt'!$B$17,'Olin Debt'!$M$16:$M$29,2026))</f>
        <v>109.7</v>
      </c>
      <c r="E60" s="46">
        <f>MIN(E58+SUMIFS('Olin Debt'!$N$16:$N$29,'Olin Debt'!$L$16:$L$29,'Olin Debt'!$B$17,'Olin Debt'!$M$16:$M$29,2027),0+SUMIFS('Olin Debt'!$O$16:$O$29,'Olin Debt'!$L$16:$L$29,'Olin Debt'!$B$17,'Olin Debt'!$M$16:$M$29,2027))</f>
        <v>0</v>
      </c>
      <c r="F60" s="46">
        <f>MIN(F58+SUMIFS('Olin Debt'!$N$16:$N$29,'Olin Debt'!$L$16:$L$29,'Olin Debt'!$B$17,'Olin Debt'!$M$16:$M$29,2028),0+SUMIFS('Olin Debt'!$O$16:$O$29,'Olin Debt'!$L$16:$L$29,'Olin Debt'!$B$17,'Olin Debt'!$M$16:$M$29,2028))</f>
        <v>0</v>
      </c>
      <c r="G60" s="46">
        <f>MIN(G58+SUMIFS('Olin Debt'!$N$16:$N$29,'Olin Debt'!$L$16:$L$29,'Olin Debt'!$B$17,'Olin Debt'!$M$16:$M$29,2029),0+SUMIFS('Olin Debt'!$O$16:$O$29,'Olin Debt'!$L$16:$L$29,'Olin Debt'!$B$17,'Olin Debt'!$M$16:$M$29,2029))</f>
        <v>0</v>
      </c>
      <c r="H60" s="46">
        <f>MIN(H58+SUMIFS('Olin Debt'!$N$16:$N$29,'Olin Debt'!$L$16:$L$29,'Olin Debt'!$B$17,'Olin Debt'!$M$16:$M$29,2030),0+SUMIFS('Olin Debt'!$O$16:$O$29,'Olin Debt'!$L$16:$L$29,'Olin Debt'!$B$17,'Olin Debt'!$M$16:$M$29,2030))</f>
        <v>528.09999999999991</v>
      </c>
      <c r="I60" s="46">
        <f>MIN(I58+SUMIFS('Olin Debt'!$N$16:$N$29,'Olin Debt'!$L$16:$L$29,'Olin Debt'!$B$17,'Olin Debt'!$M$16:$M$29,2031),0+SUMIFS('Olin Debt'!$O$16:$O$29,'Olin Debt'!$L$16:$L$29,'Olin Debt'!$B$17,'Olin Debt'!$M$16:$M$29,2031))</f>
        <v>0</v>
      </c>
    </row>
    <row r="61" spans="1:9" x14ac:dyDescent="0.15">
      <c r="A61" s="2"/>
      <c r="B61" s="2" t="s">
        <v>326</v>
      </c>
      <c r="C61" s="46"/>
      <c r="D61" s="46">
        <f>MIN(MAX(0,D58+D59-D60),SUMIFS('Olin Debt'!$P$16:$P$29,'Olin Debt'!$L$16:$L$29,'Olin Debt'!$B$17,'Olin Debt'!$M$16:$M$29,2026))</f>
        <v>0</v>
      </c>
      <c r="E61" s="46">
        <f>MIN(MAX(0,E58+E59-E60),SUMIFS('Olin Debt'!$P$16:$P$29,'Olin Debt'!$L$16:$L$29,'Olin Debt'!$B$17,'Olin Debt'!$M$16:$M$29,2027))</f>
        <v>0</v>
      </c>
      <c r="F61" s="46">
        <f>MIN(MAX(0,F58+F59-F60),SUMIFS('Olin Debt'!$P$16:$P$29,'Olin Debt'!$L$16:$L$29,'Olin Debt'!$B$17,'Olin Debt'!$M$16:$M$29,2028))</f>
        <v>0</v>
      </c>
      <c r="G61" s="46">
        <f>MIN(MAX(0,G58+G59-G60),SUMIFS('Olin Debt'!$P$16:$P$29,'Olin Debt'!$L$16:$L$29,'Olin Debt'!$B$17,'Olin Debt'!$M$16:$M$29,2029))</f>
        <v>0</v>
      </c>
      <c r="H61" s="46">
        <f>MIN(MAX(0,H58+H59-H60),SUMIFS('Olin Debt'!$P$16:$P$29,'Olin Debt'!$L$16:$L$29,'Olin Debt'!$B$17,'Olin Debt'!$M$16:$M$29,2030))</f>
        <v>0</v>
      </c>
      <c r="I61" s="46">
        <f>MIN(MAX(0,I58+I59-I60),SUMIFS('Olin Debt'!$P$16:$P$29,'Olin Debt'!$L$16:$L$29,'Olin Debt'!$B$17,'Olin Debt'!$M$16:$M$29,2031))</f>
        <v>0</v>
      </c>
    </row>
    <row r="62" spans="1:9" x14ac:dyDescent="0.15">
      <c r="A62" s="2"/>
      <c r="B62" s="2" t="s">
        <v>323</v>
      </c>
      <c r="C62" s="46">
        <f>'Olin Debt'!$E$17</f>
        <v>637.79999999999995</v>
      </c>
      <c r="D62" s="46">
        <f t="shared" ref="D62:I62" si="13">D58+D59-D60-D61</f>
        <v>528.09999999999991</v>
      </c>
      <c r="E62" s="46">
        <f t="shared" si="13"/>
        <v>528.09999999999991</v>
      </c>
      <c r="F62" s="46">
        <f t="shared" si="13"/>
        <v>528.09999999999991</v>
      </c>
      <c r="G62" s="46">
        <f t="shared" si="13"/>
        <v>528.09999999999991</v>
      </c>
      <c r="H62" s="46">
        <f t="shared" si="13"/>
        <v>0</v>
      </c>
      <c r="I62" s="46">
        <f t="shared" si="13"/>
        <v>0</v>
      </c>
    </row>
    <row r="63" spans="1:9" x14ac:dyDescent="0.15">
      <c r="A63" s="45"/>
      <c r="B63" s="45" t="s">
        <v>324</v>
      </c>
      <c r="C63" s="46"/>
      <c r="D63" s="46">
        <f>-AVERAGE(D58,D62)*'Olin Debt'!$C$17</f>
        <v>-31.700820999999994</v>
      </c>
      <c r="E63" s="46">
        <f>-AVERAGE(E58,E62)*'Olin Debt'!$C$17</f>
        <v>-28.718077999999995</v>
      </c>
      <c r="F63" s="46">
        <f>-AVERAGE(F58,F62)*'Olin Debt'!$C$17</f>
        <v>-28.718077999999995</v>
      </c>
      <c r="G63" s="46">
        <f>-AVERAGE(G58,G62)*'Olin Debt'!$C$17</f>
        <v>-28.718077999999995</v>
      </c>
      <c r="H63" s="46">
        <f>-AVERAGE(H58,H62)*'Olin Debt'!$C$17</f>
        <v>-14.359038999999997</v>
      </c>
      <c r="I63" s="46">
        <f>-AVERAGE(I58,I62)*'Olin Debt'!$C$17</f>
        <v>0</v>
      </c>
    </row>
    <row r="64" spans="1:9" x14ac:dyDescent="0.15">
      <c r="B64" s="2"/>
      <c r="C64" s="46"/>
      <c r="D64" s="46"/>
      <c r="E64" s="46"/>
      <c r="F64" s="46"/>
      <c r="G64" s="46"/>
      <c r="H64" s="46"/>
      <c r="I64" s="46"/>
    </row>
    <row r="65" spans="1:9" x14ac:dyDescent="0.15">
      <c r="A65" s="174"/>
      <c r="B65" s="172" t="s">
        <v>320</v>
      </c>
      <c r="C65" s="173"/>
      <c r="D65" s="173"/>
      <c r="E65" s="173"/>
      <c r="F65" s="173"/>
      <c r="G65" s="173"/>
      <c r="H65" s="173"/>
      <c r="I65" s="173"/>
    </row>
    <row r="66" spans="1:9" x14ac:dyDescent="0.15">
      <c r="A66" s="2"/>
      <c r="B66" s="2" t="s">
        <v>322</v>
      </c>
      <c r="C66" s="46"/>
      <c r="D66" s="46">
        <f t="shared" ref="D66:I66" si="14">C70</f>
        <v>669.3</v>
      </c>
      <c r="E66" s="46">
        <f t="shared" si="14"/>
        <v>669.3</v>
      </c>
      <c r="F66" s="46">
        <f t="shared" si="14"/>
        <v>669.3</v>
      </c>
      <c r="G66" s="46">
        <f t="shared" si="14"/>
        <v>669.3</v>
      </c>
      <c r="H66" s="46">
        <f t="shared" si="14"/>
        <v>669.3</v>
      </c>
      <c r="I66" s="46">
        <f t="shared" si="14"/>
        <v>669.3</v>
      </c>
    </row>
    <row r="67" spans="1:9" x14ac:dyDescent="0.15">
      <c r="A67" s="2"/>
      <c r="B67" s="2" t="s">
        <v>330</v>
      </c>
      <c r="C67" s="46"/>
      <c r="D67" s="46">
        <f>0+SUMIFS('Olin Debt'!$N$16:$N$29,'Olin Debt'!$L$16:$L$29,'Olin Debt'!$B$18,'Olin Debt'!$M$16:$M$29,2026)</f>
        <v>0</v>
      </c>
      <c r="E67" s="46">
        <f>0+SUMIFS('Olin Debt'!$N$16:$N$29,'Olin Debt'!$L$16:$L$29,'Olin Debt'!$B$18,'Olin Debt'!$M$16:$M$29,2027)</f>
        <v>0</v>
      </c>
      <c r="F67" s="46">
        <f>0+SUMIFS('Olin Debt'!$N$16:$N$29,'Olin Debt'!$L$16:$L$29,'Olin Debt'!$B$18,'Olin Debt'!$M$16:$M$29,2028)</f>
        <v>0</v>
      </c>
      <c r="G67" s="46">
        <f>G68+SUMIFS('Olin Debt'!$N$16:$N$29,'Olin Debt'!$L$16:$L$29,'Olin Debt'!$B$18,'Olin Debt'!$M$16:$M$29,2029)</f>
        <v>669.3</v>
      </c>
      <c r="H67" s="46">
        <f>0+SUMIFS('Olin Debt'!$N$16:$N$29,'Olin Debt'!$L$16:$L$29,'Olin Debt'!$B$18,'Olin Debt'!$M$16:$M$29,2030)</f>
        <v>0</v>
      </c>
      <c r="I67" s="46">
        <f>0+SUMIFS('Olin Debt'!$N$16:$N$29,'Olin Debt'!$L$16:$L$29,'Olin Debt'!$B$18,'Olin Debt'!$M$16:$M$29,2031)</f>
        <v>0</v>
      </c>
    </row>
    <row r="68" spans="1:9" x14ac:dyDescent="0.15">
      <c r="A68" s="2"/>
      <c r="B68" s="2" t="s">
        <v>325</v>
      </c>
      <c r="C68" s="46"/>
      <c r="D68" s="46">
        <f>MIN(D66+SUMIFS('Olin Debt'!$N$16:$N$29,'Olin Debt'!$L$16:$L$29,'Olin Debt'!$B$18,'Olin Debt'!$M$16:$M$29,2026),0+SUMIFS('Olin Debt'!$O$16:$O$29,'Olin Debt'!$L$16:$L$29,'Olin Debt'!$B$18,'Olin Debt'!$M$16:$M$29,2026))</f>
        <v>0</v>
      </c>
      <c r="E68" s="46">
        <f>MIN(E66+SUMIFS('Olin Debt'!$N$16:$N$29,'Olin Debt'!$L$16:$L$29,'Olin Debt'!$B$18,'Olin Debt'!$M$16:$M$29,2027),0+SUMIFS('Olin Debt'!$O$16:$O$29,'Olin Debt'!$L$16:$L$29,'Olin Debt'!$B$18,'Olin Debt'!$M$16:$M$29,2027))</f>
        <v>0</v>
      </c>
      <c r="F68" s="46">
        <f>MIN(F66+SUMIFS('Olin Debt'!$N$16:$N$29,'Olin Debt'!$L$16:$L$29,'Olin Debt'!$B$18,'Olin Debt'!$M$16:$M$29,2028),0+SUMIFS('Olin Debt'!$O$16:$O$29,'Olin Debt'!$L$16:$L$29,'Olin Debt'!$B$18,'Olin Debt'!$M$16:$M$29,2028))</f>
        <v>0</v>
      </c>
      <c r="G68" s="46">
        <f>MIN(G66+SUMIFS('Olin Debt'!$N$16:$N$29,'Olin Debt'!$L$16:$L$29,'Olin Debt'!$B$18,'Olin Debt'!$M$16:$M$29,2029),G66+SUMIFS('Olin Debt'!$O$16:$O$29,'Olin Debt'!$L$16:$L$29,'Olin Debt'!$B$18,'Olin Debt'!$M$16:$M$29,2029))</f>
        <v>669.3</v>
      </c>
      <c r="H68" s="46">
        <f>MIN(H66+SUMIFS('Olin Debt'!$N$16:$N$29,'Olin Debt'!$L$16:$L$29,'Olin Debt'!$B$18,'Olin Debt'!$M$16:$M$29,2030),0+SUMIFS('Olin Debt'!$O$16:$O$29,'Olin Debt'!$L$16:$L$29,'Olin Debt'!$B$18,'Olin Debt'!$M$16:$M$29,2030))</f>
        <v>0</v>
      </c>
      <c r="I68" s="46">
        <f>MIN(I66+SUMIFS('Olin Debt'!$N$16:$N$29,'Olin Debt'!$L$16:$L$29,'Olin Debt'!$B$18,'Olin Debt'!$M$16:$M$29,2031),0+SUMIFS('Olin Debt'!$O$16:$O$29,'Olin Debt'!$L$16:$L$29,'Olin Debt'!$B$18,'Olin Debt'!$M$16:$M$29,2031))</f>
        <v>0</v>
      </c>
    </row>
    <row r="69" spans="1:9" x14ac:dyDescent="0.15">
      <c r="A69" s="2"/>
      <c r="B69" s="2" t="s">
        <v>326</v>
      </c>
      <c r="C69" s="46"/>
      <c r="D69" s="46">
        <f>MIN(MAX(0,D66+D67-D68),SUMIFS('Olin Debt'!$P$16:$P$29,'Olin Debt'!$L$16:$L$29,'Olin Debt'!$B$18,'Olin Debt'!$M$16:$M$29,2026))</f>
        <v>0</v>
      </c>
      <c r="E69" s="46">
        <f>MIN(MAX(0,E66+E67-E68),SUMIFS('Olin Debt'!$P$16:$P$29,'Olin Debt'!$L$16:$L$29,'Olin Debt'!$B$18,'Olin Debt'!$M$16:$M$29,2027))</f>
        <v>0</v>
      </c>
      <c r="F69" s="46">
        <f>MIN(MAX(0,F66+F67-F68),SUMIFS('Olin Debt'!$P$16:$P$29,'Olin Debt'!$L$16:$L$29,'Olin Debt'!$B$18,'Olin Debt'!$M$16:$M$29,2028))</f>
        <v>0</v>
      </c>
      <c r="G69" s="46">
        <f>MIN(MAX(0,G66+G67-G68),SUMIFS('Olin Debt'!$P$16:$P$29,'Olin Debt'!$L$16:$L$29,'Olin Debt'!$B$18,'Olin Debt'!$M$16:$M$29,2029))</f>
        <v>0</v>
      </c>
      <c r="H69" s="46">
        <f>MIN(MAX(0,H66+H67-H68),SUMIFS('Olin Debt'!$P$16:$P$29,'Olin Debt'!$L$16:$L$29,'Olin Debt'!$B$18,'Olin Debt'!$M$16:$M$29,2030))</f>
        <v>0</v>
      </c>
      <c r="I69" s="46">
        <f>MIN(MAX(0,I66+I67-I68),SUMIFS('Olin Debt'!$P$16:$P$29,'Olin Debt'!$L$16:$L$29,'Olin Debt'!$B$18,'Olin Debt'!$M$16:$M$29,2031))</f>
        <v>0</v>
      </c>
    </row>
    <row r="70" spans="1:9" x14ac:dyDescent="0.15">
      <c r="A70" s="2"/>
      <c r="B70" s="2" t="s">
        <v>323</v>
      </c>
      <c r="C70" s="46">
        <f>'Olin Debt'!$E$18</f>
        <v>669.3</v>
      </c>
      <c r="D70" s="46">
        <f t="shared" ref="D70:I70" si="15">D66+D67-D68-D69</f>
        <v>669.3</v>
      </c>
      <c r="E70" s="46">
        <f t="shared" si="15"/>
        <v>669.3</v>
      </c>
      <c r="F70" s="46">
        <f t="shared" si="15"/>
        <v>669.3</v>
      </c>
      <c r="G70" s="46">
        <f t="shared" si="15"/>
        <v>669.3</v>
      </c>
      <c r="H70" s="46">
        <f t="shared" si="15"/>
        <v>669.3</v>
      </c>
      <c r="I70" s="46">
        <f t="shared" si="15"/>
        <v>669.3</v>
      </c>
    </row>
    <row r="71" spans="1:9" x14ac:dyDescent="0.15">
      <c r="A71" s="45"/>
      <c r="B71" s="45" t="s">
        <v>324</v>
      </c>
      <c r="C71" s="46"/>
      <c r="D71" s="46">
        <f>-AVERAGE(D66,D70)*'Olin Debt'!$C$18</f>
        <v>-37.648125</v>
      </c>
      <c r="E71" s="46">
        <f>-AVERAGE(E66,E70)*'Olin Debt'!$C$18</f>
        <v>-37.648125</v>
      </c>
      <c r="F71" s="46">
        <f>-AVERAGE(F66,F70)*'Olin Debt'!$C$18</f>
        <v>-37.648125</v>
      </c>
      <c r="G71" s="46">
        <f>-AVERAGE(G66,G70)*'Olin Debt'!$C$18</f>
        <v>-37.648125</v>
      </c>
      <c r="H71" s="46">
        <f>-AVERAGE(H66,H70)*'Olin Debt'!$C$18</f>
        <v>-37.648125</v>
      </c>
      <c r="I71" s="46">
        <f>-AVERAGE(I66,I70)*'Olin Debt'!$C$18</f>
        <v>-37.648125</v>
      </c>
    </row>
    <row r="72" spans="1:9" x14ac:dyDescent="0.15">
      <c r="B72" s="2"/>
      <c r="C72" s="46"/>
      <c r="D72" s="46"/>
      <c r="E72" s="46"/>
      <c r="F72" s="46"/>
      <c r="G72" s="46"/>
      <c r="H72" s="46"/>
      <c r="I72" s="46"/>
    </row>
    <row r="73" spans="1:9" x14ac:dyDescent="0.15">
      <c r="A73" s="174"/>
      <c r="B73" s="172" t="s">
        <v>421</v>
      </c>
      <c r="C73" s="173"/>
      <c r="D73" s="173"/>
      <c r="E73" s="173"/>
      <c r="F73" s="173"/>
      <c r="G73" s="173"/>
      <c r="H73" s="173"/>
      <c r="I73" s="173"/>
    </row>
    <row r="74" spans="1:9" x14ac:dyDescent="0.15">
      <c r="A74" s="2"/>
      <c r="B74" s="2" t="s">
        <v>322</v>
      </c>
      <c r="C74" s="46"/>
      <c r="D74" s="46">
        <f t="shared" ref="D74:I74" si="16">C78</f>
        <v>515.29999999999995</v>
      </c>
      <c r="E74" s="46">
        <f t="shared" si="16"/>
        <v>515.29999999999995</v>
      </c>
      <c r="F74" s="46">
        <f t="shared" si="16"/>
        <v>515.29999999999995</v>
      </c>
      <c r="G74" s="46">
        <f t="shared" si="16"/>
        <v>515.29999999999995</v>
      </c>
      <c r="H74" s="46">
        <f t="shared" si="16"/>
        <v>515.29999999999995</v>
      </c>
      <c r="I74" s="46">
        <f t="shared" si="16"/>
        <v>515.29999999999995</v>
      </c>
    </row>
    <row r="75" spans="1:9" x14ac:dyDescent="0.15">
      <c r="A75" s="2"/>
      <c r="B75" s="2" t="s">
        <v>330</v>
      </c>
      <c r="C75" s="46"/>
      <c r="D75" s="46">
        <f>0+SUMIFS('Olin Debt'!$N$16:$N$29,'Olin Debt'!$L$16:$L$29,'Olin Debt'!$B$19,'Olin Debt'!$M$16:$M$29,2026)</f>
        <v>0</v>
      </c>
      <c r="E75" s="46">
        <f>0+SUMIFS('Olin Debt'!$N$16:$N$29,'Olin Debt'!$L$16:$L$29,'Olin Debt'!$B$19,'Olin Debt'!$M$16:$M$29,2027)</f>
        <v>0</v>
      </c>
      <c r="F75" s="46">
        <f>0+SUMIFS('Olin Debt'!$N$16:$N$29,'Olin Debt'!$L$16:$L$29,'Olin Debt'!$B$19,'Olin Debt'!$M$16:$M$29,2028)</f>
        <v>0</v>
      </c>
      <c r="G75" s="46">
        <f>0+SUMIFS('Olin Debt'!$N$16:$N$29,'Olin Debt'!$L$16:$L$29,'Olin Debt'!$B$19,'Olin Debt'!$M$16:$M$29,2029)</f>
        <v>0</v>
      </c>
      <c r="H75" s="46">
        <f>H76+SUMIFS('Olin Debt'!$N$16:$N$29,'Olin Debt'!$L$16:$L$29,'Olin Debt'!$B$19,'Olin Debt'!$M$16:$M$29,2030)</f>
        <v>515.29999999999995</v>
      </c>
      <c r="I75" s="46">
        <f>0+SUMIFS('Olin Debt'!$N$16:$N$29,'Olin Debt'!$L$16:$L$29,'Olin Debt'!$B$19,'Olin Debt'!$M$16:$M$29,2031)</f>
        <v>0</v>
      </c>
    </row>
    <row r="76" spans="1:9" x14ac:dyDescent="0.15">
      <c r="A76" s="2"/>
      <c r="B76" s="2" t="s">
        <v>325</v>
      </c>
      <c r="C76" s="46"/>
      <c r="D76" s="46">
        <f>MIN(D74+SUMIFS('Olin Debt'!$N$16:$N$29,'Olin Debt'!$L$16:$L$29,'Olin Debt'!$B$19,'Olin Debt'!$M$16:$M$29,2026),0+SUMIFS('Olin Debt'!$O$16:$O$29,'Olin Debt'!$L$16:$L$29,'Olin Debt'!$B$19,'Olin Debt'!$M$16:$M$29,2026))</f>
        <v>0</v>
      </c>
      <c r="E76" s="46">
        <f>MIN(E74+SUMIFS('Olin Debt'!$N$16:$N$29,'Olin Debt'!$L$16:$L$29,'Olin Debt'!$B$19,'Olin Debt'!$M$16:$M$29,2027),0+SUMIFS('Olin Debt'!$O$16:$O$29,'Olin Debt'!$L$16:$L$29,'Olin Debt'!$B$19,'Olin Debt'!$M$16:$M$29,2027))</f>
        <v>0</v>
      </c>
      <c r="F76" s="46">
        <f>MIN(F74+SUMIFS('Olin Debt'!$N$16:$N$29,'Olin Debt'!$L$16:$L$29,'Olin Debt'!$B$19,'Olin Debt'!$M$16:$M$29,2028),0+SUMIFS('Olin Debt'!$O$16:$O$29,'Olin Debt'!$L$16:$L$29,'Olin Debt'!$B$19,'Olin Debt'!$M$16:$M$29,2028))</f>
        <v>0</v>
      </c>
      <c r="G76" s="46">
        <f>MIN(G74+SUMIFS('Olin Debt'!$N$16:$N$29,'Olin Debt'!$L$16:$L$29,'Olin Debt'!$B$19,'Olin Debt'!$M$16:$M$29,2029),0+SUMIFS('Olin Debt'!$O$16:$O$29,'Olin Debt'!$L$16:$L$29,'Olin Debt'!$B$19,'Olin Debt'!$M$16:$M$29,2029))</f>
        <v>0</v>
      </c>
      <c r="H76" s="46">
        <f>MIN(H74+SUMIFS('Olin Debt'!$N$16:$N$29,'Olin Debt'!$L$16:$L$29,'Olin Debt'!$B$19,'Olin Debt'!$M$16:$M$29,2030),H74+SUMIFS('Olin Debt'!$O$16:$O$29,'Olin Debt'!$L$16:$L$29,'Olin Debt'!$B$19,'Olin Debt'!$M$16:$M$29,2030))</f>
        <v>515.29999999999995</v>
      </c>
      <c r="I76" s="46">
        <f>MIN(I74+SUMIFS('Olin Debt'!$N$16:$N$29,'Olin Debt'!$L$16:$L$29,'Olin Debt'!$B$19,'Olin Debt'!$M$16:$M$29,2031),0+SUMIFS('Olin Debt'!$O$16:$O$29,'Olin Debt'!$L$16:$L$29,'Olin Debt'!$B$19,'Olin Debt'!$M$16:$M$29,2031))</f>
        <v>0</v>
      </c>
    </row>
    <row r="77" spans="1:9" x14ac:dyDescent="0.15">
      <c r="A77" s="2"/>
      <c r="B77" s="2" t="s">
        <v>326</v>
      </c>
      <c r="C77" s="46"/>
      <c r="D77" s="46">
        <f>MIN(MAX(0,D74+D75-D76),SUMIFS('Olin Debt'!$P$16:$P$29,'Olin Debt'!$L$16:$L$29,'Olin Debt'!$B$19,'Olin Debt'!$M$16:$M$29,2026))</f>
        <v>0</v>
      </c>
      <c r="E77" s="46">
        <f>MIN(MAX(0,E74+E75-E76),SUMIFS('Olin Debt'!$P$16:$P$29,'Olin Debt'!$L$16:$L$29,'Olin Debt'!$B$19,'Olin Debt'!$M$16:$M$29,2027))</f>
        <v>0</v>
      </c>
      <c r="F77" s="46">
        <f>MIN(MAX(0,F74+F75-F76),SUMIFS('Olin Debt'!$P$16:$P$29,'Olin Debt'!$L$16:$L$29,'Olin Debt'!$B$19,'Olin Debt'!$M$16:$M$29,2028))</f>
        <v>0</v>
      </c>
      <c r="G77" s="46">
        <f>MIN(MAX(0,G74+G75-G76),SUMIFS('Olin Debt'!$P$16:$P$29,'Olin Debt'!$L$16:$L$29,'Olin Debt'!$B$19,'Olin Debt'!$M$16:$M$29,2029))</f>
        <v>0</v>
      </c>
      <c r="H77" s="46">
        <f>MIN(MAX(0,H74+H75-H76),SUMIFS('Olin Debt'!$P$16:$P$29,'Olin Debt'!$L$16:$L$29,'Olin Debt'!$B$19,'Olin Debt'!$M$16:$M$29,2030))</f>
        <v>0</v>
      </c>
      <c r="I77" s="46">
        <f>MIN(MAX(0,I74+I75-I76),SUMIFS('Olin Debt'!$P$16:$P$29,'Olin Debt'!$L$16:$L$29,'Olin Debt'!$B$19,'Olin Debt'!$M$16:$M$29,2031))</f>
        <v>0</v>
      </c>
    </row>
    <row r="78" spans="1:9" x14ac:dyDescent="0.15">
      <c r="A78" s="2"/>
      <c r="B78" s="2" t="s">
        <v>323</v>
      </c>
      <c r="C78" s="46">
        <f>'Olin Debt'!$E$19</f>
        <v>515.29999999999995</v>
      </c>
      <c r="D78" s="46">
        <f t="shared" ref="D78:I78" si="17">D74+D75-D76-D77</f>
        <v>515.29999999999995</v>
      </c>
      <c r="E78" s="46">
        <f t="shared" si="17"/>
        <v>515.29999999999995</v>
      </c>
      <c r="F78" s="46">
        <f t="shared" si="17"/>
        <v>515.29999999999995</v>
      </c>
      <c r="G78" s="46">
        <f t="shared" si="17"/>
        <v>515.29999999999995</v>
      </c>
      <c r="H78" s="46">
        <f t="shared" si="17"/>
        <v>515.29999999999995</v>
      </c>
      <c r="I78" s="46">
        <f t="shared" si="17"/>
        <v>515.29999999999995</v>
      </c>
    </row>
    <row r="79" spans="1:9" x14ac:dyDescent="0.15">
      <c r="A79" s="45"/>
      <c r="B79" s="45" t="s">
        <v>324</v>
      </c>
      <c r="C79" s="46"/>
      <c r="D79" s="46">
        <f>-AVERAGE(D74,D78)*'Olin Debt'!$C$19</f>
        <v>-25.765000000000001</v>
      </c>
      <c r="E79" s="46">
        <f>-AVERAGE(E74,E78)*'Olin Debt'!$C$19</f>
        <v>-25.765000000000001</v>
      </c>
      <c r="F79" s="46">
        <f>-AVERAGE(F74,F78)*'Olin Debt'!$C$19</f>
        <v>-25.765000000000001</v>
      </c>
      <c r="G79" s="46">
        <f>-AVERAGE(G74,G78)*'Olin Debt'!$C$19</f>
        <v>-25.765000000000001</v>
      </c>
      <c r="H79" s="46">
        <f>-AVERAGE(H74,H78)*'Olin Debt'!$C$19</f>
        <v>-25.765000000000001</v>
      </c>
      <c r="I79" s="46">
        <f>-AVERAGE(I74,I78)*'Olin Debt'!$C$19</f>
        <v>-25.765000000000001</v>
      </c>
    </row>
    <row r="80" spans="1:9" x14ac:dyDescent="0.15">
      <c r="B80" s="2"/>
      <c r="C80" s="46"/>
      <c r="D80" s="46"/>
      <c r="E80" s="46"/>
      <c r="F80" s="46"/>
      <c r="G80" s="46"/>
      <c r="H80" s="46"/>
      <c r="I80" s="46"/>
    </row>
    <row r="81" spans="1:9" x14ac:dyDescent="0.15">
      <c r="A81" s="174"/>
      <c r="B81" s="172" t="s">
        <v>415</v>
      </c>
      <c r="C81" s="173"/>
      <c r="D81" s="173"/>
      <c r="E81" s="173"/>
      <c r="F81" s="173"/>
      <c r="G81" s="173"/>
      <c r="H81" s="173"/>
      <c r="I81" s="173"/>
    </row>
    <row r="82" spans="1:9" x14ac:dyDescent="0.15">
      <c r="A82" s="2"/>
      <c r="B82" s="2" t="s">
        <v>322</v>
      </c>
      <c r="C82" s="46"/>
      <c r="D82" s="46">
        <f t="shared" ref="D82:I82" si="18">C86</f>
        <v>600</v>
      </c>
      <c r="E82" s="46">
        <f t="shared" si="18"/>
        <v>600</v>
      </c>
      <c r="F82" s="46">
        <f t="shared" si="18"/>
        <v>600</v>
      </c>
      <c r="G82" s="46">
        <f t="shared" si="18"/>
        <v>600</v>
      </c>
      <c r="H82" s="46">
        <f t="shared" si="18"/>
        <v>600</v>
      </c>
      <c r="I82" s="46">
        <f t="shared" si="18"/>
        <v>600</v>
      </c>
    </row>
    <row r="83" spans="1:9" x14ac:dyDescent="0.15">
      <c r="A83" s="2"/>
      <c r="B83" s="2" t="s">
        <v>330</v>
      </c>
      <c r="C83" s="46"/>
      <c r="D83" s="46">
        <f>0+SUMIFS('Olin Debt'!$N$16:$N$29,'Olin Debt'!$L$16:$L$29,'Olin Debt'!$B$20,'Olin Debt'!$M$16:$M$29,2026)</f>
        <v>0</v>
      </c>
      <c r="E83" s="46">
        <f>0+SUMIFS('Olin Debt'!$N$16:$N$29,'Olin Debt'!$L$16:$L$29,'Olin Debt'!$B$20,'Olin Debt'!$M$16:$M$29,2027)</f>
        <v>0</v>
      </c>
      <c r="F83" s="46">
        <f>0+SUMIFS('Olin Debt'!$N$16:$N$29,'Olin Debt'!$L$16:$L$29,'Olin Debt'!$B$20,'Olin Debt'!$M$16:$M$29,2028)</f>
        <v>0</v>
      </c>
      <c r="G83" s="46">
        <f>0+SUMIFS('Olin Debt'!$N$16:$N$29,'Olin Debt'!$L$16:$L$29,'Olin Debt'!$B$20,'Olin Debt'!$M$16:$M$29,2029)</f>
        <v>0</v>
      </c>
      <c r="H83" s="46">
        <f>0+SUMIFS('Olin Debt'!$N$16:$N$29,'Olin Debt'!$L$16:$L$29,'Olin Debt'!$B$20,'Olin Debt'!$M$16:$M$29,2030)</f>
        <v>0</v>
      </c>
      <c r="I83" s="46">
        <f>0+SUMIFS('Olin Debt'!$N$16:$N$29,'Olin Debt'!$L$16:$L$29,'Olin Debt'!$B$20,'Olin Debt'!$M$16:$M$29,2031)</f>
        <v>0</v>
      </c>
    </row>
    <row r="84" spans="1:9" x14ac:dyDescent="0.15">
      <c r="A84" s="2"/>
      <c r="B84" s="2" t="s">
        <v>325</v>
      </c>
      <c r="C84" s="46"/>
      <c r="D84" s="46">
        <f>MIN(D82+SUMIFS('Olin Debt'!$N$16:$N$29,'Olin Debt'!$L$16:$L$29,'Olin Debt'!$B$20,'Olin Debt'!$M$16:$M$29,2026),0+SUMIFS('Olin Debt'!$O$16:$O$29,'Olin Debt'!$L$16:$L$29,'Olin Debt'!$B$20,'Olin Debt'!$M$16:$M$29,2026))</f>
        <v>0</v>
      </c>
      <c r="E84" s="46">
        <f>MIN(E82+SUMIFS('Olin Debt'!$N$16:$N$29,'Olin Debt'!$L$16:$L$29,'Olin Debt'!$B$20,'Olin Debt'!$M$16:$M$29,2027),0+SUMIFS('Olin Debt'!$O$16:$O$29,'Olin Debt'!$L$16:$L$29,'Olin Debt'!$B$20,'Olin Debt'!$M$16:$M$29,2027))</f>
        <v>0</v>
      </c>
      <c r="F84" s="46">
        <f>MIN(F82+SUMIFS('Olin Debt'!$N$16:$N$29,'Olin Debt'!$L$16:$L$29,'Olin Debt'!$B$20,'Olin Debt'!$M$16:$M$29,2028),0+SUMIFS('Olin Debt'!$O$16:$O$29,'Olin Debt'!$L$16:$L$29,'Olin Debt'!$B$20,'Olin Debt'!$M$16:$M$29,2028))</f>
        <v>0</v>
      </c>
      <c r="G84" s="46">
        <f>MIN(G82+SUMIFS('Olin Debt'!$N$16:$N$29,'Olin Debt'!$L$16:$L$29,'Olin Debt'!$B$20,'Olin Debt'!$M$16:$M$29,2029),0+SUMIFS('Olin Debt'!$O$16:$O$29,'Olin Debt'!$L$16:$L$29,'Olin Debt'!$B$20,'Olin Debt'!$M$16:$M$29,2029))</f>
        <v>0</v>
      </c>
      <c r="H84" s="46">
        <f>MIN(H82+SUMIFS('Olin Debt'!$N$16:$N$29,'Olin Debt'!$L$16:$L$29,'Olin Debt'!$B$20,'Olin Debt'!$M$16:$M$29,2030),0+SUMIFS('Olin Debt'!$O$16:$O$29,'Olin Debt'!$L$16:$L$29,'Olin Debt'!$B$20,'Olin Debt'!$M$16:$M$29,2030))</f>
        <v>0</v>
      </c>
      <c r="I84" s="46">
        <f>MIN(I82+SUMIFS('Olin Debt'!$N$16:$N$29,'Olin Debt'!$L$16:$L$29,'Olin Debt'!$B$20,'Olin Debt'!$M$16:$M$29,2031),0+SUMIFS('Olin Debt'!$O$16:$O$29,'Olin Debt'!$L$16:$L$29,'Olin Debt'!$B$20,'Olin Debt'!$M$16:$M$29,2031))</f>
        <v>0</v>
      </c>
    </row>
    <row r="85" spans="1:9" x14ac:dyDescent="0.15">
      <c r="A85" s="2"/>
      <c r="B85" s="2" t="s">
        <v>326</v>
      </c>
      <c r="C85" s="46"/>
      <c r="D85" s="46">
        <f>MIN(MAX(0,D82+D83-D84),SUMIFS('Olin Debt'!$P$16:$P$29,'Olin Debt'!$L$16:$L$29,'Olin Debt'!$B$20,'Olin Debt'!$M$16:$M$29,2026))</f>
        <v>0</v>
      </c>
      <c r="E85" s="46">
        <f>MIN(MAX(0,E82+E83-E84),SUMIFS('Olin Debt'!$P$16:$P$29,'Olin Debt'!$L$16:$L$29,'Olin Debt'!$B$20,'Olin Debt'!$M$16:$M$29,2027))</f>
        <v>0</v>
      </c>
      <c r="F85" s="46">
        <f>MIN(MAX(0,F82+F83-F84),SUMIFS('Olin Debt'!$P$16:$P$29,'Olin Debt'!$L$16:$L$29,'Olin Debt'!$B$20,'Olin Debt'!$M$16:$M$29,2028))</f>
        <v>0</v>
      </c>
      <c r="G85" s="46">
        <f>MIN(MAX(0,G82+G83-G84),SUMIFS('Olin Debt'!$P$16:$P$29,'Olin Debt'!$L$16:$L$29,'Olin Debt'!$B$20,'Olin Debt'!$M$16:$M$29,2029))</f>
        <v>0</v>
      </c>
      <c r="H85" s="46">
        <f>MIN(MAX(0,H82+H83-H84),SUMIFS('Olin Debt'!$P$16:$P$29,'Olin Debt'!$L$16:$L$29,'Olin Debt'!$B$20,'Olin Debt'!$M$16:$M$29,2030))</f>
        <v>0</v>
      </c>
      <c r="I85" s="46">
        <f>MIN(MAX(0,I82+I83-I84),SUMIFS('Olin Debt'!$P$16:$P$29,'Olin Debt'!$L$16:$L$29,'Olin Debt'!$B$20,'Olin Debt'!$M$16:$M$29,2031))</f>
        <v>0</v>
      </c>
    </row>
    <row r="86" spans="1:9" x14ac:dyDescent="0.15">
      <c r="A86" s="2"/>
      <c r="B86" s="2" t="s">
        <v>323</v>
      </c>
      <c r="C86" s="46">
        <f>'Olin Debt'!$E$20</f>
        <v>600</v>
      </c>
      <c r="D86" s="46">
        <f t="shared" ref="D86:I86" si="19">D82+D83-D84-D85</f>
        <v>600</v>
      </c>
      <c r="E86" s="46">
        <f t="shared" si="19"/>
        <v>600</v>
      </c>
      <c r="F86" s="46">
        <f t="shared" si="19"/>
        <v>600</v>
      </c>
      <c r="G86" s="46">
        <f t="shared" si="19"/>
        <v>600</v>
      </c>
      <c r="H86" s="46">
        <f t="shared" si="19"/>
        <v>600</v>
      </c>
      <c r="I86" s="46">
        <f t="shared" si="19"/>
        <v>600</v>
      </c>
    </row>
    <row r="87" spans="1:9" x14ac:dyDescent="0.15">
      <c r="A87" s="45"/>
      <c r="B87" s="45" t="s">
        <v>324</v>
      </c>
      <c r="C87" s="46"/>
      <c r="D87" s="46">
        <f>-AVERAGE(D82,D86)*'Olin Debt'!$C$20</f>
        <v>-39.75</v>
      </c>
      <c r="E87" s="46">
        <f>-AVERAGE(E82,E86)*'Olin Debt'!$C$20</f>
        <v>-39.75</v>
      </c>
      <c r="F87" s="46">
        <f>-AVERAGE(F82,F86)*'Olin Debt'!$C$20</f>
        <v>-39.75</v>
      </c>
      <c r="G87" s="46">
        <f>-AVERAGE(G82,G86)*'Olin Debt'!$C$20</f>
        <v>-39.75</v>
      </c>
      <c r="H87" s="46">
        <f>-AVERAGE(H82,H86)*'Olin Debt'!$C$20</f>
        <v>-39.75</v>
      </c>
      <c r="I87" s="46">
        <f>-AVERAGE(I82,I86)*'Olin Debt'!$C$20</f>
        <v>-39.75</v>
      </c>
    </row>
    <row r="88" spans="1:9" x14ac:dyDescent="0.15">
      <c r="B88" s="2"/>
      <c r="C88" s="46"/>
      <c r="D88" s="46"/>
      <c r="E88" s="46"/>
      <c r="F88" s="46"/>
      <c r="G88" s="46"/>
      <c r="H88" s="46"/>
      <c r="I88" s="46"/>
    </row>
    <row r="89" spans="1:9" x14ac:dyDescent="0.15">
      <c r="A89" s="174"/>
      <c r="B89" s="172" t="s">
        <v>418</v>
      </c>
      <c r="C89" s="173"/>
      <c r="D89" s="173"/>
      <c r="E89" s="173"/>
      <c r="F89" s="173"/>
      <c r="G89" s="173"/>
      <c r="H89" s="173"/>
      <c r="I89" s="173"/>
    </row>
    <row r="90" spans="1:9" x14ac:dyDescent="0.15">
      <c r="A90" s="2"/>
      <c r="B90" s="2" t="s">
        <v>322</v>
      </c>
      <c r="C90" s="46"/>
      <c r="D90" s="46">
        <f t="shared" ref="D90:I90" si="20">C94</f>
        <v>340</v>
      </c>
      <c r="E90" s="46">
        <f t="shared" si="20"/>
        <v>340</v>
      </c>
      <c r="F90" s="46">
        <f t="shared" si="20"/>
        <v>340</v>
      </c>
      <c r="G90" s="46">
        <f t="shared" si="20"/>
        <v>340</v>
      </c>
      <c r="H90" s="46">
        <f t="shared" si="20"/>
        <v>340</v>
      </c>
      <c r="I90" s="46">
        <f t="shared" si="20"/>
        <v>340</v>
      </c>
    </row>
    <row r="91" spans="1:9" x14ac:dyDescent="0.15">
      <c r="A91" s="2"/>
      <c r="B91" s="2" t="s">
        <v>330</v>
      </c>
      <c r="C91" s="46"/>
      <c r="D91" s="46">
        <f>0+SUMIFS('Olin Debt'!$N$16:$N$29,'Olin Debt'!$L$16:$L$29,'Olin Debt'!$B$21,'Olin Debt'!$M$16:$M$29,2026)</f>
        <v>0</v>
      </c>
      <c r="E91" s="46">
        <f>E92+SUMIFS('Olin Debt'!$N$16:$N$29,'Olin Debt'!$L$16:$L$29,'Olin Debt'!$B$21,'Olin Debt'!$M$16:$M$29,2027)</f>
        <v>340</v>
      </c>
      <c r="F91" s="46">
        <f>0+SUMIFS('Olin Debt'!$N$16:$N$29,'Olin Debt'!$L$16:$L$29,'Olin Debt'!$B$21,'Olin Debt'!$M$16:$M$29,2028)</f>
        <v>0</v>
      </c>
      <c r="G91" s="46">
        <f>0+SUMIFS('Olin Debt'!$N$16:$N$29,'Olin Debt'!$L$16:$L$29,'Olin Debt'!$B$21,'Olin Debt'!$M$16:$M$29,2029)</f>
        <v>0</v>
      </c>
      <c r="H91" s="46">
        <f>0+SUMIFS('Olin Debt'!$N$16:$N$29,'Olin Debt'!$L$16:$L$29,'Olin Debt'!$B$21,'Olin Debt'!$M$16:$M$29,2030)</f>
        <v>0</v>
      </c>
      <c r="I91" s="46">
        <f>0+SUMIFS('Olin Debt'!$N$16:$N$29,'Olin Debt'!$L$16:$L$29,'Olin Debt'!$B$21,'Olin Debt'!$M$16:$M$29,2031)</f>
        <v>0</v>
      </c>
    </row>
    <row r="92" spans="1:9" x14ac:dyDescent="0.15">
      <c r="A92" s="2"/>
      <c r="B92" s="2" t="s">
        <v>325</v>
      </c>
      <c r="C92" s="46"/>
      <c r="D92" s="46">
        <f>MIN(D90+SUMIFS('Olin Debt'!$N$16:$N$29,'Olin Debt'!$L$16:$L$29,'Olin Debt'!$B$21,'Olin Debt'!$M$16:$M$29,2026),0+SUMIFS('Olin Debt'!$O$16:$O$29,'Olin Debt'!$L$16:$L$29,'Olin Debt'!$B$21,'Olin Debt'!$M$16:$M$29,2026))</f>
        <v>0</v>
      </c>
      <c r="E92" s="46">
        <f>MIN(E90+SUMIFS('Olin Debt'!$N$16:$N$29,'Olin Debt'!$L$16:$L$29,'Olin Debt'!$B$21,'Olin Debt'!$M$16:$M$29,2027),E90+SUMIFS('Olin Debt'!$O$16:$O$29,'Olin Debt'!$L$16:$L$29,'Olin Debt'!$B$21,'Olin Debt'!$M$16:$M$29,2027))</f>
        <v>340</v>
      </c>
      <c r="F92" s="46">
        <f>MIN(F90+SUMIFS('Olin Debt'!$N$16:$N$29,'Olin Debt'!$L$16:$L$29,'Olin Debt'!$B$21,'Olin Debt'!$M$16:$M$29,2028),0+SUMIFS('Olin Debt'!$O$16:$O$29,'Olin Debt'!$L$16:$L$29,'Olin Debt'!$B$21,'Olin Debt'!$M$16:$M$29,2028))</f>
        <v>0</v>
      </c>
      <c r="G92" s="46">
        <f>MIN(G90+SUMIFS('Olin Debt'!$N$16:$N$29,'Olin Debt'!$L$16:$L$29,'Olin Debt'!$B$21,'Olin Debt'!$M$16:$M$29,2029),0+SUMIFS('Olin Debt'!$O$16:$O$29,'Olin Debt'!$L$16:$L$29,'Olin Debt'!$B$21,'Olin Debt'!$M$16:$M$29,2029))</f>
        <v>0</v>
      </c>
      <c r="H92" s="46">
        <f>MIN(H90+SUMIFS('Olin Debt'!$N$16:$N$29,'Olin Debt'!$L$16:$L$29,'Olin Debt'!$B$21,'Olin Debt'!$M$16:$M$29,2030),0+SUMIFS('Olin Debt'!$O$16:$O$29,'Olin Debt'!$L$16:$L$29,'Olin Debt'!$B$21,'Olin Debt'!$M$16:$M$29,2030))</f>
        <v>0</v>
      </c>
      <c r="I92" s="46">
        <f>MIN(I90+SUMIFS('Olin Debt'!$N$16:$N$29,'Olin Debt'!$L$16:$L$29,'Olin Debt'!$B$21,'Olin Debt'!$M$16:$M$29,2031),0+SUMIFS('Olin Debt'!$O$16:$O$29,'Olin Debt'!$L$16:$L$29,'Olin Debt'!$B$21,'Olin Debt'!$M$16:$M$29,2031))</f>
        <v>0</v>
      </c>
    </row>
    <row r="93" spans="1:9" x14ac:dyDescent="0.15">
      <c r="A93" s="2"/>
      <c r="B93" s="2" t="s">
        <v>326</v>
      </c>
      <c r="C93" s="46"/>
      <c r="D93" s="46">
        <f>MIN(MAX(0,D90+D91-D92),SUMIFS('Olin Debt'!$P$16:$P$29,'Olin Debt'!$L$16:$L$29,'Olin Debt'!$B$21,'Olin Debt'!$M$16:$M$29,2026))</f>
        <v>0</v>
      </c>
      <c r="E93" s="46">
        <f>MIN(MAX(0,E90+E91-E92),SUMIFS('Olin Debt'!$P$16:$P$29,'Olin Debt'!$L$16:$L$29,'Olin Debt'!$B$21,'Olin Debt'!$M$16:$M$29,2027))</f>
        <v>0</v>
      </c>
      <c r="F93" s="46">
        <f>MIN(MAX(0,F90+F91-F92),SUMIFS('Olin Debt'!$P$16:$P$29,'Olin Debt'!$L$16:$L$29,'Olin Debt'!$B$21,'Olin Debt'!$M$16:$M$29,2028))</f>
        <v>0</v>
      </c>
      <c r="G93" s="46">
        <f>MIN(MAX(0,G90+G91-G92),SUMIFS('Olin Debt'!$P$16:$P$29,'Olin Debt'!$L$16:$L$29,'Olin Debt'!$B$21,'Olin Debt'!$M$16:$M$29,2029))</f>
        <v>0</v>
      </c>
      <c r="H93" s="46">
        <f>MIN(MAX(0,H90+H91-H92),SUMIFS('Olin Debt'!$P$16:$P$29,'Olin Debt'!$L$16:$L$29,'Olin Debt'!$B$21,'Olin Debt'!$M$16:$M$29,2030))</f>
        <v>0</v>
      </c>
      <c r="I93" s="46">
        <f>MIN(MAX(0,I90+I91-I92),SUMIFS('Olin Debt'!$P$16:$P$29,'Olin Debt'!$L$16:$L$29,'Olin Debt'!$B$21,'Olin Debt'!$M$16:$M$29,2031))</f>
        <v>0</v>
      </c>
    </row>
    <row r="94" spans="1:9" x14ac:dyDescent="0.15">
      <c r="A94" s="2"/>
      <c r="B94" s="2" t="s">
        <v>323</v>
      </c>
      <c r="C94" s="46">
        <f>'Olin Debt'!$E$21</f>
        <v>340</v>
      </c>
      <c r="D94" s="46">
        <f t="shared" ref="D94:I94" si="21">D90+D91-D92-D93</f>
        <v>340</v>
      </c>
      <c r="E94" s="46">
        <f t="shared" si="21"/>
        <v>340</v>
      </c>
      <c r="F94" s="46">
        <f t="shared" si="21"/>
        <v>340</v>
      </c>
      <c r="G94" s="46">
        <f t="shared" si="21"/>
        <v>340</v>
      </c>
      <c r="H94" s="46">
        <f t="shared" si="21"/>
        <v>340</v>
      </c>
      <c r="I94" s="46">
        <f t="shared" si="21"/>
        <v>340</v>
      </c>
    </row>
    <row r="95" spans="1:9" x14ac:dyDescent="0.15">
      <c r="A95" s="45"/>
      <c r="B95" s="45" t="s">
        <v>324</v>
      </c>
      <c r="C95" s="46"/>
      <c r="D95" s="46">
        <f>-AVERAGE(D90,D94)*'Olin Debt'!$C$21</f>
        <v>-15.64</v>
      </c>
      <c r="E95" s="46">
        <f>-AVERAGE(E90,E94)*'Olin Debt'!$C$21</f>
        <v>-15.64</v>
      </c>
      <c r="F95" s="46">
        <f>-AVERAGE(F90,F94)*'Olin Debt'!$C$21</f>
        <v>-15.64</v>
      </c>
      <c r="G95" s="46">
        <f>-AVERAGE(G90,G94)*'Olin Debt'!$C$21</f>
        <v>-15.64</v>
      </c>
      <c r="H95" s="46">
        <f>-AVERAGE(H90,H94)*'Olin Debt'!$C$21</f>
        <v>-15.64</v>
      </c>
      <c r="I95" s="46">
        <f>-AVERAGE(I90,I94)*'Olin Debt'!$C$21</f>
        <v>-15.64</v>
      </c>
    </row>
    <row r="96" spans="1:9" x14ac:dyDescent="0.15">
      <c r="B96" s="2"/>
      <c r="C96" s="46"/>
      <c r="D96" s="46"/>
      <c r="E96" s="46"/>
      <c r="F96" s="46"/>
      <c r="G96" s="46"/>
      <c r="H96" s="46"/>
      <c r="I96" s="46"/>
    </row>
    <row r="97" spans="1:9" x14ac:dyDescent="0.15">
      <c r="A97" s="174"/>
      <c r="B97" s="172" t="s">
        <v>419</v>
      </c>
      <c r="C97" s="173"/>
      <c r="D97" s="173"/>
      <c r="E97" s="173"/>
      <c r="F97" s="173"/>
      <c r="G97" s="173"/>
      <c r="H97" s="173"/>
      <c r="I97" s="173"/>
    </row>
    <row r="98" spans="1:9" x14ac:dyDescent="0.15">
      <c r="A98" s="2"/>
      <c r="B98" s="2" t="s">
        <v>322</v>
      </c>
      <c r="C98" s="46"/>
      <c r="D98" s="46">
        <f t="shared" ref="D98:I98" si="22">C102</f>
        <v>83</v>
      </c>
      <c r="E98" s="46">
        <f t="shared" si="22"/>
        <v>83</v>
      </c>
      <c r="F98" s="46">
        <f t="shared" si="22"/>
        <v>83</v>
      </c>
      <c r="G98" s="46">
        <f t="shared" si="22"/>
        <v>83</v>
      </c>
      <c r="H98" s="46">
        <f t="shared" si="22"/>
        <v>83</v>
      </c>
      <c r="I98" s="46">
        <f t="shared" si="22"/>
        <v>83</v>
      </c>
    </row>
    <row r="99" spans="1:9" x14ac:dyDescent="0.15">
      <c r="A99" s="2"/>
      <c r="B99" s="2" t="s">
        <v>330</v>
      </c>
      <c r="C99" s="46"/>
      <c r="D99" s="46">
        <f>0+SUMIFS('Olin Debt'!$N$16:$N$29,'Olin Debt'!$L$16:$L$29,'Olin Debt'!$B$22,'Olin Debt'!$M$16:$M$29,2026)</f>
        <v>0</v>
      </c>
      <c r="E99" s="46">
        <f>0+SUMIFS('Olin Debt'!$N$16:$N$29,'Olin Debt'!$L$16:$L$29,'Olin Debt'!$B$22,'Olin Debt'!$M$16:$M$29,2027)</f>
        <v>0</v>
      </c>
      <c r="F99" s="46">
        <f>0+SUMIFS('Olin Debt'!$N$16:$N$29,'Olin Debt'!$L$16:$L$29,'Olin Debt'!$B$22,'Olin Debt'!$M$16:$M$29,2028)</f>
        <v>0</v>
      </c>
      <c r="G99" s="46">
        <f>0+SUMIFS('Olin Debt'!$N$16:$N$29,'Olin Debt'!$L$16:$L$29,'Olin Debt'!$B$22,'Olin Debt'!$M$16:$M$29,2029)</f>
        <v>0</v>
      </c>
      <c r="H99" s="46">
        <f>0+SUMIFS('Olin Debt'!$N$16:$N$29,'Olin Debt'!$L$16:$L$29,'Olin Debt'!$B$22,'Olin Debt'!$M$16:$M$29,2030)</f>
        <v>0</v>
      </c>
      <c r="I99" s="46">
        <f>0+SUMIFS('Olin Debt'!$N$16:$N$29,'Olin Debt'!$L$16:$L$29,'Olin Debt'!$B$22,'Olin Debt'!$M$16:$M$29,2031)</f>
        <v>0</v>
      </c>
    </row>
    <row r="100" spans="1:9" x14ac:dyDescent="0.15">
      <c r="A100" s="2"/>
      <c r="B100" s="2" t="s">
        <v>325</v>
      </c>
      <c r="C100" s="46"/>
      <c r="D100" s="46">
        <f>MIN(D98+SUMIFS('Olin Debt'!$N$16:$N$29,'Olin Debt'!$L$16:$L$29,'Olin Debt'!$B$22,'Olin Debt'!$M$16:$M$29,2026),0+SUMIFS('Olin Debt'!$O$16:$O$29,'Olin Debt'!$L$16:$L$29,'Olin Debt'!$B$22,'Olin Debt'!$M$16:$M$29,2026))</f>
        <v>0</v>
      </c>
      <c r="E100" s="46">
        <f>MIN(E98+SUMIFS('Olin Debt'!$N$16:$N$29,'Olin Debt'!$L$16:$L$29,'Olin Debt'!$B$22,'Olin Debt'!$M$16:$M$29,2027),0+SUMIFS('Olin Debt'!$O$16:$O$29,'Olin Debt'!$L$16:$L$29,'Olin Debt'!$B$22,'Olin Debt'!$M$16:$M$29,2027))</f>
        <v>0</v>
      </c>
      <c r="F100" s="46">
        <f>MIN(F98+SUMIFS('Olin Debt'!$N$16:$N$29,'Olin Debt'!$L$16:$L$29,'Olin Debt'!$B$22,'Olin Debt'!$M$16:$M$29,2028),0+SUMIFS('Olin Debt'!$O$16:$O$29,'Olin Debt'!$L$16:$L$29,'Olin Debt'!$B$22,'Olin Debt'!$M$16:$M$29,2028))</f>
        <v>0</v>
      </c>
      <c r="G100" s="46">
        <f>MIN(G98+SUMIFS('Olin Debt'!$N$16:$N$29,'Olin Debt'!$L$16:$L$29,'Olin Debt'!$B$22,'Olin Debt'!$M$16:$M$29,2029),0+SUMIFS('Olin Debt'!$O$16:$O$29,'Olin Debt'!$L$16:$L$29,'Olin Debt'!$B$22,'Olin Debt'!$M$16:$M$29,2029))</f>
        <v>0</v>
      </c>
      <c r="H100" s="46">
        <f>MIN(H98+SUMIFS('Olin Debt'!$N$16:$N$29,'Olin Debt'!$L$16:$L$29,'Olin Debt'!$B$22,'Olin Debt'!$M$16:$M$29,2030),0+SUMIFS('Olin Debt'!$O$16:$O$29,'Olin Debt'!$L$16:$L$29,'Olin Debt'!$B$22,'Olin Debt'!$M$16:$M$29,2030))</f>
        <v>0</v>
      </c>
      <c r="I100" s="46">
        <f>MIN(I98+SUMIFS('Olin Debt'!$N$16:$N$29,'Olin Debt'!$L$16:$L$29,'Olin Debt'!$B$22,'Olin Debt'!$M$16:$M$29,2031),0+SUMIFS('Olin Debt'!$O$16:$O$29,'Olin Debt'!$L$16:$L$29,'Olin Debt'!$B$22,'Olin Debt'!$M$16:$M$29,2031))</f>
        <v>0</v>
      </c>
    </row>
    <row r="101" spans="1:9" x14ac:dyDescent="0.15">
      <c r="A101" s="2"/>
      <c r="B101" s="2" t="s">
        <v>326</v>
      </c>
      <c r="C101" s="46"/>
      <c r="D101" s="46">
        <f>MIN(MAX(0,D98+D99-D100),SUMIFS('Olin Debt'!$P$16:$P$29,'Olin Debt'!$L$16:$L$29,'Olin Debt'!$B$22,'Olin Debt'!$M$16:$M$29,2026))</f>
        <v>0</v>
      </c>
      <c r="E101" s="46">
        <f>MIN(MAX(0,E98+E99-E100),SUMIFS('Olin Debt'!$P$16:$P$29,'Olin Debt'!$L$16:$L$29,'Olin Debt'!$B$22,'Olin Debt'!$M$16:$M$29,2027))</f>
        <v>0</v>
      </c>
      <c r="F101" s="46">
        <f>MIN(MAX(0,F98+F99-F100),SUMIFS('Olin Debt'!$P$16:$P$29,'Olin Debt'!$L$16:$L$29,'Olin Debt'!$B$22,'Olin Debt'!$M$16:$M$29,2028))</f>
        <v>0</v>
      </c>
      <c r="G101" s="46">
        <f>MIN(MAX(0,G98+G99-G100),SUMIFS('Olin Debt'!$P$16:$P$29,'Olin Debt'!$L$16:$L$29,'Olin Debt'!$B$22,'Olin Debt'!$M$16:$M$29,2029))</f>
        <v>0</v>
      </c>
      <c r="H101" s="46">
        <f>MIN(MAX(0,H98+H99-H100),SUMIFS('Olin Debt'!$P$16:$P$29,'Olin Debt'!$L$16:$L$29,'Olin Debt'!$B$22,'Olin Debt'!$M$16:$M$29,2030))</f>
        <v>0</v>
      </c>
      <c r="I101" s="46">
        <f>MIN(MAX(0,I98+I99-I100),SUMIFS('Olin Debt'!$P$16:$P$29,'Olin Debt'!$L$16:$L$29,'Olin Debt'!$B$22,'Olin Debt'!$M$16:$M$29,2031))</f>
        <v>0</v>
      </c>
    </row>
    <row r="102" spans="1:9" x14ac:dyDescent="0.15">
      <c r="A102" s="2"/>
      <c r="B102" s="2" t="s">
        <v>323</v>
      </c>
      <c r="C102" s="46">
        <f>'Olin Debt'!$E$22</f>
        <v>83</v>
      </c>
      <c r="D102" s="46">
        <f t="shared" ref="D102:I102" si="23">D98+D99-D100-D101</f>
        <v>83</v>
      </c>
      <c r="E102" s="46">
        <f t="shared" si="23"/>
        <v>83</v>
      </c>
      <c r="F102" s="46">
        <f t="shared" si="23"/>
        <v>83</v>
      </c>
      <c r="G102" s="46">
        <f t="shared" si="23"/>
        <v>83</v>
      </c>
      <c r="H102" s="46">
        <f t="shared" si="23"/>
        <v>83</v>
      </c>
      <c r="I102" s="46">
        <f t="shared" si="23"/>
        <v>83</v>
      </c>
    </row>
    <row r="103" spans="1:9" x14ac:dyDescent="0.15">
      <c r="A103" s="45"/>
      <c r="B103" s="45" t="s">
        <v>324</v>
      </c>
      <c r="C103" s="46"/>
      <c r="D103" s="46">
        <f>-AVERAGE(D98,D102)*'Olin Debt'!$C$22</f>
        <v>-4.0985399999999998</v>
      </c>
      <c r="E103" s="46">
        <f>-AVERAGE(E98,E102)*'Olin Debt'!$C$22</f>
        <v>-4.0985399999999998</v>
      </c>
      <c r="F103" s="46">
        <f>-AVERAGE(F98,F102)*'Olin Debt'!$C$22</f>
        <v>-4.0985399999999998</v>
      </c>
      <c r="G103" s="46">
        <f>-AVERAGE(G98,G102)*'Olin Debt'!$C$22</f>
        <v>-4.0985399999999998</v>
      </c>
      <c r="H103" s="46">
        <f>-AVERAGE(H98,H102)*'Olin Debt'!$C$22</f>
        <v>-4.0985399999999998</v>
      </c>
      <c r="I103" s="46">
        <f>-AVERAGE(I98,I102)*'Olin Debt'!$C$22</f>
        <v>-4.0985399999999998</v>
      </c>
    </row>
    <row r="104" spans="1:9" x14ac:dyDescent="0.15">
      <c r="B104" s="2"/>
      <c r="C104" s="46"/>
      <c r="D104" s="46"/>
      <c r="E104" s="46"/>
      <c r="F104" s="46"/>
      <c r="G104" s="46"/>
      <c r="H104" s="46"/>
      <c r="I104" s="46"/>
    </row>
    <row r="105" spans="1:9" x14ac:dyDescent="0.15">
      <c r="B105" s="45"/>
      <c r="C105" s="46"/>
      <c r="D105" s="46"/>
      <c r="E105" s="46"/>
      <c r="F105" s="46"/>
      <c r="G105" s="46"/>
      <c r="H105" s="46"/>
      <c r="I105" s="46"/>
    </row>
  </sheetData>
  <mergeCells count="3">
    <mergeCell ref="B31:I31"/>
    <mergeCell ref="D32:I32"/>
    <mergeCell ref="B14:I1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F62E9-9925-6847-9D70-5D7D3DB23746}">
  <sheetPr codeName="Sheet11"/>
  <dimension ref="A1:S46"/>
  <sheetViews>
    <sheetView showGridLines="0" topLeftCell="A5" workbookViewId="0"/>
  </sheetViews>
  <sheetFormatPr baseColWidth="10" defaultRowHeight="13" x14ac:dyDescent="0.15"/>
  <cols>
    <col min="1" max="1" width="5.5" customWidth="1"/>
    <col min="2" max="2" width="44.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412</v>
      </c>
    </row>
    <row r="3" spans="1:19" ht="16" x14ac:dyDescent="0.15">
      <c r="B3" s="62" t="s">
        <v>380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9" x14ac:dyDescent="0.15">
      <c r="B4" s="90"/>
      <c r="C4" s="356" t="s">
        <v>399</v>
      </c>
      <c r="D4" s="356"/>
      <c r="E4" s="356"/>
      <c r="F4" s="356"/>
      <c r="G4" s="356"/>
      <c r="H4" s="356"/>
      <c r="I4" s="356"/>
      <c r="J4" s="356"/>
      <c r="K4" s="356"/>
      <c r="L4" s="356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4">
        <v>42735</v>
      </c>
      <c r="D5" s="144">
        <f>EDATE(C5,12)</f>
        <v>43100</v>
      </c>
      <c r="E5" s="144">
        <f t="shared" ref="E5:R5" si="0">EDATE(D5,12)</f>
        <v>43465</v>
      </c>
      <c r="F5" s="144">
        <f t="shared" si="0"/>
        <v>43830</v>
      </c>
      <c r="G5" s="144">
        <f t="shared" si="0"/>
        <v>44196</v>
      </c>
      <c r="H5" s="144">
        <f t="shared" si="0"/>
        <v>44561</v>
      </c>
      <c r="I5" s="144">
        <f>EDATE(H5,12)</f>
        <v>44926</v>
      </c>
      <c r="J5" s="144">
        <f t="shared" si="0"/>
        <v>45291</v>
      </c>
      <c r="K5" s="144">
        <f t="shared" si="0"/>
        <v>45657</v>
      </c>
      <c r="L5" s="144">
        <f t="shared" si="0"/>
        <v>46022</v>
      </c>
      <c r="M5" s="148">
        <f t="shared" si="0"/>
        <v>46387</v>
      </c>
      <c r="N5" s="144">
        <f t="shared" si="0"/>
        <v>46752</v>
      </c>
      <c r="O5" s="144">
        <f t="shared" si="0"/>
        <v>47118</v>
      </c>
      <c r="P5" s="144">
        <f t="shared" si="0"/>
        <v>47483</v>
      </c>
      <c r="Q5" s="144">
        <f t="shared" si="0"/>
        <v>47848</v>
      </c>
      <c r="R5" s="149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150"/>
      <c r="N7" s="113"/>
      <c r="O7" s="113"/>
      <c r="P7" s="113"/>
      <c r="Q7" s="113"/>
      <c r="R7" s="151"/>
    </row>
    <row r="8" spans="1:19" x14ac:dyDescent="0.15">
      <c r="B8" t="s">
        <v>387</v>
      </c>
      <c r="C8" s="1"/>
      <c r="D8" s="39">
        <f>D$18-C$18</f>
        <v>2</v>
      </c>
      <c r="E8" s="39">
        <f t="shared" ref="E8:L8" si="1">E$18-D$18</f>
        <v>-2</v>
      </c>
      <c r="F8" s="39">
        <f t="shared" si="1"/>
        <v>-7</v>
      </c>
      <c r="G8" s="39">
        <f t="shared" si="1"/>
        <v>0</v>
      </c>
      <c r="H8" s="39">
        <f t="shared" si="1"/>
        <v>-1</v>
      </c>
      <c r="I8" s="39">
        <f t="shared" si="1"/>
        <v>-25</v>
      </c>
      <c r="J8" s="39">
        <f t="shared" si="1"/>
        <v>-12</v>
      </c>
      <c r="K8" s="39">
        <f t="shared" si="1"/>
        <v>-4</v>
      </c>
      <c r="L8" s="39">
        <f t="shared" si="1"/>
        <v>-2</v>
      </c>
      <c r="M8" s="145">
        <v>0.6</v>
      </c>
      <c r="N8" s="189">
        <v>0.5</v>
      </c>
      <c r="O8" s="189">
        <v>0.5</v>
      </c>
      <c r="P8" s="189">
        <v>0.5</v>
      </c>
      <c r="Q8" s="189">
        <v>0.5</v>
      </c>
      <c r="R8" s="190">
        <v>0.5</v>
      </c>
      <c r="S8" s="39"/>
    </row>
    <row r="9" spans="1:19" x14ac:dyDescent="0.15">
      <c r="B9" t="s">
        <v>391</v>
      </c>
      <c r="C9" s="40">
        <f>'Olin Standalone'!D$58</f>
        <v>0.8</v>
      </c>
      <c r="D9" s="40">
        <f>'Olin Standalone'!E$58</f>
        <v>0.8</v>
      </c>
      <c r="E9" s="40">
        <f>'Olin Standalone'!F$58</f>
        <v>0.8</v>
      </c>
      <c r="F9" s="40">
        <f>'Olin Standalone'!G$58</f>
        <v>0.8</v>
      </c>
      <c r="G9" s="40">
        <f>'Olin Standalone'!H$58</f>
        <v>0.8</v>
      </c>
      <c r="H9" s="40">
        <f>'Olin Standalone'!I$58</f>
        <v>0.8</v>
      </c>
      <c r="I9" s="40">
        <f>'Olin Standalone'!J$58</f>
        <v>0.8</v>
      </c>
      <c r="J9" s="40">
        <f>'Olin Standalone'!K$58</f>
        <v>0.8</v>
      </c>
      <c r="K9" s="40">
        <f>'Olin Standalone'!L$58</f>
        <v>0.8</v>
      </c>
      <c r="L9" s="40">
        <f>'Olin Standalone'!M$58</f>
        <v>0.8</v>
      </c>
      <c r="M9" s="146">
        <f>$L$9</f>
        <v>0.8</v>
      </c>
      <c r="N9" s="75">
        <f>$M$9</f>
        <v>0.8</v>
      </c>
      <c r="O9" s="75">
        <f t="shared" ref="O9:R9" si="2">$M$9</f>
        <v>0.8</v>
      </c>
      <c r="P9" s="75">
        <f t="shared" si="2"/>
        <v>0.8</v>
      </c>
      <c r="Q9" s="75">
        <f t="shared" si="2"/>
        <v>0.8</v>
      </c>
      <c r="R9" s="147">
        <f t="shared" si="2"/>
        <v>0.8</v>
      </c>
    </row>
    <row r="10" spans="1:19" x14ac:dyDescent="0.15">
      <c r="B10" t="s">
        <v>388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80">
        <v>20</v>
      </c>
      <c r="N10" s="81">
        <f>M10</f>
        <v>20</v>
      </c>
      <c r="O10" s="81">
        <f t="shared" ref="O10:R10" si="3">N10</f>
        <v>20</v>
      </c>
      <c r="P10" s="81">
        <f t="shared" si="3"/>
        <v>20</v>
      </c>
      <c r="Q10" s="81">
        <f t="shared" si="3"/>
        <v>20</v>
      </c>
      <c r="R10" s="82">
        <f t="shared" si="3"/>
        <v>20</v>
      </c>
    </row>
    <row r="11" spans="1:19" x14ac:dyDescent="0.15">
      <c r="B11" t="s">
        <v>389</v>
      </c>
      <c r="C11" s="39"/>
      <c r="D11" s="39">
        <f>D$37-C$37</f>
        <v>25.399999999999977</v>
      </c>
      <c r="E11" s="39">
        <f t="shared" ref="E11:L11" si="4">E$37-D$37</f>
        <v>-166.39999999999998</v>
      </c>
      <c r="F11" s="39">
        <f t="shared" si="4"/>
        <v>-152.39999999999998</v>
      </c>
      <c r="G11" s="39">
        <f t="shared" si="4"/>
        <v>113.5</v>
      </c>
      <c r="H11" s="39">
        <f t="shared" si="4"/>
        <v>201.89999999999998</v>
      </c>
      <c r="I11" s="39">
        <f t="shared" si="4"/>
        <v>-7.8999999999999773</v>
      </c>
      <c r="J11" s="39">
        <f t="shared" si="4"/>
        <v>-0.40000000000003411</v>
      </c>
      <c r="K11" s="39">
        <f t="shared" si="4"/>
        <v>46.199999999999989</v>
      </c>
      <c r="L11" s="39">
        <f t="shared" si="4"/>
        <v>35.600000000000023</v>
      </c>
      <c r="M11" s="80">
        <v>0</v>
      </c>
      <c r="N11" s="81">
        <f>$M$11</f>
        <v>0</v>
      </c>
      <c r="O11" s="81">
        <f t="shared" ref="O11:R11" si="5">$M$11</f>
        <v>0</v>
      </c>
      <c r="P11" s="81">
        <f t="shared" si="5"/>
        <v>0</v>
      </c>
      <c r="Q11" s="81">
        <f t="shared" si="5"/>
        <v>0</v>
      </c>
      <c r="R11" s="82">
        <f t="shared" si="5"/>
        <v>0</v>
      </c>
    </row>
    <row r="12" spans="1:19" x14ac:dyDescent="0.15">
      <c r="B12" t="s">
        <v>395</v>
      </c>
      <c r="C12" s="39"/>
      <c r="D12" s="39">
        <f t="shared" ref="D12:L12" si="6">D$35-D$31-D$32-D$33</f>
        <v>0</v>
      </c>
      <c r="E12" s="39">
        <f t="shared" si="6"/>
        <v>85.900000000000063</v>
      </c>
      <c r="F12" s="39">
        <f t="shared" si="6"/>
        <v>11.200000000000031</v>
      </c>
      <c r="G12" s="39">
        <f t="shared" si="6"/>
        <v>0</v>
      </c>
      <c r="H12" s="39">
        <f t="shared" si="6"/>
        <v>-1.8474111129762605E-13</v>
      </c>
      <c r="I12" s="39">
        <f t="shared" si="6"/>
        <v>0</v>
      </c>
      <c r="J12" s="39">
        <f t="shared" si="6"/>
        <v>-1.7053025658242404E-13</v>
      </c>
      <c r="K12" s="39">
        <f t="shared" si="6"/>
        <v>-240.59999999999985</v>
      </c>
      <c r="L12" s="39">
        <f t="shared" si="6"/>
        <v>-25.599999999999824</v>
      </c>
      <c r="M12" s="80">
        <v>0</v>
      </c>
      <c r="N12" s="81">
        <f>$M$12</f>
        <v>0</v>
      </c>
      <c r="O12" s="81">
        <f t="shared" ref="O12:R12" si="7">$M$12</f>
        <v>0</v>
      </c>
      <c r="P12" s="81">
        <f t="shared" si="7"/>
        <v>0</v>
      </c>
      <c r="Q12" s="81">
        <f t="shared" si="7"/>
        <v>0</v>
      </c>
      <c r="R12" s="82">
        <f t="shared" si="7"/>
        <v>0</v>
      </c>
    </row>
    <row r="13" spans="1:19" s="39" customFormat="1" x14ac:dyDescent="0.15">
      <c r="B13" s="39" t="s">
        <v>426</v>
      </c>
      <c r="C13" s="39">
        <f>'Olin Standalone'!D$55</f>
        <v>0</v>
      </c>
      <c r="D13" s="39">
        <f>'Olin Standalone'!E$55</f>
        <v>2</v>
      </c>
      <c r="E13" s="39">
        <f>'Olin Standalone'!F$55</f>
        <v>1</v>
      </c>
      <c r="F13" s="39">
        <f>'Olin Standalone'!G$55</f>
        <v>0</v>
      </c>
      <c r="G13" s="39">
        <f>'Olin Standalone'!H$55</f>
        <v>0</v>
      </c>
      <c r="H13" s="39">
        <f>'Olin Standalone'!I$55</f>
        <v>4</v>
      </c>
      <c r="I13" s="39">
        <f>'Olin Standalone'!J$55</f>
        <v>3</v>
      </c>
      <c r="J13" s="39">
        <f>'Olin Standalone'!K$55</f>
        <v>3</v>
      </c>
      <c r="K13" s="39">
        <f>'Olin Standalone'!L$55</f>
        <v>2</v>
      </c>
      <c r="L13" s="39">
        <f>'Olin Standalone'!M$55</f>
        <v>0</v>
      </c>
      <c r="M13" s="80">
        <f>AVERAGE($C$13:$L$13)</f>
        <v>1.5</v>
      </c>
      <c r="N13" s="81">
        <f t="shared" ref="N13:R13" si="8">AVERAGE($C$13:$L$13)</f>
        <v>1.5</v>
      </c>
      <c r="O13" s="81">
        <f t="shared" si="8"/>
        <v>1.5</v>
      </c>
      <c r="P13" s="81">
        <f t="shared" si="8"/>
        <v>1.5</v>
      </c>
      <c r="Q13" s="81">
        <f t="shared" si="8"/>
        <v>1.5</v>
      </c>
      <c r="R13" s="82">
        <f t="shared" si="8"/>
        <v>1.5</v>
      </c>
    </row>
    <row r="14" spans="1:19" x14ac:dyDescent="0.15">
      <c r="C14" s="1"/>
      <c r="D14" s="1"/>
      <c r="E14" s="1"/>
      <c r="F14" s="1"/>
      <c r="G14" s="1"/>
      <c r="H14" s="1"/>
      <c r="I14" s="1"/>
      <c r="J14" s="1"/>
      <c r="K14" s="1"/>
      <c r="L14" s="1"/>
      <c r="M14" s="98"/>
      <c r="N14" s="39"/>
      <c r="O14" s="39"/>
      <c r="P14" s="39"/>
      <c r="Q14" s="39"/>
      <c r="R14" s="99"/>
    </row>
    <row r="15" spans="1:19" x14ac:dyDescent="0.15">
      <c r="B15" s="59" t="s">
        <v>406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152"/>
      <c r="N15" s="153"/>
      <c r="O15" s="153"/>
      <c r="P15" s="153"/>
      <c r="Q15" s="153"/>
      <c r="R15" s="154"/>
    </row>
    <row r="16" spans="1:19" x14ac:dyDescent="0.15">
      <c r="B16" t="s">
        <v>381</v>
      </c>
      <c r="D16" s="39">
        <f t="shared" ref="D16:L16" si="9">C$18</f>
        <v>165</v>
      </c>
      <c r="E16" s="39">
        <f t="shared" si="9"/>
        <v>167</v>
      </c>
      <c r="F16" s="39">
        <f t="shared" si="9"/>
        <v>165</v>
      </c>
      <c r="G16" s="39">
        <f t="shared" si="9"/>
        <v>158</v>
      </c>
      <c r="H16" s="39">
        <f t="shared" si="9"/>
        <v>158</v>
      </c>
      <c r="I16" s="39">
        <f t="shared" si="9"/>
        <v>157</v>
      </c>
      <c r="J16" s="39">
        <f t="shared" si="9"/>
        <v>132</v>
      </c>
      <c r="K16" s="39">
        <f t="shared" si="9"/>
        <v>120</v>
      </c>
      <c r="L16" s="39">
        <f t="shared" si="9"/>
        <v>116</v>
      </c>
      <c r="M16" s="98">
        <f>L18</f>
        <v>114</v>
      </c>
      <c r="N16" s="39">
        <f t="shared" ref="N16:R16" si="10">M18</f>
        <v>114.6</v>
      </c>
      <c r="O16" s="39">
        <f t="shared" si="10"/>
        <v>115.1</v>
      </c>
      <c r="P16" s="39">
        <f t="shared" si="10"/>
        <v>115.6</v>
      </c>
      <c r="Q16" s="39">
        <f t="shared" si="10"/>
        <v>116.1</v>
      </c>
      <c r="R16" s="99">
        <f t="shared" si="10"/>
        <v>116.6</v>
      </c>
    </row>
    <row r="17" spans="2:19" x14ac:dyDescent="0.15">
      <c r="B17" t="s">
        <v>390</v>
      </c>
      <c r="D17" s="56">
        <f>D$8</f>
        <v>2</v>
      </c>
      <c r="E17" s="56">
        <f t="shared" ref="E17:L17" si="11">E$8</f>
        <v>-2</v>
      </c>
      <c r="F17" s="56">
        <f t="shared" si="11"/>
        <v>-7</v>
      </c>
      <c r="G17" s="56">
        <f t="shared" si="11"/>
        <v>0</v>
      </c>
      <c r="H17" s="56">
        <f t="shared" si="11"/>
        <v>-1</v>
      </c>
      <c r="I17" s="56">
        <f t="shared" si="11"/>
        <v>-25</v>
      </c>
      <c r="J17" s="56">
        <f t="shared" si="11"/>
        <v>-12</v>
      </c>
      <c r="K17" s="56">
        <f t="shared" si="11"/>
        <v>-4</v>
      </c>
      <c r="L17" s="56">
        <f t="shared" si="11"/>
        <v>-2</v>
      </c>
      <c r="M17" s="155">
        <f t="shared" ref="M17:R17" si="12">M8</f>
        <v>0.6</v>
      </c>
      <c r="N17" s="56">
        <f t="shared" si="12"/>
        <v>0.5</v>
      </c>
      <c r="O17" s="56">
        <f t="shared" si="12"/>
        <v>0.5</v>
      </c>
      <c r="P17" s="56">
        <f t="shared" si="12"/>
        <v>0.5</v>
      </c>
      <c r="Q17" s="56">
        <f t="shared" si="12"/>
        <v>0.5</v>
      </c>
      <c r="R17" s="156">
        <f t="shared" si="12"/>
        <v>0.5</v>
      </c>
    </row>
    <row r="18" spans="2:19" x14ac:dyDescent="0.15">
      <c r="B18" t="s">
        <v>382</v>
      </c>
      <c r="C18" s="39">
        <f>'Olin Standalone'!D$107</f>
        <v>165</v>
      </c>
      <c r="D18" s="39">
        <f>'Olin Standalone'!E$107</f>
        <v>167</v>
      </c>
      <c r="E18" s="39">
        <f>'Olin Standalone'!F$107</f>
        <v>165</v>
      </c>
      <c r="F18" s="39">
        <f>'Olin Standalone'!G$107</f>
        <v>158</v>
      </c>
      <c r="G18" s="39">
        <f>'Olin Standalone'!H$107</f>
        <v>158</v>
      </c>
      <c r="H18" s="39">
        <f>'Olin Standalone'!I$107</f>
        <v>157</v>
      </c>
      <c r="I18" s="39">
        <f>'Olin Standalone'!J$107</f>
        <v>132</v>
      </c>
      <c r="J18" s="39">
        <f>'Olin Standalone'!K$107</f>
        <v>120</v>
      </c>
      <c r="K18" s="39">
        <f>'Olin Standalone'!L$107</f>
        <v>116</v>
      </c>
      <c r="L18" s="39">
        <f>'Olin Standalone'!M$107</f>
        <v>114</v>
      </c>
      <c r="M18" s="98">
        <f>M$16+M$17</f>
        <v>114.6</v>
      </c>
      <c r="N18" s="39">
        <f t="shared" ref="N18:R18" si="13">N$16+N$17</f>
        <v>115.1</v>
      </c>
      <c r="O18" s="39">
        <f t="shared" si="13"/>
        <v>115.6</v>
      </c>
      <c r="P18" s="39">
        <f t="shared" si="13"/>
        <v>116.1</v>
      </c>
      <c r="Q18" s="39">
        <f t="shared" si="13"/>
        <v>116.6</v>
      </c>
      <c r="R18" s="99">
        <f t="shared" si="13"/>
        <v>117.1</v>
      </c>
    </row>
    <row r="19" spans="2:19" x14ac:dyDescent="0.15">
      <c r="B19" s="48" t="s">
        <v>427</v>
      </c>
      <c r="C19" s="57">
        <f>'Olin Standalone'!D$56</f>
        <v>165</v>
      </c>
      <c r="D19" s="57">
        <f>'Olin Standalone'!E$56</f>
        <v>168</v>
      </c>
      <c r="E19" s="57">
        <f>'Olin Standalone'!F$56</f>
        <v>168</v>
      </c>
      <c r="F19" s="57">
        <f>'Olin Standalone'!G$56</f>
        <v>162</v>
      </c>
      <c r="G19" s="57">
        <f>'Olin Standalone'!H$56</f>
        <v>158</v>
      </c>
      <c r="H19" s="57">
        <f>'Olin Standalone'!I$56</f>
        <v>163</v>
      </c>
      <c r="I19" s="57">
        <f>'Olin Standalone'!J$56</f>
        <v>148</v>
      </c>
      <c r="J19" s="57">
        <f>'Olin Standalone'!K$56</f>
        <v>129</v>
      </c>
      <c r="K19" s="57">
        <f>'Olin Standalone'!L$56</f>
        <v>120</v>
      </c>
      <c r="L19" s="57">
        <f>'Olin Standalone'!M$56</f>
        <v>115</v>
      </c>
      <c r="M19" s="96">
        <f>AVERAGE(M$16,M$18)</f>
        <v>114.3</v>
      </c>
      <c r="N19" s="57">
        <f t="shared" ref="N19:R19" si="14">AVERAGE(N$16,N$18)</f>
        <v>114.85</v>
      </c>
      <c r="O19" s="57">
        <f t="shared" si="14"/>
        <v>115.35</v>
      </c>
      <c r="P19" s="57">
        <f t="shared" si="14"/>
        <v>115.85</v>
      </c>
      <c r="Q19" s="57">
        <f t="shared" si="14"/>
        <v>116.35</v>
      </c>
      <c r="R19" s="97">
        <f t="shared" si="14"/>
        <v>116.85</v>
      </c>
    </row>
    <row r="20" spans="2:19" x14ac:dyDescent="0.15">
      <c r="B20" t="s">
        <v>425</v>
      </c>
      <c r="C20" s="39">
        <f>C13</f>
        <v>0</v>
      </c>
      <c r="D20" s="39">
        <f t="shared" ref="D20:M20" si="15">D13</f>
        <v>2</v>
      </c>
      <c r="E20" s="39">
        <f t="shared" si="15"/>
        <v>1</v>
      </c>
      <c r="F20" s="39">
        <f t="shared" si="15"/>
        <v>0</v>
      </c>
      <c r="G20" s="39">
        <f t="shared" si="15"/>
        <v>0</v>
      </c>
      <c r="H20" s="39">
        <f t="shared" si="15"/>
        <v>4</v>
      </c>
      <c r="I20" s="39">
        <f t="shared" si="15"/>
        <v>3</v>
      </c>
      <c r="J20" s="39">
        <f t="shared" si="15"/>
        <v>3</v>
      </c>
      <c r="K20" s="39">
        <f t="shared" si="15"/>
        <v>2</v>
      </c>
      <c r="L20" s="39">
        <f t="shared" si="15"/>
        <v>0</v>
      </c>
      <c r="M20" s="98">
        <f t="shared" si="15"/>
        <v>1.5</v>
      </c>
      <c r="N20" s="39">
        <f t="shared" ref="N20:R20" si="16">N13</f>
        <v>1.5</v>
      </c>
      <c r="O20" s="39">
        <f t="shared" si="16"/>
        <v>1.5</v>
      </c>
      <c r="P20" s="39">
        <f t="shared" si="16"/>
        <v>1.5</v>
      </c>
      <c r="Q20" s="39">
        <f t="shared" si="16"/>
        <v>1.5</v>
      </c>
      <c r="R20" s="99">
        <f t="shared" si="16"/>
        <v>1.5</v>
      </c>
    </row>
    <row r="21" spans="2:19" x14ac:dyDescent="0.15">
      <c r="B21" s="48" t="s">
        <v>383</v>
      </c>
      <c r="C21" s="57">
        <f t="shared" ref="C21:R21" si="17">SUM(C$19:C$20)</f>
        <v>165</v>
      </c>
      <c r="D21" s="57">
        <f t="shared" si="17"/>
        <v>170</v>
      </c>
      <c r="E21" s="57">
        <f t="shared" si="17"/>
        <v>169</v>
      </c>
      <c r="F21" s="57">
        <f t="shared" si="17"/>
        <v>162</v>
      </c>
      <c r="G21" s="57">
        <f t="shared" si="17"/>
        <v>158</v>
      </c>
      <c r="H21" s="57">
        <f t="shared" si="17"/>
        <v>167</v>
      </c>
      <c r="I21" s="57">
        <f t="shared" si="17"/>
        <v>151</v>
      </c>
      <c r="J21" s="57">
        <f t="shared" si="17"/>
        <v>132</v>
      </c>
      <c r="K21" s="57">
        <f t="shared" si="17"/>
        <v>122</v>
      </c>
      <c r="L21" s="57">
        <f t="shared" si="17"/>
        <v>115</v>
      </c>
      <c r="M21" s="96">
        <f t="shared" si="17"/>
        <v>115.8</v>
      </c>
      <c r="N21" s="57">
        <f t="shared" si="17"/>
        <v>116.35</v>
      </c>
      <c r="O21" s="57">
        <f t="shared" si="17"/>
        <v>116.85</v>
      </c>
      <c r="P21" s="57">
        <f t="shared" si="17"/>
        <v>117.35</v>
      </c>
      <c r="Q21" s="57">
        <f t="shared" si="17"/>
        <v>117.85</v>
      </c>
      <c r="R21" s="97">
        <f t="shared" si="17"/>
        <v>118.35</v>
      </c>
    </row>
    <row r="22" spans="2:19" x14ac:dyDescent="0.15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98"/>
      <c r="N22" s="39"/>
      <c r="O22" s="39"/>
      <c r="P22" s="39"/>
      <c r="Q22" s="39"/>
      <c r="R22" s="99"/>
    </row>
    <row r="23" spans="2:19" x14ac:dyDescent="0.15">
      <c r="B23" t="s">
        <v>391</v>
      </c>
      <c r="C23" s="40">
        <f>C$9</f>
        <v>0.8</v>
      </c>
      <c r="D23" s="40">
        <f t="shared" ref="D23:R23" si="18">D$9</f>
        <v>0.8</v>
      </c>
      <c r="E23" s="40">
        <f t="shared" si="18"/>
        <v>0.8</v>
      </c>
      <c r="F23" s="40">
        <f t="shared" si="18"/>
        <v>0.8</v>
      </c>
      <c r="G23" s="40">
        <f t="shared" si="18"/>
        <v>0.8</v>
      </c>
      <c r="H23" s="40">
        <f t="shared" si="18"/>
        <v>0.8</v>
      </c>
      <c r="I23" s="40">
        <f t="shared" si="18"/>
        <v>0.8</v>
      </c>
      <c r="J23" s="40">
        <f t="shared" si="18"/>
        <v>0.8</v>
      </c>
      <c r="K23" s="40">
        <f t="shared" si="18"/>
        <v>0.8</v>
      </c>
      <c r="L23" s="40">
        <f t="shared" si="18"/>
        <v>0.8</v>
      </c>
      <c r="M23" s="106">
        <f t="shared" si="18"/>
        <v>0.8</v>
      </c>
      <c r="N23" s="40">
        <f t="shared" si="18"/>
        <v>0.8</v>
      </c>
      <c r="O23" s="40">
        <f t="shared" si="18"/>
        <v>0.8</v>
      </c>
      <c r="P23" s="40">
        <f t="shared" si="18"/>
        <v>0.8</v>
      </c>
      <c r="Q23" s="40">
        <f t="shared" si="18"/>
        <v>0.8</v>
      </c>
      <c r="R23" s="107">
        <f t="shared" si="18"/>
        <v>0.8</v>
      </c>
    </row>
    <row r="24" spans="2:19" x14ac:dyDescent="0.15">
      <c r="B24" s="48" t="s">
        <v>293</v>
      </c>
      <c r="C24" s="57">
        <f>'Olin Standalone'!D$133</f>
        <v>-132.1</v>
      </c>
      <c r="D24" s="57">
        <f>'Olin Standalone'!E$133</f>
        <v>-133</v>
      </c>
      <c r="E24" s="57">
        <f>'Olin Standalone'!F$133</f>
        <v>-133.6</v>
      </c>
      <c r="F24" s="57">
        <f>'Olin Standalone'!G$133</f>
        <v>-129.30000000000001</v>
      </c>
      <c r="G24" s="57">
        <f>'Olin Standalone'!H$133</f>
        <v>-126.3</v>
      </c>
      <c r="H24" s="57">
        <f>'Olin Standalone'!I$133</f>
        <v>-127.8</v>
      </c>
      <c r="I24" s="57">
        <f>'Olin Standalone'!J$133</f>
        <v>-116.2</v>
      </c>
      <c r="J24" s="57">
        <f>'Olin Standalone'!K$133</f>
        <v>-101</v>
      </c>
      <c r="K24" s="57">
        <f>'Olin Standalone'!L$133</f>
        <v>-94.2</v>
      </c>
      <c r="L24" s="57">
        <f>'Olin Standalone'!M$133</f>
        <v>-91.6</v>
      </c>
      <c r="M24" s="96">
        <f>M$23*M$19*-1</f>
        <v>-91.44</v>
      </c>
      <c r="N24" s="57">
        <f t="shared" ref="N24:R24" si="19">N$23*N$19*-1</f>
        <v>-91.88</v>
      </c>
      <c r="O24" s="57">
        <f t="shared" si="19"/>
        <v>-92.28</v>
      </c>
      <c r="P24" s="57">
        <f t="shared" si="19"/>
        <v>-92.68</v>
      </c>
      <c r="Q24" s="57">
        <f t="shared" si="19"/>
        <v>-93.08</v>
      </c>
      <c r="R24" s="97">
        <f t="shared" si="19"/>
        <v>-93.48</v>
      </c>
    </row>
    <row r="25" spans="2:19" x14ac:dyDescent="0.15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98"/>
      <c r="N25" s="39"/>
      <c r="O25" s="39"/>
      <c r="P25" s="39"/>
      <c r="Q25" s="39"/>
      <c r="R25" s="99"/>
    </row>
    <row r="26" spans="2:19" x14ac:dyDescent="0.15">
      <c r="B26" t="s">
        <v>60</v>
      </c>
      <c r="C26" s="39">
        <f>'Olin Standalone'!D$97</f>
        <v>165.4</v>
      </c>
      <c r="D26" s="39">
        <f>'Olin Standalone'!E$97</f>
        <v>167.1</v>
      </c>
      <c r="E26" s="39">
        <f>'Olin Standalone'!F$97</f>
        <v>165.3</v>
      </c>
      <c r="F26" s="39">
        <f>'Olin Standalone'!G$97</f>
        <v>157.69999999999999</v>
      </c>
      <c r="G26" s="39">
        <f>'Olin Standalone'!H$97</f>
        <v>158</v>
      </c>
      <c r="H26" s="39">
        <f>'Olin Standalone'!I$97</f>
        <v>156.80000000000001</v>
      </c>
      <c r="I26" s="39">
        <f>'Olin Standalone'!J$97</f>
        <v>132.30000000000001</v>
      </c>
      <c r="J26" s="39">
        <f>'Olin Standalone'!K$97</f>
        <v>120.2</v>
      </c>
      <c r="K26" s="39">
        <f>'Olin Standalone'!L$97</f>
        <v>115.7</v>
      </c>
      <c r="L26" s="39">
        <f>'Olin Standalone'!M$97</f>
        <v>113.6</v>
      </c>
      <c r="M26" s="98">
        <f t="shared" ref="M26:R26" si="20">L26+$C$46*(MAX(M17,0)*$C$44+MIN(M17,0)*$C$45)</f>
        <v>114.19999999999999</v>
      </c>
      <c r="N26" s="39">
        <f t="shared" si="20"/>
        <v>114.69999999999999</v>
      </c>
      <c r="O26" s="39">
        <f t="shared" si="20"/>
        <v>115.19999999999999</v>
      </c>
      <c r="P26" s="39">
        <f t="shared" si="20"/>
        <v>115.69999999999999</v>
      </c>
      <c r="Q26" s="39">
        <f t="shared" si="20"/>
        <v>116.19999999999999</v>
      </c>
      <c r="R26" s="99">
        <f t="shared" si="20"/>
        <v>116.69999999999999</v>
      </c>
    </row>
    <row r="27" spans="2:19" x14ac:dyDescent="0.15">
      <c r="B27" t="s">
        <v>153</v>
      </c>
      <c r="C27" s="39">
        <f>'Olin Standalone'!D$98</f>
        <v>2243.8000000000002</v>
      </c>
      <c r="D27" s="39">
        <f>'Olin Standalone'!E$98</f>
        <v>2280.9</v>
      </c>
      <c r="E27" s="39">
        <f>'Olin Standalone'!F$98</f>
        <v>2247.4</v>
      </c>
      <c r="F27" s="39">
        <f>'Olin Standalone'!G$98</f>
        <v>2122.1</v>
      </c>
      <c r="G27" s="39">
        <f>'Olin Standalone'!H$98</f>
        <v>2137.8000000000002</v>
      </c>
      <c r="H27" s="39">
        <f>'Olin Standalone'!I$98</f>
        <v>1969.6</v>
      </c>
      <c r="I27" s="39">
        <f>'Olin Standalone'!J$98</f>
        <v>682.7</v>
      </c>
      <c r="J27" s="39">
        <f>'Olin Standalone'!K$98</f>
        <v>24.8</v>
      </c>
      <c r="K27" s="39">
        <f>'Olin Standalone'!L$98</f>
        <v>0</v>
      </c>
      <c r="L27" s="39">
        <f>'Olin Standalone'!M$98</f>
        <v>0</v>
      </c>
      <c r="M27" s="98">
        <f>MAX(0,L27+M28+'Olin Standalone'!N$132-(M26-L26)-(M29-L29))</f>
        <v>29.400000000000006</v>
      </c>
      <c r="N27" s="39">
        <f>M27+N28+'Olin Standalone'!O132-(N26-M26)-(N29-M29)</f>
        <v>60.900000000000006</v>
      </c>
      <c r="O27" s="39">
        <f>N27+O28+'Olin Standalone'!P132-(O26-N26)-(O29-N29)</f>
        <v>94.4</v>
      </c>
      <c r="P27" s="39">
        <f>O27+P28+'Olin Standalone'!Q132-(P26-O26)-(P29-O29)</f>
        <v>128.9</v>
      </c>
      <c r="Q27" s="39">
        <f>P27+Q28+'Olin Standalone'!R132-(Q26-P26)-(Q29-P29)</f>
        <v>164.4</v>
      </c>
      <c r="R27" s="99">
        <f>Q27+R28+'Olin Standalone'!S132-(R26-Q26)-(R29-Q29)</f>
        <v>199.9</v>
      </c>
      <c r="S27" t="s">
        <v>580</v>
      </c>
    </row>
    <row r="28" spans="2:19" x14ac:dyDescent="0.15">
      <c r="B28" s="2" t="s">
        <v>392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137">
        <f t="shared" ref="M28:R28" si="21">M$10</f>
        <v>20</v>
      </c>
      <c r="N28" s="52">
        <f t="shared" si="21"/>
        <v>20</v>
      </c>
      <c r="O28" s="52">
        <f t="shared" si="21"/>
        <v>20</v>
      </c>
      <c r="P28" s="52">
        <f t="shared" si="21"/>
        <v>20</v>
      </c>
      <c r="Q28" s="52">
        <f t="shared" si="21"/>
        <v>20</v>
      </c>
      <c r="R28" s="138">
        <f t="shared" si="21"/>
        <v>20</v>
      </c>
    </row>
    <row r="29" spans="2:19" x14ac:dyDescent="0.15">
      <c r="B29" t="s">
        <v>280</v>
      </c>
      <c r="C29" s="39">
        <f>'Olin Standalone'!D$100</f>
        <v>0</v>
      </c>
      <c r="D29" s="39">
        <f>'Olin Standalone'!E$100</f>
        <v>0</v>
      </c>
      <c r="E29" s="39">
        <f>'Olin Standalone'!F$100</f>
        <v>0</v>
      </c>
      <c r="F29" s="39">
        <f>'Olin Standalone'!G$100</f>
        <v>0</v>
      </c>
      <c r="G29" s="39">
        <f>'Olin Standalone'!H$100</f>
        <v>0</v>
      </c>
      <c r="H29" s="39">
        <f>'Olin Standalone'!I$100</f>
        <v>0</v>
      </c>
      <c r="I29" s="39">
        <f>'Olin Standalone'!J$100</f>
        <v>0</v>
      </c>
      <c r="J29" s="39">
        <f>'Olin Standalone'!K$100</f>
        <v>0</v>
      </c>
      <c r="K29" s="39">
        <f>'Olin Standalone'!L$100</f>
        <v>0</v>
      </c>
      <c r="L29" s="39">
        <f>'Olin Standalone'!M$100</f>
        <v>0</v>
      </c>
      <c r="M29" s="98">
        <f>L29+IF(M17&gt;0,(1-$C$44)*'Olin Standalone'!N$132,
IF(M17&lt;0,(1-$C$45)*'Olin Standalone'!N$132,0))</f>
        <v>0</v>
      </c>
      <c r="N29" s="39">
        <f>M29+IF(N17&gt;0,(1-$C$44)*'Olin Standalone'!O$132,
IF(N17&lt;0,(1-$C$45)*'Olin Standalone'!O$132,0))</f>
        <v>0</v>
      </c>
      <c r="O29" s="39">
        <f>N29+IF(O17&gt;0,(1-$C$44)*'Olin Standalone'!P$132,
IF(O17&lt;0,(1-$C$45)*'Olin Standalone'!P$132,0))</f>
        <v>0</v>
      </c>
      <c r="P29" s="39">
        <f>O29+IF(P17&gt;0,(1-$C$44)*'Olin Standalone'!Q$132,
IF(P17&lt;0,(1-$C$45)*'Olin Standalone'!Q$132,0))</f>
        <v>0</v>
      </c>
      <c r="Q29" s="39">
        <f>P29+IF(Q17&gt;0,(1-$C$44)*'Olin Standalone'!R$132,
IF(Q17&lt;0,(1-$C$45)*'Olin Standalone'!R$132,0))</f>
        <v>0</v>
      </c>
      <c r="R29" s="99">
        <f>Q29+IF(R17&gt;0,(1-$C$44)*'Olin Standalone'!S$132,
IF(R17&lt;0,(1-$C$45)*'Olin Standalone'!S$132,0))</f>
        <v>0</v>
      </c>
    </row>
    <row r="30" spans="2:19" x14ac:dyDescent="0.15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98"/>
      <c r="N30" s="39"/>
      <c r="O30" s="39"/>
      <c r="P30" s="39"/>
      <c r="Q30" s="39"/>
      <c r="R30" s="99"/>
    </row>
    <row r="31" spans="2:19" x14ac:dyDescent="0.15">
      <c r="B31" t="s">
        <v>384</v>
      </c>
      <c r="C31" s="185" t="s">
        <v>373</v>
      </c>
      <c r="D31" s="39">
        <f>'Olin Standalone'!D$99</f>
        <v>373.8</v>
      </c>
      <c r="E31" s="39">
        <f>'Olin Standalone'!E$99</f>
        <v>790.3</v>
      </c>
      <c r="F31" s="39">
        <f>'Olin Standalone'!F$99</f>
        <v>1070.5</v>
      </c>
      <c r="G31" s="39">
        <f>'Olin Standalone'!G$99</f>
        <v>941.1</v>
      </c>
      <c r="H31" s="39">
        <f>'Olin Standalone'!H$99</f>
        <v>-155.1</v>
      </c>
      <c r="I31" s="39">
        <f>'Olin Standalone'!I$99</f>
        <v>1013.8</v>
      </c>
      <c r="J31" s="39">
        <f>'Olin Standalone'!J$99</f>
        <v>2224.5</v>
      </c>
      <c r="K31" s="39">
        <f>'Olin Standalone'!K$99</f>
        <v>2583.6999999999998</v>
      </c>
      <c r="L31" s="39">
        <f>'Olin Standalone'!L$99</f>
        <v>2357.5</v>
      </c>
      <c r="M31" s="98">
        <f>L$35</f>
        <v>2139.8000000000002</v>
      </c>
      <c r="N31" s="39">
        <f t="shared" ref="N31:R31" ca="1" si="22">M$35</f>
        <v>2081.3824908181336</v>
      </c>
      <c r="O31" s="39">
        <f t="shared" ca="1" si="22"/>
        <v>2129.0235158766459</v>
      </c>
      <c r="P31" s="39">
        <f t="shared" ca="1" si="22"/>
        <v>2395.1476655739289</v>
      </c>
      <c r="Q31" s="39">
        <f t="shared" ca="1" si="22"/>
        <v>2841.9288852501172</v>
      </c>
      <c r="R31" s="99">
        <f t="shared" ca="1" si="22"/>
        <v>3554.4926883151838</v>
      </c>
    </row>
    <row r="32" spans="2:19" x14ac:dyDescent="0.15">
      <c r="B32" t="s">
        <v>107</v>
      </c>
      <c r="C32" s="39">
        <f>'Olin Standalone'!D$51</f>
        <v>-3.9</v>
      </c>
      <c r="D32" s="39">
        <f>'Olin Standalone'!E$51</f>
        <v>549.5</v>
      </c>
      <c r="E32" s="39">
        <f>'Olin Standalone'!F$51</f>
        <v>327.9</v>
      </c>
      <c r="F32" s="39">
        <f>'Olin Standalone'!G$51</f>
        <v>-11.3</v>
      </c>
      <c r="G32" s="39">
        <f>'Olin Standalone'!H$51</f>
        <v>-969.9</v>
      </c>
      <c r="H32" s="39">
        <f>'Olin Standalone'!I$51</f>
        <v>1296.7</v>
      </c>
      <c r="I32" s="39">
        <f>'Olin Standalone'!J$51</f>
        <v>1326.9</v>
      </c>
      <c r="J32" s="39">
        <f>'Olin Standalone'!K$51</f>
        <v>460.2</v>
      </c>
      <c r="K32" s="39">
        <f>'Olin Standalone'!L$51</f>
        <v>108.6</v>
      </c>
      <c r="L32" s="39">
        <f>'Olin Standalone'!M$51</f>
        <v>-100.5</v>
      </c>
      <c r="M32" s="98">
        <f ca="1">'Olin Standalone'!N$51</f>
        <v>33.022490818133349</v>
      </c>
      <c r="N32" s="39">
        <f ca="1">'Olin Standalone'!O$51</f>
        <v>139.52102505851218</v>
      </c>
      <c r="O32" s="39">
        <f ca="1">'Olin Standalone'!P$51</f>
        <v>358.40414969728317</v>
      </c>
      <c r="P32" s="39">
        <f ca="1">'Olin Standalone'!Q$51</f>
        <v>539.46121967618831</v>
      </c>
      <c r="Q32" s="39">
        <f ca="1">'Olin Standalone'!R$51</f>
        <v>805.64380306506644</v>
      </c>
      <c r="R32" s="99">
        <f ca="1">'Olin Standalone'!S$51</f>
        <v>993.82920284760507</v>
      </c>
    </row>
    <row r="33" spans="2:18" x14ac:dyDescent="0.15">
      <c r="B33" t="s">
        <v>293</v>
      </c>
      <c r="C33" s="39">
        <f>C$24</f>
        <v>-132.1</v>
      </c>
      <c r="D33" s="39">
        <f t="shared" ref="D33:L33" si="23">D$24</f>
        <v>-133</v>
      </c>
      <c r="E33" s="39">
        <f t="shared" si="23"/>
        <v>-133.6</v>
      </c>
      <c r="F33" s="39">
        <f t="shared" si="23"/>
        <v>-129.30000000000001</v>
      </c>
      <c r="G33" s="39">
        <f t="shared" si="23"/>
        <v>-126.3</v>
      </c>
      <c r="H33" s="39">
        <f t="shared" si="23"/>
        <v>-127.8</v>
      </c>
      <c r="I33" s="39">
        <f t="shared" si="23"/>
        <v>-116.2</v>
      </c>
      <c r="J33" s="39">
        <f t="shared" si="23"/>
        <v>-101</v>
      </c>
      <c r="K33" s="39">
        <f t="shared" si="23"/>
        <v>-94.2</v>
      </c>
      <c r="L33" s="39">
        <f t="shared" si="23"/>
        <v>-91.6</v>
      </c>
      <c r="M33" s="98">
        <f>M$24</f>
        <v>-91.44</v>
      </c>
      <c r="N33" s="39">
        <f t="shared" ref="N33:R33" si="24">N$24</f>
        <v>-91.88</v>
      </c>
      <c r="O33" s="39">
        <f t="shared" si="24"/>
        <v>-92.28</v>
      </c>
      <c r="P33" s="39">
        <f t="shared" si="24"/>
        <v>-92.68</v>
      </c>
      <c r="Q33" s="39">
        <f t="shared" si="24"/>
        <v>-93.08</v>
      </c>
      <c r="R33" s="99">
        <f t="shared" si="24"/>
        <v>-93.48</v>
      </c>
    </row>
    <row r="34" spans="2:18" x14ac:dyDescent="0.15">
      <c r="B34" t="s">
        <v>395</v>
      </c>
      <c r="C34" s="39"/>
      <c r="D34" s="39">
        <f>D$12</f>
        <v>0</v>
      </c>
      <c r="E34" s="39">
        <f t="shared" ref="E34:L34" si="25">E$12</f>
        <v>85.900000000000063</v>
      </c>
      <c r="F34" s="39">
        <f t="shared" si="25"/>
        <v>11.200000000000031</v>
      </c>
      <c r="G34" s="39">
        <f t="shared" si="25"/>
        <v>0</v>
      </c>
      <c r="H34" s="39">
        <f t="shared" si="25"/>
        <v>-1.8474111129762605E-13</v>
      </c>
      <c r="I34" s="39">
        <f t="shared" si="25"/>
        <v>0</v>
      </c>
      <c r="J34" s="39">
        <f t="shared" si="25"/>
        <v>-1.7053025658242404E-13</v>
      </c>
      <c r="K34" s="39">
        <f t="shared" si="25"/>
        <v>-240.59999999999985</v>
      </c>
      <c r="L34" s="39">
        <f t="shared" si="25"/>
        <v>-25.599999999999824</v>
      </c>
      <c r="M34" s="98">
        <f>M12+MIN(0,L27+M28+'Olin Standalone'!N$132-(M26-L26)-(M29-L29))</f>
        <v>0</v>
      </c>
      <c r="N34" s="39">
        <f>N12+MIN(0,M27+N28+'Olin Standalone'!O$132-(N26-M26)-(N29-M29))</f>
        <v>0</v>
      </c>
      <c r="O34" s="39">
        <f>O12+MIN(0,N27+O28+'Olin Standalone'!P$132-(O26-N26)-(O29-N29))</f>
        <v>0</v>
      </c>
      <c r="P34" s="39">
        <f>P12+MIN(0,O27+P28+'Olin Standalone'!Q$132-(P26-O26)-(P29-O29))</f>
        <v>0</v>
      </c>
      <c r="Q34" s="39">
        <f>Q12+MIN(0,P27+Q28+'Olin Standalone'!R$132-(Q26-P26)-(Q29-P29))</f>
        <v>0</v>
      </c>
      <c r="R34" s="99">
        <f>R12+MIN(0,Q27+R28+'Olin Standalone'!S$132-(R26-Q26)-(R29-Q29))</f>
        <v>0</v>
      </c>
    </row>
    <row r="35" spans="2:18" x14ac:dyDescent="0.15">
      <c r="B35" s="88" t="s">
        <v>385</v>
      </c>
      <c r="C35" s="89">
        <f>'Olin Standalone'!D$99</f>
        <v>373.8</v>
      </c>
      <c r="D35" s="89">
        <f>'Olin Standalone'!E$99</f>
        <v>790.3</v>
      </c>
      <c r="E35" s="89">
        <f>'Olin Standalone'!F$99</f>
        <v>1070.5</v>
      </c>
      <c r="F35" s="89">
        <f>'Olin Standalone'!G$99</f>
        <v>941.1</v>
      </c>
      <c r="G35" s="89">
        <f>'Olin Standalone'!H$99</f>
        <v>-155.1</v>
      </c>
      <c r="H35" s="89">
        <f>'Olin Standalone'!I$99</f>
        <v>1013.8</v>
      </c>
      <c r="I35" s="89">
        <f>'Olin Standalone'!J$99</f>
        <v>2224.5</v>
      </c>
      <c r="J35" s="89">
        <f>'Olin Standalone'!K$99</f>
        <v>2583.6999999999998</v>
      </c>
      <c r="K35" s="89">
        <f>'Olin Standalone'!L$99</f>
        <v>2357.5</v>
      </c>
      <c r="L35" s="89">
        <f>'Olin Standalone'!M$99</f>
        <v>2139.8000000000002</v>
      </c>
      <c r="M35" s="94">
        <f ca="1">M$31+M$32+M$33+M$34</f>
        <v>2081.3824908181336</v>
      </c>
      <c r="N35" s="89">
        <f t="shared" ref="N35:R35" ca="1" si="26">N$31+N$32+N$33+N$34</f>
        <v>2129.0235158766459</v>
      </c>
      <c r="O35" s="89">
        <f t="shared" ca="1" si="26"/>
        <v>2395.1476655739289</v>
      </c>
      <c r="P35" s="89">
        <f t="shared" ca="1" si="26"/>
        <v>2841.9288852501172</v>
      </c>
      <c r="Q35" s="89">
        <f t="shared" ca="1" si="26"/>
        <v>3554.4926883151838</v>
      </c>
      <c r="R35" s="95">
        <f t="shared" ca="1" si="26"/>
        <v>4454.8418911627896</v>
      </c>
    </row>
    <row r="36" spans="2:18" x14ac:dyDescent="0.15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98"/>
      <c r="N36" s="39"/>
      <c r="O36" s="39"/>
      <c r="P36" s="39"/>
      <c r="Q36" s="39"/>
      <c r="R36" s="99"/>
    </row>
    <row r="37" spans="2:18" x14ac:dyDescent="0.15">
      <c r="B37" t="s">
        <v>158</v>
      </c>
      <c r="C37" s="39">
        <f>IFERROR(
INDEX('Olin Raw'!$B$70:$K$90,
MATCH(TRIM($B37),'Olin Raw'!$M$70:$M$90,0),
MATCH(C$5,'Olin Raw'!$B$116:$K$116,0)
),"")</f>
        <v>-510</v>
      </c>
      <c r="D37" s="39">
        <f>IFERROR(
INDEX('Olin Raw'!$B$70:$K$90,
MATCH(TRIM($B37),'Olin Raw'!$M$70:$M$90,0),
MATCH(D$5,'Olin Raw'!$B$116:$K$116,0)
),"")</f>
        <v>-484.6</v>
      </c>
      <c r="E37" s="39">
        <f>IFERROR(
INDEX('Olin Raw'!$B$70:$K$90,
MATCH(TRIM($B37),'Olin Raw'!$M$70:$M$90,0),
MATCH(E$5,'Olin Raw'!$B$116:$K$116,0)
),"")</f>
        <v>-651</v>
      </c>
      <c r="F37" s="39">
        <f>IFERROR(
INDEX('Olin Raw'!$B$70:$K$90,
MATCH(TRIM($B37),'Olin Raw'!$M$70:$M$90,0),
MATCH(F$5,'Olin Raw'!$B$116:$K$116,0)
),"")</f>
        <v>-803.4</v>
      </c>
      <c r="G37" s="39">
        <f>IFERROR(
INDEX('Olin Raw'!$B$70:$K$90,
MATCH(TRIM($B37),'Olin Raw'!$M$70:$M$90,0),
MATCH(G$5,'Olin Raw'!$B$116:$K$116,0)
),"")</f>
        <v>-689.9</v>
      </c>
      <c r="H37" s="39">
        <f>IFERROR(
INDEX('Olin Raw'!$B$70:$K$90,
MATCH(TRIM($B37),'Olin Raw'!$M$70:$M$90,0),
MATCH(H$5,'Olin Raw'!$B$116:$K$116,0)
),"")</f>
        <v>-488</v>
      </c>
      <c r="I37" s="39">
        <f>IFERROR(
INDEX('Olin Raw'!$B$70:$K$90,
MATCH(TRIM($B37),'Olin Raw'!$M$70:$M$90,0),
MATCH(I$5,'Olin Raw'!$B$116:$K$116,0)
),"")</f>
        <v>-495.9</v>
      </c>
      <c r="J37" s="39">
        <f>IFERROR(
INDEX('Olin Raw'!$B$70:$K$90,
MATCH(TRIM($B37),'Olin Raw'!$M$70:$M$90,0),
MATCH(J$5,'Olin Raw'!$B$116:$K$116,0)
),"")</f>
        <v>-496.3</v>
      </c>
      <c r="K37" s="39">
        <f>IFERROR(
INDEX('Olin Raw'!$B$70:$K$90,
MATCH(TRIM($B37),'Olin Raw'!$M$70:$M$90,0),
MATCH(K$5,'Olin Raw'!$B$116:$K$116,0)
),"")</f>
        <v>-450.1</v>
      </c>
      <c r="L37" s="39">
        <f>IFERROR(
INDEX('Olin Raw'!$B$70:$K$90,
MATCH(TRIM($B37),'Olin Raw'!$M$70:$M$90,0),
MATCH(L$5,'Olin Raw'!$B$116:$K$116,0)
),"")</f>
        <v>-414.5</v>
      </c>
      <c r="M37" s="98">
        <f t="shared" ref="M37:R37" si="27">L$37+M$11</f>
        <v>-414.5</v>
      </c>
      <c r="N37" s="39">
        <f t="shared" si="27"/>
        <v>-414.5</v>
      </c>
      <c r="O37" s="39">
        <f t="shared" si="27"/>
        <v>-414.5</v>
      </c>
      <c r="P37" s="39">
        <f t="shared" si="27"/>
        <v>-414.5</v>
      </c>
      <c r="Q37" s="39">
        <f t="shared" si="27"/>
        <v>-414.5</v>
      </c>
      <c r="R37" s="99">
        <f t="shared" si="27"/>
        <v>-414.5</v>
      </c>
    </row>
    <row r="38" spans="2:18" ht="14" thickBot="1" x14ac:dyDescent="0.2">
      <c r="B38" s="133" t="s">
        <v>159</v>
      </c>
      <c r="C38" s="135">
        <f>IFERROR(
INDEX('Olin Raw'!$B$70:$K$90,
MATCH(TRIM($B38),'Olin Raw'!$M$70:$M$90,0),
MATCH(C$5,'Olin Raw'!$B$116:$K$116,0)
),"")</f>
        <v>2273</v>
      </c>
      <c r="D38" s="135">
        <f>IFERROR(
INDEX('Olin Raw'!$B$70:$K$90,
MATCH(TRIM($B38),'Olin Raw'!$M$70:$M$90,0),
MATCH(D$5,'Olin Raw'!$B$116:$K$116,0)
),"")</f>
        <v>2753.7</v>
      </c>
      <c r="E38" s="135">
        <f>IFERROR(
INDEX('Olin Raw'!$B$70:$K$90,
MATCH(TRIM($B38),'Olin Raw'!$M$70:$M$90,0),
MATCH(E$5,'Olin Raw'!$B$116:$K$116,0)
),"")</f>
        <v>2832.2</v>
      </c>
      <c r="F38" s="135">
        <f>IFERROR(
INDEX('Olin Raw'!$B$70:$K$90,
MATCH(TRIM($B38),'Olin Raw'!$M$70:$M$90,0),
MATCH(F$5,'Olin Raw'!$B$116:$K$116,0)
),"")</f>
        <v>2417.5</v>
      </c>
      <c r="G38" s="135">
        <f>IFERROR(
INDEX('Olin Raw'!$B$70:$K$90,
MATCH(TRIM($B38),'Olin Raw'!$M$70:$M$90,0),
MATCH(G$5,'Olin Raw'!$B$116:$K$116,0)
),"")</f>
        <v>1450.8</v>
      </c>
      <c r="H38" s="135">
        <f>IFERROR(
INDEX('Olin Raw'!$B$70:$K$90,
MATCH(TRIM($B38),'Olin Raw'!$M$70:$M$90,0),
MATCH(H$5,'Olin Raw'!$B$116:$K$116,0)
),"")</f>
        <v>2652.2</v>
      </c>
      <c r="I38" s="135">
        <f>IFERROR(
INDEX('Olin Raw'!$B$70:$K$90,
MATCH(TRIM($B38),'Olin Raw'!$M$70:$M$90,0),
MATCH(I$5,'Olin Raw'!$B$116:$K$116,0)
),"")</f>
        <v>2543.6</v>
      </c>
      <c r="J38" s="135">
        <f>IFERROR(
INDEX('Olin Raw'!$B$70:$K$90,
MATCH(TRIM($B38),'Olin Raw'!$M$70:$M$90,0),
MATCH(J$5,'Olin Raw'!$B$116:$K$116,0)
),"")</f>
        <v>2232.4</v>
      </c>
      <c r="K38" s="135">
        <f>IFERROR(
INDEX('Olin Raw'!$B$70:$K$90,
MATCH(TRIM($B38),'Olin Raw'!$M$70:$M$90,0),
MATCH(K$5,'Olin Raw'!$B$116:$K$116,0)
),"")</f>
        <v>2023.1</v>
      </c>
      <c r="L38" s="135">
        <f>IFERROR(
INDEX('Olin Raw'!$B$70:$K$90,
MATCH(TRIM($B38),'Olin Raw'!$M$70:$M$90,0),
MATCH(L$5,'Olin Raw'!$B$116:$K$116,0)
),"")</f>
        <v>1838.9</v>
      </c>
      <c r="M38" s="134">
        <f t="shared" ref="M38:R38" ca="1" si="28">M26+M27+M29+M35+M37</f>
        <v>1810.4824908181336</v>
      </c>
      <c r="N38" s="135">
        <f t="shared" ca="1" si="28"/>
        <v>1890.1235158766458</v>
      </c>
      <c r="O38" s="135">
        <f t="shared" ca="1" si="28"/>
        <v>2190.2476655739288</v>
      </c>
      <c r="P38" s="135">
        <f t="shared" ca="1" si="28"/>
        <v>2672.0288852501171</v>
      </c>
      <c r="Q38" s="135">
        <f t="shared" ca="1" si="28"/>
        <v>3420.5926883151838</v>
      </c>
      <c r="R38" s="136">
        <f t="shared" ca="1" si="28"/>
        <v>4356.9418911627899</v>
      </c>
    </row>
    <row r="39" spans="2:18" ht="14" thickTop="1" x14ac:dyDescent="0.15"/>
    <row r="44" spans="2:18" x14ac:dyDescent="0.15">
      <c r="B44" s="194" t="s">
        <v>430</v>
      </c>
      <c r="C44" s="164">
        <v>1</v>
      </c>
      <c r="D44" t="s">
        <v>431</v>
      </c>
    </row>
    <row r="45" spans="2:18" x14ac:dyDescent="0.15">
      <c r="B45" s="197" t="s">
        <v>429</v>
      </c>
      <c r="C45" s="171">
        <v>1</v>
      </c>
      <c r="D45" t="s">
        <v>432</v>
      </c>
      <c r="F45" t="s">
        <v>580</v>
      </c>
    </row>
    <row r="46" spans="2:18" x14ac:dyDescent="0.15">
      <c r="B46" s="195" t="s">
        <v>428</v>
      </c>
      <c r="C46" s="196">
        <v>1</v>
      </c>
    </row>
  </sheetData>
  <mergeCells count="2">
    <mergeCell ref="C4:L4"/>
    <mergeCell ref="M4:R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2300-616D-064F-9758-691B54C0D471}">
  <sheetPr codeName="Sheet12"/>
  <dimension ref="A1:S37"/>
  <sheetViews>
    <sheetView showGridLines="0" workbookViewId="0">
      <selection activeCell="P41" sqref="P41"/>
    </sheetView>
  </sheetViews>
  <sheetFormatPr baseColWidth="10" defaultRowHeight="13" x14ac:dyDescent="0.15"/>
  <cols>
    <col min="1" max="1" width="5.33203125" customWidth="1"/>
    <col min="2" max="2" width="54.3320312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412</v>
      </c>
    </row>
    <row r="3" spans="1:19" ht="16" x14ac:dyDescent="0.15">
      <c r="B3" s="352" t="s">
        <v>407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</row>
    <row r="4" spans="1:19" x14ac:dyDescent="0.15">
      <c r="B4" s="90"/>
      <c r="C4" s="356" t="s">
        <v>399</v>
      </c>
      <c r="D4" s="356"/>
      <c r="E4" s="356"/>
      <c r="F4" s="356"/>
      <c r="G4" s="356"/>
      <c r="H4" s="356"/>
      <c r="I4" s="356"/>
      <c r="J4" s="356"/>
      <c r="K4" s="356"/>
      <c r="L4" s="356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3">
        <v>42735</v>
      </c>
      <c r="D5" s="143">
        <f>EDATE(C5,12)</f>
        <v>43100</v>
      </c>
      <c r="E5" s="143">
        <f t="shared" ref="E5:R5" si="0">EDATE(D5,12)</f>
        <v>43465</v>
      </c>
      <c r="F5" s="143">
        <f t="shared" si="0"/>
        <v>43830</v>
      </c>
      <c r="G5" s="143">
        <f t="shared" si="0"/>
        <v>44196</v>
      </c>
      <c r="H5" s="143">
        <f t="shared" si="0"/>
        <v>44561</v>
      </c>
      <c r="I5" s="143">
        <f>EDATE(H5,12)</f>
        <v>44926</v>
      </c>
      <c r="J5" s="143">
        <f t="shared" si="0"/>
        <v>45291</v>
      </c>
      <c r="K5" s="143">
        <f t="shared" si="0"/>
        <v>45657</v>
      </c>
      <c r="L5" s="143">
        <f t="shared" si="0"/>
        <v>46022</v>
      </c>
      <c r="M5" s="158">
        <f t="shared" si="0"/>
        <v>46387</v>
      </c>
      <c r="N5" s="143">
        <f t="shared" si="0"/>
        <v>46752</v>
      </c>
      <c r="O5" s="143">
        <f t="shared" si="0"/>
        <v>47118</v>
      </c>
      <c r="P5" s="143">
        <f t="shared" si="0"/>
        <v>47483</v>
      </c>
      <c r="Q5" s="143">
        <f t="shared" si="0"/>
        <v>47848</v>
      </c>
      <c r="R5" s="161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159"/>
      <c r="N7" s="59"/>
      <c r="O7" s="59"/>
      <c r="P7" s="59"/>
      <c r="Q7" s="59"/>
      <c r="R7" s="162"/>
    </row>
    <row r="8" spans="1:19" x14ac:dyDescent="0.15">
      <c r="B8" t="s">
        <v>377</v>
      </c>
      <c r="C8" s="51"/>
      <c r="D8" s="52">
        <f t="shared" ref="D8:L8" si="1">D$19-D$16+D$17</f>
        <v>18.099999999999625</v>
      </c>
      <c r="E8" s="52">
        <f t="shared" si="1"/>
        <v>-30.999999999999261</v>
      </c>
      <c r="F8" s="52">
        <f t="shared" si="1"/>
        <v>320.99999999999943</v>
      </c>
      <c r="G8" s="52">
        <f t="shared" si="1"/>
        <v>-17.099999999999795</v>
      </c>
      <c r="H8" s="52">
        <f t="shared" si="1"/>
        <v>-89.6</v>
      </c>
      <c r="I8" s="52">
        <f t="shared" si="1"/>
        <v>-156.20000000000019</v>
      </c>
      <c r="J8" s="52">
        <f t="shared" si="1"/>
        <v>11.5</v>
      </c>
      <c r="K8" s="52">
        <f t="shared" si="1"/>
        <v>-65.999999999999631</v>
      </c>
      <c r="L8" s="52">
        <f t="shared" si="1"/>
        <v>-41.900000000000375</v>
      </c>
      <c r="M8" s="77">
        <v>0</v>
      </c>
      <c r="N8" s="78">
        <v>0</v>
      </c>
      <c r="O8" s="78">
        <v>0</v>
      </c>
      <c r="P8" s="78">
        <v>0</v>
      </c>
      <c r="Q8" s="78">
        <v>0</v>
      </c>
      <c r="R8" s="79">
        <v>0</v>
      </c>
      <c r="S8" s="40"/>
    </row>
    <row r="9" spans="1:19" x14ac:dyDescent="0.15">
      <c r="B9" t="s">
        <v>376</v>
      </c>
      <c r="C9" s="1"/>
      <c r="D9" s="39">
        <f t="shared" ref="D9:L9" si="2">D$36-D$31</f>
        <v>507.79999999999995</v>
      </c>
      <c r="E9" s="39">
        <f t="shared" si="2"/>
        <v>534.49999999999989</v>
      </c>
      <c r="F9" s="39">
        <f t="shared" si="2"/>
        <v>533.9</v>
      </c>
      <c r="G9" s="39">
        <f t="shared" si="2"/>
        <v>519.69999999999993</v>
      </c>
      <c r="H9" s="39">
        <f t="shared" si="2"/>
        <v>514.79999999999995</v>
      </c>
      <c r="I9" s="39">
        <f t="shared" si="2"/>
        <v>598.79999999999995</v>
      </c>
      <c r="J9" s="39">
        <f t="shared" si="2"/>
        <v>519.20000000000005</v>
      </c>
      <c r="K9" s="39">
        <f t="shared" si="2"/>
        <v>464.4000000000002</v>
      </c>
      <c r="L9" s="39">
        <f t="shared" si="2"/>
        <v>438.09999999999991</v>
      </c>
      <c r="M9" s="364" t="s">
        <v>578</v>
      </c>
      <c r="N9" s="365"/>
      <c r="O9" s="365"/>
      <c r="P9" s="365"/>
      <c r="Q9" s="365"/>
      <c r="R9" s="366"/>
    </row>
    <row r="10" spans="1:19" x14ac:dyDescent="0.15">
      <c r="B10" t="s">
        <v>374</v>
      </c>
      <c r="C10" s="40"/>
      <c r="D10" s="42">
        <f t="shared" ref="D10:L10" si="3">D$9/AVERAGE(D$16,D$19)</f>
        <v>8.8271594207937135E-2</v>
      </c>
      <c r="E10" s="42">
        <f t="shared" si="3"/>
        <v>8.7824515280972709E-2</v>
      </c>
      <c r="F10" s="42">
        <f t="shared" si="3"/>
        <v>8.0693428450516899E-2</v>
      </c>
      <c r="G10" s="42">
        <f t="shared" si="3"/>
        <v>7.308806570472251E-2</v>
      </c>
      <c r="H10" s="42">
        <f t="shared" si="3"/>
        <v>7.0452990283289996E-2</v>
      </c>
      <c r="I10" s="42">
        <f t="shared" si="3"/>
        <v>8.088776619815341E-2</v>
      </c>
      <c r="J10" s="42">
        <f t="shared" si="3"/>
        <v>6.8614170835012797E-2</v>
      </c>
      <c r="K10" s="42">
        <f t="shared" si="3"/>
        <v>5.9882015408916564E-2</v>
      </c>
      <c r="L10" s="42">
        <f t="shared" si="3"/>
        <v>5.53715874620829E-2</v>
      </c>
      <c r="M10" s="66">
        <v>5.8000000000000003E-2</v>
      </c>
      <c r="N10" s="67">
        <v>5.8000000000000003E-2</v>
      </c>
      <c r="O10" s="67">
        <v>5.8000000000000003E-2</v>
      </c>
      <c r="P10" s="67">
        <v>5.8000000000000003E-2</v>
      </c>
      <c r="Q10" s="67">
        <v>5.8000000000000003E-2</v>
      </c>
      <c r="R10" s="68">
        <v>5.8000000000000003E-2</v>
      </c>
      <c r="S10" s="40"/>
    </row>
    <row r="11" spans="1:19" x14ac:dyDescent="0.15">
      <c r="B11" t="s">
        <v>365</v>
      </c>
      <c r="C11" s="40"/>
      <c r="D11" s="39">
        <f>D25-D22+D23</f>
        <v>66.299999999999955</v>
      </c>
      <c r="E11" s="39">
        <f t="shared" ref="E11:L11" si="4">E25-E22+E23</f>
        <v>86.599999999999795</v>
      </c>
      <c r="F11" s="39">
        <f t="shared" si="4"/>
        <v>46.800000000000068</v>
      </c>
      <c r="G11" s="39">
        <f t="shared" si="4"/>
        <v>67.999999999999659</v>
      </c>
      <c r="H11" s="39">
        <f t="shared" si="4"/>
        <v>158.10000000000014</v>
      </c>
      <c r="I11" s="39">
        <f t="shared" si="4"/>
        <v>262.19999999999959</v>
      </c>
      <c r="J11" s="39">
        <f t="shared" si="4"/>
        <v>105.90000000000077</v>
      </c>
      <c r="K11" s="39">
        <f t="shared" si="4"/>
        <v>101.60000000000002</v>
      </c>
      <c r="L11" s="39">
        <f t="shared" si="4"/>
        <v>118.59999999999991</v>
      </c>
      <c r="M11" s="80">
        <v>0</v>
      </c>
      <c r="N11" s="81">
        <v>0</v>
      </c>
      <c r="O11" s="81">
        <v>0</v>
      </c>
      <c r="P11" s="81">
        <v>0</v>
      </c>
      <c r="Q11" s="81">
        <v>0</v>
      </c>
      <c r="R11" s="82">
        <v>0</v>
      </c>
      <c r="S11" s="40"/>
    </row>
    <row r="12" spans="1:19" x14ac:dyDescent="0.15">
      <c r="B12" t="s">
        <v>378</v>
      </c>
      <c r="C12" s="51"/>
      <c r="D12" s="52">
        <f>MAX(D$30-D$32,0)</f>
        <v>51.100000000000023</v>
      </c>
      <c r="E12" s="52">
        <f t="shared" ref="E12:L12" si="5">MAX(E$30-E$32,0)</f>
        <v>66.899999999999977</v>
      </c>
      <c r="F12" s="52">
        <f t="shared" si="5"/>
        <v>63.5</v>
      </c>
      <c r="G12" s="52">
        <f t="shared" si="5"/>
        <v>48.700000000000045</v>
      </c>
      <c r="H12" s="52">
        <f t="shared" si="5"/>
        <v>67.699999999999989</v>
      </c>
      <c r="I12" s="52">
        <f t="shared" si="5"/>
        <v>0</v>
      </c>
      <c r="J12" s="52">
        <f t="shared" si="5"/>
        <v>14.200000000000045</v>
      </c>
      <c r="K12" s="52">
        <f t="shared" si="5"/>
        <v>53.699999999999818</v>
      </c>
      <c r="L12" s="52">
        <f t="shared" si="5"/>
        <v>83.5</v>
      </c>
      <c r="M12" s="80">
        <v>35.799999999999997</v>
      </c>
      <c r="N12" s="81">
        <v>35.700000000000003</v>
      </c>
      <c r="O12" s="81">
        <v>35.5</v>
      </c>
      <c r="P12" s="81">
        <v>35.5</v>
      </c>
      <c r="Q12" s="81">
        <v>26.6</v>
      </c>
      <c r="R12" s="82">
        <v>26.6</v>
      </c>
      <c r="S12" s="40" t="s">
        <v>580</v>
      </c>
    </row>
    <row r="13" spans="1:19" x14ac:dyDescent="0.15">
      <c r="B13" t="s">
        <v>301</v>
      </c>
      <c r="C13" s="42">
        <f>'Olin Standalone'!D123/'Olin Standalone'!D34</f>
        <v>-5.0084675530573268E-2</v>
      </c>
      <c r="D13" s="42">
        <f>'Olin Standalone'!E123/'Olin Standalone'!E34</f>
        <v>-4.6949779848127121E-2</v>
      </c>
      <c r="E13" s="42">
        <f>'Olin Standalone'!F123/'Olin Standalone'!F34</f>
        <v>-5.5455579389873451E-2</v>
      </c>
      <c r="F13" s="42">
        <f>'Olin Standalone'!G123/'Olin Standalone'!G34</f>
        <v>-6.3109656301145664E-2</v>
      </c>
      <c r="G13" s="42">
        <f>'Olin Standalone'!H123/'Olin Standalone'!H34</f>
        <v>-5.1910385550538375E-2</v>
      </c>
      <c r="H13" s="42">
        <f>'Olin Standalone'!I123/'Olin Standalone'!I34</f>
        <v>-2.251251318654187E-2</v>
      </c>
      <c r="I13" s="42">
        <f>'Olin Standalone'!J123/'Olin Standalone'!J34</f>
        <v>-2.5266099272626436E-2</v>
      </c>
      <c r="J13" s="42">
        <f>'Olin Standalone'!K123/'Olin Standalone'!K34</f>
        <v>-3.4538270159519976E-2</v>
      </c>
      <c r="K13" s="42">
        <f>'Olin Standalone'!L123/'Olin Standalone'!L34</f>
        <v>-2.9831348144523782E-2</v>
      </c>
      <c r="L13" s="42">
        <f>'Olin Standalone'!M123/'Olin Standalone'!M34</f>
        <v>-3.3373643227937705E-2</v>
      </c>
      <c r="M13" s="69">
        <v>-0.03</v>
      </c>
      <c r="N13" s="70">
        <f>M13</f>
        <v>-0.03</v>
      </c>
      <c r="O13" s="70">
        <f t="shared" ref="O13:R13" si="6">N13</f>
        <v>-0.03</v>
      </c>
      <c r="P13" s="70">
        <f t="shared" si="6"/>
        <v>-0.03</v>
      </c>
      <c r="Q13" s="70">
        <f t="shared" si="6"/>
        <v>-0.03</v>
      </c>
      <c r="R13" s="71">
        <f t="shared" si="6"/>
        <v>-0.03</v>
      </c>
    </row>
    <row r="14" spans="1:19" x14ac:dyDescent="0.15"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106"/>
      <c r="N14" s="40"/>
      <c r="O14" s="40"/>
      <c r="P14" s="40"/>
      <c r="Q14" s="40"/>
      <c r="R14" s="107"/>
      <c r="S14" s="40"/>
    </row>
    <row r="15" spans="1:19" x14ac:dyDescent="0.15">
      <c r="B15" s="59" t="s">
        <v>360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60"/>
      <c r="N15" s="157"/>
      <c r="O15" s="157"/>
      <c r="P15" s="157"/>
      <c r="Q15" s="157"/>
      <c r="R15" s="163"/>
      <c r="S15" s="40"/>
    </row>
    <row r="16" spans="1:19" x14ac:dyDescent="0.15">
      <c r="B16" t="s">
        <v>361</v>
      </c>
      <c r="C16" s="16" t="s">
        <v>373</v>
      </c>
      <c r="D16" s="39">
        <f>'Olin Standalone'!D$71</f>
        <v>5596.5</v>
      </c>
      <c r="E16" s="39">
        <f>'Olin Standalone'!E$71</f>
        <v>5908.9</v>
      </c>
      <c r="F16" s="39">
        <f>'Olin Standalone'!F$71</f>
        <v>6263.1</v>
      </c>
      <c r="G16" s="39">
        <f>'Olin Standalone'!G$71</f>
        <v>6969.7</v>
      </c>
      <c r="H16" s="39">
        <f>'Olin Standalone'!H$71</f>
        <v>7251.5</v>
      </c>
      <c r="I16" s="39">
        <f>'Olin Standalone'!I$71</f>
        <v>7362.5</v>
      </c>
      <c r="J16" s="39">
        <f>'Olin Standalone'!J$71</f>
        <v>7443.2</v>
      </c>
      <c r="K16" s="39">
        <f>'Olin Standalone'!K$71</f>
        <v>7690.7</v>
      </c>
      <c r="L16" s="39">
        <f>'Olin Standalone'!L$71</f>
        <v>7819.8</v>
      </c>
      <c r="M16" s="98">
        <f>L$19</f>
        <v>8004.2</v>
      </c>
      <c r="N16" s="39">
        <f t="shared" ref="N16:R16" si="7">M$19</f>
        <v>8220.1752608000006</v>
      </c>
      <c r="O16" s="39">
        <f t="shared" si="7"/>
        <v>8435.2866205568007</v>
      </c>
      <c r="P16" s="39">
        <f t="shared" si="7"/>
        <v>8666.0795984398719</v>
      </c>
      <c r="Q16" s="39">
        <f t="shared" si="7"/>
        <v>8903.9810000417419</v>
      </c>
      <c r="R16" s="99">
        <f t="shared" si="7"/>
        <v>9156.3943871413248</v>
      </c>
    </row>
    <row r="17" spans="2:18" x14ac:dyDescent="0.15">
      <c r="B17" s="48" t="s">
        <v>164</v>
      </c>
      <c r="C17" s="48">
        <f>'Olin Standalone'!D$123</f>
        <v>-278</v>
      </c>
      <c r="D17" s="57">
        <f>'Olin Standalone'!E$123</f>
        <v>-294.3</v>
      </c>
      <c r="E17" s="57">
        <f>'Olin Standalone'!F$123</f>
        <v>-385.2</v>
      </c>
      <c r="F17" s="57">
        <f>'Olin Standalone'!G$123</f>
        <v>-385.6</v>
      </c>
      <c r="G17" s="57">
        <f>'Olin Standalone'!H$123</f>
        <v>-298.89999999999998</v>
      </c>
      <c r="H17" s="57">
        <f>'Olin Standalone'!I$123</f>
        <v>-200.6</v>
      </c>
      <c r="I17" s="57">
        <f>'Olin Standalone'!J$123</f>
        <v>-236.9</v>
      </c>
      <c r="J17" s="57">
        <f>'Olin Standalone'!K$123</f>
        <v>-236</v>
      </c>
      <c r="K17" s="57">
        <f>'Olin Standalone'!L$123</f>
        <v>-195.1</v>
      </c>
      <c r="L17" s="57">
        <f>'Olin Standalone'!M$123</f>
        <v>-226.3</v>
      </c>
      <c r="M17" s="96">
        <f>'Olin Standalone'!N$34*M$13</f>
        <v>-215.97526080000003</v>
      </c>
      <c r="N17" s="57">
        <f>'Olin Standalone'!O$34*N$13</f>
        <v>-215.11135975680003</v>
      </c>
      <c r="O17" s="57">
        <f>'Olin Standalone'!P$34*O$13</f>
        <v>-230.79297788307073</v>
      </c>
      <c r="P17" s="57">
        <f>'Olin Standalone'!Q$34*P$13</f>
        <v>-237.90140160186931</v>
      </c>
      <c r="Q17" s="57">
        <f>'Olin Standalone'!R$34*Q$13</f>
        <v>-252.4133870995833</v>
      </c>
      <c r="R17" s="97">
        <f>'Olin Standalone'!S$34*R$13</f>
        <v>-262.50992258356666</v>
      </c>
    </row>
    <row r="18" spans="2:18" x14ac:dyDescent="0.15">
      <c r="B18" s="41" t="s">
        <v>408</v>
      </c>
      <c r="C18" s="12"/>
      <c r="D18" s="52">
        <f t="shared" ref="D18:L18" si="8">D8</f>
        <v>18.099999999999625</v>
      </c>
      <c r="E18" s="52">
        <f t="shared" si="8"/>
        <v>-30.999999999999261</v>
      </c>
      <c r="F18" s="52">
        <f t="shared" si="8"/>
        <v>320.99999999999943</v>
      </c>
      <c r="G18" s="52">
        <f t="shared" si="8"/>
        <v>-17.099999999999795</v>
      </c>
      <c r="H18" s="52">
        <f t="shared" si="8"/>
        <v>-89.6</v>
      </c>
      <c r="I18" s="52">
        <f t="shared" si="8"/>
        <v>-156.20000000000019</v>
      </c>
      <c r="J18" s="52">
        <f t="shared" si="8"/>
        <v>11.5</v>
      </c>
      <c r="K18" s="52">
        <f t="shared" si="8"/>
        <v>-65.999999999999631</v>
      </c>
      <c r="L18" s="52">
        <f t="shared" si="8"/>
        <v>-41.900000000000375</v>
      </c>
      <c r="M18" s="100">
        <v>0</v>
      </c>
      <c r="N18" s="53">
        <v>0</v>
      </c>
      <c r="O18" s="53">
        <v>0</v>
      </c>
      <c r="P18" s="53">
        <v>0</v>
      </c>
      <c r="Q18" s="53">
        <v>0</v>
      </c>
      <c r="R18" s="101">
        <v>0</v>
      </c>
    </row>
    <row r="19" spans="2:18" x14ac:dyDescent="0.15">
      <c r="B19" s="88" t="s">
        <v>362</v>
      </c>
      <c r="C19" s="89">
        <f>'Olin Standalone'!D$71</f>
        <v>5596.5</v>
      </c>
      <c r="D19" s="89">
        <f>'Olin Standalone'!E$71</f>
        <v>5908.9</v>
      </c>
      <c r="E19" s="89">
        <f>'Olin Standalone'!F$71</f>
        <v>6263.1</v>
      </c>
      <c r="F19" s="89">
        <f>'Olin Standalone'!G$71</f>
        <v>6969.7</v>
      </c>
      <c r="G19" s="89">
        <f>'Olin Standalone'!H$71</f>
        <v>7251.5</v>
      </c>
      <c r="H19" s="89">
        <f>'Olin Standalone'!I$71</f>
        <v>7362.5</v>
      </c>
      <c r="I19" s="89">
        <f>'Olin Standalone'!J$71</f>
        <v>7443.2</v>
      </c>
      <c r="J19" s="89">
        <f>'Olin Standalone'!K$71</f>
        <v>7690.7</v>
      </c>
      <c r="K19" s="89">
        <f>'Olin Standalone'!L$71</f>
        <v>7819.8</v>
      </c>
      <c r="L19" s="89">
        <f>'Olin Standalone'!M$71</f>
        <v>8004.2</v>
      </c>
      <c r="M19" s="94">
        <f>M16-M17+M18</f>
        <v>8220.1752608000006</v>
      </c>
      <c r="N19" s="89">
        <f t="shared" ref="N19:R19" si="9">N16-N17+N18</f>
        <v>8435.2866205568007</v>
      </c>
      <c r="O19" s="89">
        <f t="shared" si="9"/>
        <v>8666.0795984398719</v>
      </c>
      <c r="P19" s="89">
        <f t="shared" si="9"/>
        <v>8903.9810000417419</v>
      </c>
      <c r="Q19" s="89">
        <f t="shared" si="9"/>
        <v>9156.3943871413248</v>
      </c>
      <c r="R19" s="95">
        <f t="shared" si="9"/>
        <v>9418.9043097248923</v>
      </c>
    </row>
    <row r="20" spans="2:18" x14ac:dyDescent="0.15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98"/>
      <c r="N20" s="39"/>
      <c r="O20" s="39"/>
      <c r="P20" s="39"/>
      <c r="Q20" s="39"/>
      <c r="R20" s="99"/>
    </row>
    <row r="21" spans="2:18" x14ac:dyDescent="0.15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98"/>
      <c r="N21" s="39"/>
      <c r="O21" s="39"/>
      <c r="P21" s="39"/>
      <c r="Q21" s="39"/>
      <c r="R21" s="99"/>
    </row>
    <row r="22" spans="2:18" x14ac:dyDescent="0.15">
      <c r="B22" t="s">
        <v>364</v>
      </c>
      <c r="C22" s="185" t="s">
        <v>373</v>
      </c>
      <c r="D22" s="39">
        <f>'Olin Standalone'!D72</f>
        <v>-1891.6</v>
      </c>
      <c r="E22" s="39">
        <f>'Olin Standalone'!E72</f>
        <v>-2333.1</v>
      </c>
      <c r="F22" s="39">
        <f>'Olin Standalone'!F72</f>
        <v>-2781</v>
      </c>
      <c r="G22" s="39">
        <f>'Olin Standalone'!G72</f>
        <v>-3268.1</v>
      </c>
      <c r="H22" s="39">
        <f>'Olin Standalone'!H72</f>
        <v>-3719.8</v>
      </c>
      <c r="I22" s="39">
        <f>'Olin Standalone'!I72</f>
        <v>-4076.5</v>
      </c>
      <c r="J22" s="39">
        <f>'Olin Standalone'!J72</f>
        <v>-4413.1000000000004</v>
      </c>
      <c r="K22" s="39">
        <f>'Olin Standalone'!K72</f>
        <v>-4826.3999999999996</v>
      </c>
      <c r="L22" s="39">
        <f>'Olin Standalone'!L72</f>
        <v>-5189.2</v>
      </c>
      <c r="M22" s="98">
        <f>L$25</f>
        <v>-5508.7</v>
      </c>
      <c r="N22" s="39">
        <f t="shared" ref="N22:R22" si="10">M$25</f>
        <v>-5979.2068825631995</v>
      </c>
      <c r="O22" s="39">
        <f t="shared" si="10"/>
        <v>-6462.2152771225465</v>
      </c>
      <c r="P22" s="39">
        <f t="shared" si="10"/>
        <v>-6958.1548974734496</v>
      </c>
      <c r="Q22" s="39">
        <f t="shared" si="10"/>
        <v>-7467.6866548294165</v>
      </c>
      <c r="R22" s="99">
        <f t="shared" si="10"/>
        <v>-7991.4375410577259</v>
      </c>
    </row>
    <row r="23" spans="2:18" x14ac:dyDescent="0.15">
      <c r="B23" t="s">
        <v>363</v>
      </c>
      <c r="C23" s="39">
        <f>C36*C10</f>
        <v>0</v>
      </c>
      <c r="D23" s="39">
        <f t="shared" ref="D23:L23" si="11">D9</f>
        <v>507.79999999999995</v>
      </c>
      <c r="E23" s="39">
        <f t="shared" si="11"/>
        <v>534.49999999999989</v>
      </c>
      <c r="F23" s="39">
        <f t="shared" si="11"/>
        <v>533.9</v>
      </c>
      <c r="G23" s="39">
        <f t="shared" si="11"/>
        <v>519.69999999999993</v>
      </c>
      <c r="H23" s="39">
        <f t="shared" si="11"/>
        <v>514.79999999999995</v>
      </c>
      <c r="I23" s="39">
        <f t="shared" si="11"/>
        <v>598.79999999999995</v>
      </c>
      <c r="J23" s="39">
        <f t="shared" si="11"/>
        <v>519.20000000000005</v>
      </c>
      <c r="K23" s="39">
        <f t="shared" si="11"/>
        <v>464.4000000000002</v>
      </c>
      <c r="L23" s="39">
        <f t="shared" si="11"/>
        <v>438.09999999999991</v>
      </c>
      <c r="M23" s="98">
        <f t="shared" ref="M23:R23" si="12">AVERAGE(M$19,M$16)*M$10</f>
        <v>470.50688256320001</v>
      </c>
      <c r="N23" s="39">
        <f t="shared" si="12"/>
        <v>483.00839455934727</v>
      </c>
      <c r="O23" s="39">
        <f t="shared" si="12"/>
        <v>495.93962035090345</v>
      </c>
      <c r="P23" s="39">
        <f t="shared" si="12"/>
        <v>509.53175735596682</v>
      </c>
      <c r="Q23" s="39">
        <f t="shared" si="12"/>
        <v>523.75088622830901</v>
      </c>
      <c r="R23" s="99">
        <f t="shared" si="12"/>
        <v>538.68366220912026</v>
      </c>
    </row>
    <row r="24" spans="2:18" x14ac:dyDescent="0.15">
      <c r="B24" t="s">
        <v>365</v>
      </c>
      <c r="C24" s="39"/>
      <c r="D24" s="39">
        <f t="shared" ref="D24:M24" si="13">D$11</f>
        <v>66.299999999999955</v>
      </c>
      <c r="E24" s="39">
        <f t="shared" si="13"/>
        <v>86.599999999999795</v>
      </c>
      <c r="F24" s="39">
        <f t="shared" si="13"/>
        <v>46.800000000000068</v>
      </c>
      <c r="G24" s="39">
        <f t="shared" si="13"/>
        <v>67.999999999999659</v>
      </c>
      <c r="H24" s="39">
        <f t="shared" si="13"/>
        <v>158.10000000000014</v>
      </c>
      <c r="I24" s="39">
        <f t="shared" si="13"/>
        <v>262.19999999999959</v>
      </c>
      <c r="J24" s="39">
        <f t="shared" si="13"/>
        <v>105.90000000000077</v>
      </c>
      <c r="K24" s="39">
        <f t="shared" si="13"/>
        <v>101.60000000000002</v>
      </c>
      <c r="L24" s="39">
        <f t="shared" si="13"/>
        <v>118.59999999999991</v>
      </c>
      <c r="M24" s="98">
        <f t="shared" si="13"/>
        <v>0</v>
      </c>
      <c r="N24" s="39">
        <f t="shared" ref="N24:R24" si="14">N$11</f>
        <v>0</v>
      </c>
      <c r="O24" s="39">
        <f t="shared" si="14"/>
        <v>0</v>
      </c>
      <c r="P24" s="39">
        <f t="shared" si="14"/>
        <v>0</v>
      </c>
      <c r="Q24" s="39">
        <f t="shared" si="14"/>
        <v>0</v>
      </c>
      <c r="R24" s="99">
        <f t="shared" si="14"/>
        <v>0</v>
      </c>
    </row>
    <row r="25" spans="2:18" x14ac:dyDescent="0.15">
      <c r="B25" s="88" t="s">
        <v>366</v>
      </c>
      <c r="C25" s="89">
        <f>'Olin Standalone'!D$72</f>
        <v>-1891.6</v>
      </c>
      <c r="D25" s="89">
        <f>'Olin Standalone'!E$72</f>
        <v>-2333.1</v>
      </c>
      <c r="E25" s="89">
        <f>'Olin Standalone'!F$72</f>
        <v>-2781</v>
      </c>
      <c r="F25" s="89">
        <f>'Olin Standalone'!G$72</f>
        <v>-3268.1</v>
      </c>
      <c r="G25" s="89">
        <f>'Olin Standalone'!H$72</f>
        <v>-3719.8</v>
      </c>
      <c r="H25" s="89">
        <f>'Olin Standalone'!I$72</f>
        <v>-4076.5</v>
      </c>
      <c r="I25" s="89">
        <f>'Olin Standalone'!J$72</f>
        <v>-4413.1000000000004</v>
      </c>
      <c r="J25" s="89">
        <f>'Olin Standalone'!K$72</f>
        <v>-4826.3999999999996</v>
      </c>
      <c r="K25" s="89">
        <f>'Olin Standalone'!L$72</f>
        <v>-5189.2</v>
      </c>
      <c r="L25" s="89">
        <f>'Olin Standalone'!M$72</f>
        <v>-5508.7</v>
      </c>
      <c r="M25" s="94">
        <f>M22-M23+M24</f>
        <v>-5979.2068825631995</v>
      </c>
      <c r="N25" s="89">
        <f t="shared" ref="N25:R25" si="15">N22-N23+N24</f>
        <v>-6462.2152771225465</v>
      </c>
      <c r="O25" s="89">
        <f t="shared" si="15"/>
        <v>-6958.1548974734496</v>
      </c>
      <c r="P25" s="89">
        <f t="shared" si="15"/>
        <v>-7467.6866548294165</v>
      </c>
      <c r="Q25" s="89">
        <f t="shared" si="15"/>
        <v>-7991.4375410577259</v>
      </c>
      <c r="R25" s="95">
        <f t="shared" si="15"/>
        <v>-8530.1212032668464</v>
      </c>
    </row>
    <row r="26" spans="2:18" x14ac:dyDescent="0.15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98"/>
      <c r="N26" s="39"/>
      <c r="O26" s="39"/>
      <c r="P26" s="39"/>
      <c r="Q26" s="39"/>
      <c r="R26" s="99"/>
    </row>
    <row r="27" spans="2:18" ht="14" thickBot="1" x14ac:dyDescent="0.2">
      <c r="B27" s="133" t="s">
        <v>267</v>
      </c>
      <c r="C27" s="135">
        <f t="shared" ref="C27:L27" si="16">C$19+C$25</f>
        <v>3704.9</v>
      </c>
      <c r="D27" s="135">
        <f t="shared" si="16"/>
        <v>3575.7999999999997</v>
      </c>
      <c r="E27" s="135">
        <f t="shared" si="16"/>
        <v>3482.1000000000004</v>
      </c>
      <c r="F27" s="135">
        <f t="shared" si="16"/>
        <v>3701.6</v>
      </c>
      <c r="G27" s="135">
        <f t="shared" si="16"/>
        <v>3531.7</v>
      </c>
      <c r="H27" s="135">
        <f t="shared" si="16"/>
        <v>3286</v>
      </c>
      <c r="I27" s="135">
        <f t="shared" si="16"/>
        <v>3030.0999999999995</v>
      </c>
      <c r="J27" s="135">
        <f t="shared" si="16"/>
        <v>2864.3</v>
      </c>
      <c r="K27" s="135">
        <f t="shared" si="16"/>
        <v>2630.6000000000004</v>
      </c>
      <c r="L27" s="135">
        <f t="shared" si="16"/>
        <v>2495.5</v>
      </c>
      <c r="M27" s="134">
        <f t="shared" ref="M27:R27" si="17">M$25+M$19</f>
        <v>2240.9683782368011</v>
      </c>
      <c r="N27" s="135">
        <f t="shared" si="17"/>
        <v>1973.0713434342542</v>
      </c>
      <c r="O27" s="135">
        <f t="shared" si="17"/>
        <v>1707.9247009664223</v>
      </c>
      <c r="P27" s="135">
        <f t="shared" si="17"/>
        <v>1436.2943452123254</v>
      </c>
      <c r="Q27" s="135">
        <f t="shared" si="17"/>
        <v>1164.956846083599</v>
      </c>
      <c r="R27" s="136">
        <f t="shared" si="17"/>
        <v>888.78310645804595</v>
      </c>
    </row>
    <row r="28" spans="2:18" ht="14" thickTop="1" x14ac:dyDescent="0.15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98"/>
      <c r="N28" s="39"/>
      <c r="O28" s="39"/>
      <c r="P28" s="39"/>
      <c r="Q28" s="39"/>
      <c r="R28" s="99"/>
    </row>
    <row r="29" spans="2:18" x14ac:dyDescent="0.15">
      <c r="B29" s="360" t="s">
        <v>409</v>
      </c>
      <c r="C29" s="361"/>
      <c r="D29" s="360"/>
      <c r="E29" s="360"/>
      <c r="F29" s="360"/>
      <c r="G29" s="360"/>
      <c r="H29" s="360"/>
      <c r="I29" s="360"/>
      <c r="J29" s="360"/>
      <c r="K29" s="360"/>
      <c r="L29" s="360"/>
      <c r="M29" s="362"/>
      <c r="N29" s="360"/>
      <c r="O29" s="360"/>
      <c r="P29" s="360"/>
      <c r="Q29" s="360"/>
      <c r="R29" s="363"/>
    </row>
    <row r="30" spans="2:18" x14ac:dyDescent="0.15">
      <c r="B30" t="s">
        <v>367</v>
      </c>
      <c r="C30" s="185" t="s">
        <v>373</v>
      </c>
      <c r="D30" s="39">
        <f>'Olin Standalone'!D$75</f>
        <v>629.6</v>
      </c>
      <c r="E30" s="39">
        <f>'Olin Standalone'!E$75</f>
        <v>578.5</v>
      </c>
      <c r="F30" s="39">
        <f>'Olin Standalone'!F$75</f>
        <v>511.6</v>
      </c>
      <c r="G30" s="39">
        <f>'Olin Standalone'!G$75</f>
        <v>448.1</v>
      </c>
      <c r="H30" s="39">
        <f>'Olin Standalone'!H$75</f>
        <v>399.4</v>
      </c>
      <c r="I30" s="39">
        <f>'Olin Standalone'!I$75</f>
        <v>331.7</v>
      </c>
      <c r="J30" s="39">
        <f>'Olin Standalone'!J$75</f>
        <v>1321.8</v>
      </c>
      <c r="K30" s="39">
        <f>'Olin Standalone'!K$75</f>
        <v>1307.5999999999999</v>
      </c>
      <c r="L30" s="39">
        <f>'Olin Standalone'!L$75</f>
        <v>1253.9000000000001</v>
      </c>
      <c r="M30" s="98">
        <f>L$32</f>
        <v>1170.4000000000001</v>
      </c>
      <c r="N30" s="39">
        <f t="shared" ref="N30:R30" si="18">M$32</f>
        <v>1134.6000000000001</v>
      </c>
      <c r="O30" s="39">
        <f t="shared" si="18"/>
        <v>1098.9000000000001</v>
      </c>
      <c r="P30" s="39">
        <f t="shared" si="18"/>
        <v>1063.4000000000001</v>
      </c>
      <c r="Q30" s="39">
        <f t="shared" si="18"/>
        <v>1027.9000000000001</v>
      </c>
      <c r="R30" s="99">
        <f t="shared" si="18"/>
        <v>1001.3000000000001</v>
      </c>
    </row>
    <row r="31" spans="2:18" x14ac:dyDescent="0.15">
      <c r="B31" s="41" t="s">
        <v>368</v>
      </c>
      <c r="C31" s="39"/>
      <c r="D31" s="39">
        <f>D$12</f>
        <v>51.100000000000023</v>
      </c>
      <c r="E31" s="39">
        <f t="shared" ref="E31:L31" si="19">E$12</f>
        <v>66.899999999999977</v>
      </c>
      <c r="F31" s="39">
        <f t="shared" si="19"/>
        <v>63.5</v>
      </c>
      <c r="G31" s="39">
        <f t="shared" si="19"/>
        <v>48.700000000000045</v>
      </c>
      <c r="H31" s="39">
        <f t="shared" si="19"/>
        <v>67.699999999999989</v>
      </c>
      <c r="I31" s="39">
        <f t="shared" si="19"/>
        <v>0</v>
      </c>
      <c r="J31" s="39">
        <f t="shared" si="19"/>
        <v>14.200000000000045</v>
      </c>
      <c r="K31" s="39">
        <f t="shared" si="19"/>
        <v>53.699999999999818</v>
      </c>
      <c r="L31" s="39">
        <f t="shared" si="19"/>
        <v>83.5</v>
      </c>
      <c r="M31" s="98">
        <f t="shared" ref="M31:R31" si="20">M12</f>
        <v>35.799999999999997</v>
      </c>
      <c r="N31" s="39">
        <f t="shared" si="20"/>
        <v>35.700000000000003</v>
      </c>
      <c r="O31" s="39">
        <f t="shared" si="20"/>
        <v>35.5</v>
      </c>
      <c r="P31" s="39">
        <f t="shared" si="20"/>
        <v>35.5</v>
      </c>
      <c r="Q31" s="39">
        <f t="shared" si="20"/>
        <v>26.6</v>
      </c>
      <c r="R31" s="99">
        <f t="shared" si="20"/>
        <v>26.6</v>
      </c>
    </row>
    <row r="32" spans="2:18" x14ac:dyDescent="0.15">
      <c r="B32" s="88" t="s">
        <v>369</v>
      </c>
      <c r="C32" s="89">
        <f>'Olin Standalone'!D$75</f>
        <v>629.6</v>
      </c>
      <c r="D32" s="89">
        <f>'Olin Standalone'!E$75</f>
        <v>578.5</v>
      </c>
      <c r="E32" s="89">
        <f>'Olin Standalone'!F$75</f>
        <v>511.6</v>
      </c>
      <c r="F32" s="89">
        <f>'Olin Standalone'!G$75</f>
        <v>448.1</v>
      </c>
      <c r="G32" s="89">
        <f>'Olin Standalone'!H$75</f>
        <v>399.4</v>
      </c>
      <c r="H32" s="89">
        <f>'Olin Standalone'!I$75</f>
        <v>331.7</v>
      </c>
      <c r="I32" s="89">
        <f>'Olin Standalone'!J$75</f>
        <v>1321.8</v>
      </c>
      <c r="J32" s="89">
        <f>'Olin Standalone'!K$75</f>
        <v>1307.5999999999999</v>
      </c>
      <c r="K32" s="89">
        <f>'Olin Standalone'!L$75</f>
        <v>1253.9000000000001</v>
      </c>
      <c r="L32" s="89">
        <f>'Olin Standalone'!M$75</f>
        <v>1170.4000000000001</v>
      </c>
      <c r="M32" s="94">
        <f>M$30-M$31</f>
        <v>1134.6000000000001</v>
      </c>
      <c r="N32" s="89">
        <f t="shared" ref="N32:R32" si="21">N$30-N$31</f>
        <v>1098.9000000000001</v>
      </c>
      <c r="O32" s="89">
        <f t="shared" si="21"/>
        <v>1063.4000000000001</v>
      </c>
      <c r="P32" s="89">
        <f t="shared" si="21"/>
        <v>1027.9000000000001</v>
      </c>
      <c r="Q32" s="89">
        <f t="shared" si="21"/>
        <v>1001.3000000000001</v>
      </c>
      <c r="R32" s="95">
        <f t="shared" si="21"/>
        <v>974.7</v>
      </c>
    </row>
    <row r="33" spans="2:19" x14ac:dyDescent="0.15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98"/>
      <c r="N33" s="39"/>
      <c r="O33" s="39"/>
      <c r="P33" s="39"/>
      <c r="Q33" s="39"/>
      <c r="R33" s="99"/>
    </row>
    <row r="34" spans="2:19" x14ac:dyDescent="0.15">
      <c r="B34" t="s">
        <v>371</v>
      </c>
      <c r="C34" s="39"/>
      <c r="D34" s="39">
        <f>D$23</f>
        <v>507.79999999999995</v>
      </c>
      <c r="E34" s="39">
        <f t="shared" ref="E34:L34" si="22">E$23</f>
        <v>534.49999999999989</v>
      </c>
      <c r="F34" s="39">
        <f t="shared" si="22"/>
        <v>533.9</v>
      </c>
      <c r="G34" s="39">
        <f t="shared" si="22"/>
        <v>519.69999999999993</v>
      </c>
      <c r="H34" s="39">
        <f t="shared" si="22"/>
        <v>514.79999999999995</v>
      </c>
      <c r="I34" s="39">
        <f t="shared" si="22"/>
        <v>598.79999999999995</v>
      </c>
      <c r="J34" s="39">
        <f t="shared" si="22"/>
        <v>519.20000000000005</v>
      </c>
      <c r="K34" s="39">
        <f t="shared" si="22"/>
        <v>464.4000000000002</v>
      </c>
      <c r="L34" s="39">
        <f t="shared" si="22"/>
        <v>438.09999999999991</v>
      </c>
      <c r="M34" s="98">
        <f>M$23</f>
        <v>470.50688256320001</v>
      </c>
      <c r="N34" s="39">
        <f t="shared" ref="N34:R34" si="23">N$23</f>
        <v>483.00839455934727</v>
      </c>
      <c r="O34" s="39">
        <f t="shared" si="23"/>
        <v>495.93962035090345</v>
      </c>
      <c r="P34" s="39">
        <f t="shared" si="23"/>
        <v>509.53175735596682</v>
      </c>
      <c r="Q34" s="39">
        <f t="shared" si="23"/>
        <v>523.75088622830901</v>
      </c>
      <c r="R34" s="99">
        <f t="shared" si="23"/>
        <v>538.68366220912026</v>
      </c>
    </row>
    <row r="35" spans="2:19" x14ac:dyDescent="0.15">
      <c r="B35" t="s">
        <v>372</v>
      </c>
      <c r="C35" s="39"/>
      <c r="D35" s="39">
        <f>D$31</f>
        <v>51.100000000000023</v>
      </c>
      <c r="E35" s="39">
        <f t="shared" ref="E35:L35" si="24">E$31</f>
        <v>66.899999999999977</v>
      </c>
      <c r="F35" s="39">
        <f t="shared" si="24"/>
        <v>63.5</v>
      </c>
      <c r="G35" s="39">
        <f t="shared" si="24"/>
        <v>48.700000000000045</v>
      </c>
      <c r="H35" s="39">
        <f t="shared" si="24"/>
        <v>67.699999999999989</v>
      </c>
      <c r="I35" s="39">
        <f t="shared" si="24"/>
        <v>0</v>
      </c>
      <c r="J35" s="39">
        <f t="shared" si="24"/>
        <v>14.200000000000045</v>
      </c>
      <c r="K35" s="39">
        <f t="shared" si="24"/>
        <v>53.699999999999818</v>
      </c>
      <c r="L35" s="39">
        <f t="shared" si="24"/>
        <v>83.5</v>
      </c>
      <c r="M35" s="98">
        <f>M$31</f>
        <v>35.799999999999997</v>
      </c>
      <c r="N35" s="39">
        <f t="shared" ref="N35:R35" si="25">N$31</f>
        <v>35.700000000000003</v>
      </c>
      <c r="O35" s="39">
        <f t="shared" si="25"/>
        <v>35.5</v>
      </c>
      <c r="P35" s="39">
        <f t="shared" si="25"/>
        <v>35.5</v>
      </c>
      <c r="Q35" s="39">
        <f t="shared" si="25"/>
        <v>26.6</v>
      </c>
      <c r="R35" s="99">
        <f t="shared" si="25"/>
        <v>26.6</v>
      </c>
      <c r="S35" t="s">
        <v>580</v>
      </c>
    </row>
    <row r="36" spans="2:19" ht="14" thickBot="1" x14ac:dyDescent="0.2">
      <c r="B36" s="133" t="s">
        <v>370</v>
      </c>
      <c r="C36" s="135">
        <f>'Olin Standalone'!D142-'Olin Standalone'!D141</f>
        <v>533.5</v>
      </c>
      <c r="D36" s="135">
        <f>'Olin Standalone'!E142-'Olin Standalone'!E141</f>
        <v>558.9</v>
      </c>
      <c r="E36" s="135">
        <f>'Olin Standalone'!F142-'Olin Standalone'!F141</f>
        <v>601.39999999999986</v>
      </c>
      <c r="F36" s="135">
        <f>'Olin Standalone'!G142-'Olin Standalone'!G141</f>
        <v>597.4</v>
      </c>
      <c r="G36" s="135">
        <f>'Olin Standalone'!H142-'Olin Standalone'!H141</f>
        <v>568.4</v>
      </c>
      <c r="H36" s="135">
        <f>'Olin Standalone'!I142-'Olin Standalone'!I141</f>
        <v>582.5</v>
      </c>
      <c r="I36" s="135">
        <f>'Olin Standalone'!J142-'Olin Standalone'!J141</f>
        <v>598.79999999999995</v>
      </c>
      <c r="J36" s="135">
        <f>'Olin Standalone'!K142-'Olin Standalone'!K141</f>
        <v>533.40000000000009</v>
      </c>
      <c r="K36" s="135">
        <f>'Olin Standalone'!L142-'Olin Standalone'!L141</f>
        <v>518.1</v>
      </c>
      <c r="L36" s="135">
        <f>'Olin Standalone'!M142-'Olin Standalone'!M141</f>
        <v>521.59999999999991</v>
      </c>
      <c r="M36" s="134">
        <f t="shared" ref="M36:R36" si="26">M$31+M$23</f>
        <v>506.30688256320002</v>
      </c>
      <c r="N36" s="135">
        <f t="shared" si="26"/>
        <v>518.70839455934731</v>
      </c>
      <c r="O36" s="135">
        <f t="shared" si="26"/>
        <v>531.4396203509034</v>
      </c>
      <c r="P36" s="135">
        <f t="shared" si="26"/>
        <v>545.03175735596687</v>
      </c>
      <c r="Q36" s="135">
        <f t="shared" si="26"/>
        <v>550.35088622830904</v>
      </c>
      <c r="R36" s="136">
        <f t="shared" si="26"/>
        <v>565.28366220912028</v>
      </c>
    </row>
    <row r="37" spans="2:19" ht="14" thickTop="1" x14ac:dyDescent="0.15"/>
  </sheetData>
  <mergeCells count="5">
    <mergeCell ref="B3:R3"/>
    <mergeCell ref="C4:L4"/>
    <mergeCell ref="M4:R4"/>
    <mergeCell ref="B29:R29"/>
    <mergeCell ref="M9:R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83553-6033-0047-9462-97889F512A1F}">
  <sheetPr codeName="Sheet2"/>
  <dimension ref="A1:T149"/>
  <sheetViews>
    <sheetView showGridLines="0" topLeftCell="B6" workbookViewId="0">
      <selection activeCell="N103" sqref="N103"/>
    </sheetView>
  </sheetViews>
  <sheetFormatPr baseColWidth="10" defaultRowHeight="13" x14ac:dyDescent="0.15"/>
  <cols>
    <col min="1" max="1" width="18.33203125" hidden="1" customWidth="1"/>
    <col min="2" max="2" width="5.5" customWidth="1"/>
    <col min="3" max="3" width="45.33203125" customWidth="1"/>
  </cols>
  <sheetData>
    <row r="1" spans="1:19" x14ac:dyDescent="0.15">
      <c r="B1" s="298" t="str">
        <f>HYPERLINK("#'Table of Contents'!A1", "&lt;---------")</f>
        <v>&lt;---------</v>
      </c>
    </row>
    <row r="2" spans="1:19" ht="20" x14ac:dyDescent="0.2">
      <c r="C2" s="58" t="s">
        <v>404</v>
      </c>
    </row>
    <row r="3" spans="1:19" ht="18" x14ac:dyDescent="0.15">
      <c r="C3" s="341" t="s">
        <v>398</v>
      </c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</row>
    <row r="4" spans="1:19" x14ac:dyDescent="0.15">
      <c r="C4" s="90"/>
      <c r="D4" s="356" t="s">
        <v>399</v>
      </c>
      <c r="E4" s="356"/>
      <c r="F4" s="356"/>
      <c r="G4" s="356"/>
      <c r="H4" s="356"/>
      <c r="I4" s="356"/>
      <c r="J4" s="356"/>
      <c r="K4" s="356"/>
      <c r="L4" s="356"/>
      <c r="M4" s="356"/>
      <c r="N4" s="338" t="s">
        <v>400</v>
      </c>
      <c r="O4" s="339"/>
      <c r="P4" s="339"/>
      <c r="Q4" s="339"/>
      <c r="R4" s="339"/>
      <c r="S4" s="340"/>
    </row>
    <row r="5" spans="1:19" x14ac:dyDescent="0.15">
      <c r="C5" s="59" t="s">
        <v>86</v>
      </c>
      <c r="D5" s="60">
        <v>42735</v>
      </c>
      <c r="E5" s="60">
        <f t="shared" ref="E5:S5" si="0">EDATE(D5,12)</f>
        <v>43100</v>
      </c>
      <c r="F5" s="60">
        <f t="shared" si="0"/>
        <v>43465</v>
      </c>
      <c r="G5" s="60">
        <f t="shared" si="0"/>
        <v>43830</v>
      </c>
      <c r="H5" s="60">
        <f t="shared" si="0"/>
        <v>44196</v>
      </c>
      <c r="I5" s="60">
        <f t="shared" si="0"/>
        <v>44561</v>
      </c>
      <c r="J5" s="60">
        <f t="shared" si="0"/>
        <v>44926</v>
      </c>
      <c r="K5" s="60">
        <f t="shared" si="0"/>
        <v>45291</v>
      </c>
      <c r="L5" s="60">
        <f t="shared" si="0"/>
        <v>45657</v>
      </c>
      <c r="M5" s="60">
        <f t="shared" si="0"/>
        <v>46022</v>
      </c>
      <c r="N5" s="91">
        <f t="shared" si="0"/>
        <v>46387</v>
      </c>
      <c r="O5" s="60">
        <f t="shared" si="0"/>
        <v>46752</v>
      </c>
      <c r="P5" s="60">
        <f t="shared" si="0"/>
        <v>47118</v>
      </c>
      <c r="Q5" s="60">
        <f t="shared" si="0"/>
        <v>47483</v>
      </c>
      <c r="R5" s="60">
        <f t="shared" si="0"/>
        <v>47848</v>
      </c>
      <c r="S5" s="92">
        <f t="shared" si="0"/>
        <v>48213</v>
      </c>
    </row>
    <row r="6" spans="1:19" x14ac:dyDescent="0.15"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45" t="s">
        <v>88</v>
      </c>
      <c r="N6" s="19" t="s">
        <v>88</v>
      </c>
      <c r="O6" s="45" t="s">
        <v>88</v>
      </c>
      <c r="P6" s="45" t="s">
        <v>88</v>
      </c>
      <c r="Q6" s="45" t="s">
        <v>88</v>
      </c>
      <c r="R6" s="45" t="s">
        <v>88</v>
      </c>
      <c r="S6" s="93" t="s">
        <v>88</v>
      </c>
    </row>
    <row r="7" spans="1:19" x14ac:dyDescent="0.15">
      <c r="C7" s="87" t="s">
        <v>401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121"/>
      <c r="O7" s="87"/>
      <c r="P7" s="87"/>
      <c r="Q7" s="87"/>
      <c r="R7" s="87"/>
      <c r="S7" s="120"/>
    </row>
    <row r="8" spans="1:19" x14ac:dyDescent="0.15">
      <c r="A8" t="s">
        <v>298</v>
      </c>
      <c r="C8" t="s">
        <v>298</v>
      </c>
      <c r="D8" s="42"/>
      <c r="E8" s="42">
        <f>E35/D35 - 1</f>
        <v>-0.1345138241689966</v>
      </c>
      <c r="F8" s="42">
        <f t="shared" ref="F8:M8" si="1">F35/E35 - 1</f>
        <v>0.12215841110313463</v>
      </c>
      <c r="G8" s="42">
        <f t="shared" si="1"/>
        <v>-0.27529587376052889</v>
      </c>
      <c r="H8" s="42">
        <f t="shared" si="1"/>
        <v>-0.11460938649404151</v>
      </c>
      <c r="I8" s="42">
        <f t="shared" si="1"/>
        <v>0.40461947490860761</v>
      </c>
      <c r="J8" s="42">
        <f t="shared" si="1"/>
        <v>-5.0869513782089149E-2</v>
      </c>
      <c r="K8" s="42">
        <f t="shared" si="1"/>
        <v>-0.23831484482113918</v>
      </c>
      <c r="L8" s="42">
        <f t="shared" si="1"/>
        <v>-1.2272950417280271E-2</v>
      </c>
      <c r="M8" s="42">
        <f t="shared" si="1"/>
        <v>-5.8482438701126571E-2</v>
      </c>
      <c r="N8" s="63">
        <v>8.2000000000000003E-2</v>
      </c>
      <c r="O8" s="64">
        <v>7.4999999999999997E-2</v>
      </c>
      <c r="P8" s="64">
        <v>8.2000000000000003E-2</v>
      </c>
      <c r="Q8" s="64">
        <v>5.8000000000000003E-2</v>
      </c>
      <c r="R8" s="64">
        <v>6.6000000000000003E-2</v>
      </c>
      <c r="S8" s="65">
        <v>0.06</v>
      </c>
    </row>
    <row r="9" spans="1:19" x14ac:dyDescent="0.15">
      <c r="A9" t="s">
        <v>182</v>
      </c>
      <c r="C9" t="s">
        <v>182</v>
      </c>
      <c r="D9" s="42">
        <f>D38/D35</f>
        <v>0.17375996686341513</v>
      </c>
      <c r="E9" s="42">
        <f t="shared" ref="E9:M9" si="2">E38/E35</f>
        <v>0.21679827709978464</v>
      </c>
      <c r="F9" s="42">
        <f t="shared" si="2"/>
        <v>0.21590787930482994</v>
      </c>
      <c r="G9" s="42">
        <f t="shared" si="2"/>
        <v>0.20332499632190673</v>
      </c>
      <c r="H9" s="42">
        <f t="shared" si="2"/>
        <v>0.18278497839813893</v>
      </c>
      <c r="I9" s="42">
        <f t="shared" si="2"/>
        <v>0.20998462084467054</v>
      </c>
      <c r="J9" s="42">
        <f t="shared" si="2"/>
        <v>0.19269599900286677</v>
      </c>
      <c r="K9" s="42">
        <f t="shared" si="2"/>
        <v>0.1482572410407462</v>
      </c>
      <c r="L9" s="42">
        <f t="shared" si="2"/>
        <v>0.14347249834327369</v>
      </c>
      <c r="M9" s="42">
        <f t="shared" si="2"/>
        <v>0.13214851310927328</v>
      </c>
      <c r="N9" s="66">
        <v>0.14499999999999999</v>
      </c>
      <c r="O9" s="67">
        <v>0.16</v>
      </c>
      <c r="P9" s="67">
        <v>0.189</v>
      </c>
      <c r="Q9" s="67">
        <v>0.21099999999999999</v>
      </c>
      <c r="R9" s="67">
        <v>0.22600000000000001</v>
      </c>
      <c r="S9" s="68">
        <v>0.23200000000000001</v>
      </c>
    </row>
    <row r="10" spans="1:19" x14ac:dyDescent="0.15">
      <c r="A10" t="s">
        <v>299</v>
      </c>
      <c r="C10" t="s">
        <v>299</v>
      </c>
      <c r="D10" s="42">
        <f>D39/D35</f>
        <v>9.5267681474578023E-2</v>
      </c>
      <c r="E10" s="42">
        <f t="shared" ref="E10:M10" si="3">E39/E35</f>
        <v>9.5477386934673364E-2</v>
      </c>
      <c r="F10" s="42">
        <f t="shared" si="3"/>
        <v>8.8495575221238937E-2</v>
      </c>
      <c r="G10" s="42">
        <f t="shared" si="3"/>
        <v>0.11563925261144622</v>
      </c>
      <c r="H10" s="42">
        <f t="shared" si="3"/>
        <v>0.12878032568959788</v>
      </c>
      <c r="I10" s="42">
        <f t="shared" si="3"/>
        <v>0.10067431681059978</v>
      </c>
      <c r="J10" s="42">
        <f t="shared" si="3"/>
        <v>8.8620216876480126E-2</v>
      </c>
      <c r="K10" s="42">
        <f t="shared" si="3"/>
        <v>0.11274750450008182</v>
      </c>
      <c r="L10" s="42">
        <f t="shared" si="3"/>
        <v>0.11116633532140491</v>
      </c>
      <c r="M10" s="42">
        <f t="shared" si="3"/>
        <v>0.11789547774062994</v>
      </c>
      <c r="N10" s="66">
        <v>0.11799999999999999</v>
      </c>
      <c r="O10" s="67">
        <v>0.11799999999999999</v>
      </c>
      <c r="P10" s="67">
        <v>0.11799999999999999</v>
      </c>
      <c r="Q10" s="67">
        <v>0.11799999999999999</v>
      </c>
      <c r="R10" s="67">
        <v>0.11799999999999999</v>
      </c>
      <c r="S10" s="68">
        <v>0.11799999999999999</v>
      </c>
    </row>
    <row r="11" spans="1:19" x14ac:dyDescent="0.15">
      <c r="A11" t="s">
        <v>300</v>
      </c>
      <c r="C11" t="s">
        <v>300</v>
      </c>
      <c r="D11" s="42">
        <f>D40/D35</f>
        <v>1.5739877808843325E-2</v>
      </c>
      <c r="E11" s="42">
        <f t="shared" ref="E11:M11" si="4">E40/E35</f>
        <v>1.6511127063890883E-2</v>
      </c>
      <c r="F11" s="42">
        <f t="shared" si="4"/>
        <v>1.6206418594732912E-2</v>
      </c>
      <c r="G11" s="42">
        <f t="shared" si="4"/>
        <v>2.0155951154921289E-2</v>
      </c>
      <c r="H11" s="42">
        <f t="shared" si="4"/>
        <v>2.243270189431705E-2</v>
      </c>
      <c r="I11" s="42">
        <f t="shared" si="4"/>
        <v>1.7745179226310186E-2</v>
      </c>
      <c r="J11" s="42">
        <f t="shared" si="4"/>
        <v>1.5580206905147701E-2</v>
      </c>
      <c r="K11" s="42">
        <f t="shared" si="4"/>
        <v>1.8818523973163147E-2</v>
      </c>
      <c r="L11" s="42">
        <f t="shared" si="4"/>
        <v>2.0046388336646785E-2</v>
      </c>
      <c r="M11" s="42">
        <f t="shared" si="4"/>
        <v>2.1115607953545664E-2</v>
      </c>
      <c r="N11" s="66">
        <v>2.1000000000000001E-2</v>
      </c>
      <c r="O11" s="67">
        <v>2.1000000000000001E-2</v>
      </c>
      <c r="P11" s="67">
        <v>2.1000000000000001E-2</v>
      </c>
      <c r="Q11" s="67">
        <v>2.1000000000000001E-2</v>
      </c>
      <c r="R11" s="67">
        <v>2.1000000000000001E-2</v>
      </c>
      <c r="S11" s="68">
        <v>2.1000000000000001E-2</v>
      </c>
    </row>
    <row r="12" spans="1:19" x14ac:dyDescent="0.15">
      <c r="A12" t="s">
        <v>311</v>
      </c>
      <c r="C12" t="s">
        <v>311</v>
      </c>
      <c r="D12" s="42">
        <f>D$43/D$35</f>
        <v>-1.4497255876566221E-2</v>
      </c>
      <c r="E12" s="42">
        <f t="shared" ref="E12:M12" si="5">E$43/E$35</f>
        <v>-2.7518545106484803E-3</v>
      </c>
      <c r="F12" s="42">
        <f t="shared" si="5"/>
        <v>8.529693997227849E-4</v>
      </c>
      <c r="G12" s="42">
        <f t="shared" si="5"/>
        <v>4.5608356627924087E-3</v>
      </c>
      <c r="H12" s="42">
        <f t="shared" si="5"/>
        <v>-7.4775672981056826E-3</v>
      </c>
      <c r="I12" s="42">
        <f t="shared" si="5"/>
        <v>-3.903939429788241E-3</v>
      </c>
      <c r="J12" s="42">
        <f t="shared" si="5"/>
        <v>-5.9827994515767166E-3</v>
      </c>
      <c r="K12" s="42">
        <f t="shared" si="5"/>
        <v>0</v>
      </c>
      <c r="L12" s="42">
        <f t="shared" si="5"/>
        <v>1.656726308813784E-4</v>
      </c>
      <c r="M12" s="42">
        <f t="shared" si="5"/>
        <v>-3.1673411930318494E-3</v>
      </c>
      <c r="N12" s="66">
        <v>-3.0000000000000001E-3</v>
      </c>
      <c r="O12" s="67">
        <v>-3.0000000000000001E-3</v>
      </c>
      <c r="P12" s="67">
        <v>-3.0000000000000001E-3</v>
      </c>
      <c r="Q12" s="67">
        <v>-3.0000000000000001E-3</v>
      </c>
      <c r="R12" s="67">
        <v>-3.0000000000000001E-3</v>
      </c>
      <c r="S12" s="68">
        <v>-3.0000000000000001E-3</v>
      </c>
    </row>
    <row r="13" spans="1:19" x14ac:dyDescent="0.15">
      <c r="A13" t="s">
        <v>252</v>
      </c>
      <c r="C13" t="s">
        <v>252</v>
      </c>
      <c r="D13" s="40">
        <f>D$48</f>
        <v>0</v>
      </c>
      <c r="E13" s="40">
        <f t="shared" ref="E13:M13" si="6">E$48</f>
        <v>0</v>
      </c>
      <c r="F13" s="40">
        <f t="shared" si="6"/>
        <v>0</v>
      </c>
      <c r="G13" s="40">
        <f t="shared" si="6"/>
        <v>0</v>
      </c>
      <c r="H13" s="40">
        <f t="shared" si="6"/>
        <v>0</v>
      </c>
      <c r="I13" s="40">
        <f t="shared" si="6"/>
        <v>0</v>
      </c>
      <c r="J13" s="40">
        <f t="shared" si="6"/>
        <v>0</v>
      </c>
      <c r="K13" s="40">
        <f t="shared" si="6"/>
        <v>0</v>
      </c>
      <c r="L13" s="40">
        <f t="shared" si="6"/>
        <v>0</v>
      </c>
      <c r="M13" s="40">
        <f t="shared" si="6"/>
        <v>0</v>
      </c>
      <c r="N13" s="72">
        <v>0</v>
      </c>
      <c r="O13" s="73">
        <v>1</v>
      </c>
      <c r="P13" s="73">
        <v>2</v>
      </c>
      <c r="Q13" s="73">
        <v>3</v>
      </c>
      <c r="R13" s="73">
        <v>4</v>
      </c>
      <c r="S13" s="74">
        <v>5</v>
      </c>
    </row>
    <row r="14" spans="1:19" x14ac:dyDescent="0.15"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114"/>
      <c r="O14" s="76"/>
      <c r="P14" s="76"/>
      <c r="Q14" s="76"/>
      <c r="R14" s="76"/>
      <c r="S14" s="117"/>
    </row>
    <row r="15" spans="1:19" x14ac:dyDescent="0.15">
      <c r="A15" t="s">
        <v>208</v>
      </c>
      <c r="C15" s="59" t="s">
        <v>402</v>
      </c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121"/>
      <c r="O15" s="87"/>
      <c r="P15" s="87"/>
      <c r="Q15" s="87"/>
      <c r="R15" s="87"/>
      <c r="S15" s="120"/>
    </row>
    <row r="16" spans="1:19" x14ac:dyDescent="0.15">
      <c r="A16" t="s">
        <v>209</v>
      </c>
      <c r="C16" t="s">
        <v>302</v>
      </c>
      <c r="D16" s="39">
        <f>IFERROR(
INDEX('Huntsman Raw'!$B$120:$K$163,
MATCH($A16,'Huntsman Raw'!$A$120:$A$163,0),
MATCH(D$33,'Huntsman Raw'!$B$116:$K$116,0)
),"")</f>
        <v>53</v>
      </c>
      <c r="E16" s="39">
        <f>IFERROR(
INDEX('Huntsman Raw'!$B$120:$K$163,
MATCH($A16,'Huntsman Raw'!$A$120:$A$163,0),
MATCH(E$33,'Huntsman Raw'!$B$116:$K$116,0)
),"")</f>
        <v>48</v>
      </c>
      <c r="F16" s="39">
        <f>IFERROR(
INDEX('Huntsman Raw'!$B$120:$K$163,
MATCH($A16,'Huntsman Raw'!$A$120:$A$163,0),
MATCH(F$33,'Huntsman Raw'!$B$116:$K$116,0)
),"")</f>
        <v>49</v>
      </c>
      <c r="G16" s="39">
        <f>IFERROR(
INDEX('Huntsman Raw'!$B$120:$K$163,
MATCH($A16,'Huntsman Raw'!$A$120:$A$163,0),
MATCH(G$33,'Huntsman Raw'!$B$116:$K$116,0)
),"")</f>
        <v>45</v>
      </c>
      <c r="H16" s="39">
        <f>IFERROR(
INDEX('Huntsman Raw'!$B$120:$K$163,
MATCH($A16,'Huntsman Raw'!$A$120:$A$163,0),
MATCH(H$33,'Huntsman Raw'!$B$116:$K$116,0)
),"")</f>
        <v>55</v>
      </c>
      <c r="I16" s="39">
        <f>IFERROR(
INDEX('Huntsman Raw'!$B$120:$K$163,
MATCH($A16,'Huntsman Raw'!$A$120:$A$163,0),
MATCH(I$33,'Huntsman Raw'!$B$116:$K$116,0)
),"")</f>
        <v>50</v>
      </c>
      <c r="J16" s="39">
        <f>IFERROR(
INDEX('Huntsman Raw'!$B$120:$K$163,
MATCH($A16,'Huntsman Raw'!$A$120:$A$163,0),
MATCH(J$33,'Huntsman Raw'!$B$116:$K$116,0)
),"")</f>
        <v>35</v>
      </c>
      <c r="K16" s="39">
        <f>IFERROR(
INDEX('Huntsman Raw'!$B$120:$K$163,
MATCH($A16,'Huntsman Raw'!$A$120:$A$163,0),
MATCH(K$33,'Huntsman Raw'!$B$116:$K$116,0)
),"")</f>
        <v>45</v>
      </c>
      <c r="L16" s="39">
        <f>IFERROR(
INDEX('Huntsman Raw'!$B$120:$K$163,
MATCH($A16,'Huntsman Raw'!$A$120:$A$163,0),
MATCH(L$33,'Huntsman Raw'!$B$116:$K$116,0)
),"")</f>
        <v>43</v>
      </c>
      <c r="M16" s="39">
        <f>IFERROR(
INDEX('Huntsman Raw'!$B$120:$K$163,
MATCH($A16,'Huntsman Raw'!$A$120:$A$163,0),
MATCH(M$33,'Huntsman Raw'!$B$116:$K$116,0)
),"")</f>
        <v>0</v>
      </c>
      <c r="N16" s="77">
        <v>61</v>
      </c>
      <c r="O16" s="78">
        <v>61</v>
      </c>
      <c r="P16" s="78">
        <v>61</v>
      </c>
      <c r="Q16" s="78">
        <v>61</v>
      </c>
      <c r="R16" s="78">
        <v>61</v>
      </c>
      <c r="S16" s="79">
        <v>61</v>
      </c>
    </row>
    <row r="17" spans="1:19" x14ac:dyDescent="0.15">
      <c r="A17" t="s">
        <v>208</v>
      </c>
      <c r="C17" t="s">
        <v>303</v>
      </c>
      <c r="D17" s="39">
        <f>IFERROR(
INDEX('Huntsman Raw'!$B$120:$K$163,
MATCH($A17,'Huntsman Raw'!$A$120:$A$163,0),
MATCH(D$33,'Huntsman Raw'!$B$116:$K$116,0)
),"")</f>
        <v>61</v>
      </c>
      <c r="E17" s="39">
        <f>IFERROR(
INDEX('Huntsman Raw'!$B$120:$K$163,
MATCH($A17,'Huntsman Raw'!$A$120:$A$163,0),
MATCH(E$33,'Huntsman Raw'!$B$116:$K$116,0)
),"")</f>
        <v>52</v>
      </c>
      <c r="F17" s="39">
        <f>IFERROR(
INDEX('Huntsman Raw'!$B$120:$K$163,
MATCH($A17,'Huntsman Raw'!$A$120:$A$163,0),
MATCH(F$33,'Huntsman Raw'!$B$116:$K$116,0)
),"")</f>
        <v>56</v>
      </c>
      <c r="G17" s="39">
        <f>IFERROR(
INDEX('Huntsman Raw'!$B$120:$K$163,
MATCH($A17,'Huntsman Raw'!$A$120:$A$163,0),
MATCH(G$33,'Huntsman Raw'!$B$116:$K$116,0)
),"")</f>
        <v>55</v>
      </c>
      <c r="H17" s="39">
        <f>IFERROR(
INDEX('Huntsman Raw'!$B$120:$K$163,
MATCH($A17,'Huntsman Raw'!$A$120:$A$163,0),
MATCH(H$33,'Huntsman Raw'!$B$116:$K$116,0)
),"")</f>
        <v>63</v>
      </c>
      <c r="I17" s="39">
        <f>IFERROR(
INDEX('Huntsman Raw'!$B$120:$K$163,
MATCH($A17,'Huntsman Raw'!$A$120:$A$163,0),
MATCH(I$33,'Huntsman Raw'!$B$116:$K$116,0)
),"")</f>
        <v>66</v>
      </c>
      <c r="J17" s="39">
        <f>IFERROR(
INDEX('Huntsman Raw'!$B$120:$K$163,
MATCH($A17,'Huntsman Raw'!$A$120:$A$163,0),
MATCH(J$33,'Huntsman Raw'!$B$116:$K$116,0)
),"")</f>
        <v>54</v>
      </c>
      <c r="K17" s="39">
        <f>IFERROR(
INDEX('Huntsman Raw'!$B$120:$K$163,
MATCH($A17,'Huntsman Raw'!$A$120:$A$163,0),
MATCH(K$33,'Huntsman Raw'!$B$116:$K$116,0)
),"")</f>
        <v>61</v>
      </c>
      <c r="L17" s="39">
        <f>IFERROR(
INDEX('Huntsman Raw'!$B$120:$K$163,
MATCH($A17,'Huntsman Raw'!$A$120:$A$163,0),
MATCH(L$33,'Huntsman Raw'!$B$116:$K$116,0)
),"")</f>
        <v>65</v>
      </c>
      <c r="M17" s="50">
        <v>43</v>
      </c>
      <c r="N17" s="80">
        <v>43</v>
      </c>
      <c r="O17" s="81">
        <v>43</v>
      </c>
      <c r="P17" s="81">
        <v>43</v>
      </c>
      <c r="Q17" s="81">
        <v>43</v>
      </c>
      <c r="R17" s="81">
        <v>43</v>
      </c>
      <c r="S17" s="82">
        <v>43</v>
      </c>
    </row>
    <row r="18" spans="1:19" x14ac:dyDescent="0.15">
      <c r="A18" t="s">
        <v>210</v>
      </c>
      <c r="C18" t="s">
        <v>304</v>
      </c>
      <c r="D18" s="39">
        <f>IFERROR(
INDEX('Huntsman Raw'!$B$120:$K$163,
MATCH($A18,'Huntsman Raw'!$A$120:$A$163,0),
MATCH(D$33,'Huntsman Raw'!$B$116:$K$116,0)
),"")</f>
        <v>50</v>
      </c>
      <c r="E18" s="39">
        <f>IFERROR(
INDEX('Huntsman Raw'!$B$120:$K$163,
MATCH($A18,'Huntsman Raw'!$A$120:$A$163,0),
MATCH(E$33,'Huntsman Raw'!$B$116:$K$116,0)
),"")</f>
        <v>47</v>
      </c>
      <c r="F18" s="39">
        <f>IFERROR(
INDEX('Huntsman Raw'!$B$120:$K$163,
MATCH($A18,'Huntsman Raw'!$A$120:$A$163,0),
MATCH(F$33,'Huntsman Raw'!$B$116:$K$116,0)
),"")</f>
        <v>48</v>
      </c>
      <c r="G18" s="39">
        <f>IFERROR(
INDEX('Huntsman Raw'!$B$120:$K$163,
MATCH($A18,'Huntsman Raw'!$A$120:$A$163,0),
MATCH(G$33,'Huntsman Raw'!$B$116:$K$116,0)
),"")</f>
        <v>49</v>
      </c>
      <c r="H18" s="39">
        <f>IFERROR(
INDEX('Huntsman Raw'!$B$120:$K$163,
MATCH($A18,'Huntsman Raw'!$A$120:$A$163,0),
MATCH(H$33,'Huntsman Raw'!$B$116:$K$116,0)
),"")</f>
        <v>65</v>
      </c>
      <c r="I18" s="39">
        <f>IFERROR(
INDEX('Huntsman Raw'!$B$120:$K$163,
MATCH($A18,'Huntsman Raw'!$A$120:$A$163,0),
MATCH(I$33,'Huntsman Raw'!$B$116:$K$116,0)
),"")</f>
        <v>66</v>
      </c>
      <c r="J18" s="39">
        <f>IFERROR(
INDEX('Huntsman Raw'!$B$120:$K$163,
MATCH($A18,'Huntsman Raw'!$A$120:$A$163,0),
MATCH(J$33,'Huntsman Raw'!$B$116:$K$116,0)
),"")</f>
        <v>52</v>
      </c>
      <c r="K18" s="39">
        <f>IFERROR(
INDEX('Huntsman Raw'!$B$120:$K$163,
MATCH($A18,'Huntsman Raw'!$A$120:$A$163,0),
MATCH(K$33,'Huntsman Raw'!$B$116:$K$116,0)
),"")</f>
        <v>50</v>
      </c>
      <c r="L18" s="39">
        <f>IFERROR(
INDEX('Huntsman Raw'!$B$120:$K$163,
MATCH($A18,'Huntsman Raw'!$A$120:$A$163,0),
MATCH(L$33,'Huntsman Raw'!$B$116:$K$116,0)
),"")</f>
        <v>54</v>
      </c>
      <c r="M18" s="39">
        <f>IFERROR(
INDEX('Huntsman Raw'!$B$120:$K$163,
MATCH($A18,'Huntsman Raw'!$A$120:$A$163,0),
MATCH(M$33,'Huntsman Raw'!$B$116:$K$116,0)
),"")</f>
        <v>53</v>
      </c>
      <c r="N18" s="80">
        <v>53</v>
      </c>
      <c r="O18" s="81">
        <v>53</v>
      </c>
      <c r="P18" s="81">
        <v>53</v>
      </c>
      <c r="Q18" s="81">
        <v>53</v>
      </c>
      <c r="R18" s="81">
        <v>53</v>
      </c>
      <c r="S18" s="82">
        <v>53</v>
      </c>
    </row>
    <row r="19" spans="1:19" x14ac:dyDescent="0.15">
      <c r="A19" t="s">
        <v>312</v>
      </c>
      <c r="C19" t="s">
        <v>305</v>
      </c>
      <c r="D19" s="42">
        <f t="shared" ref="D19:M19" si="7">D$68/D$35</f>
        <v>6.2131096613855233E-3</v>
      </c>
      <c r="E19" s="42">
        <f t="shared" si="7"/>
        <v>7.1787508973438618E-3</v>
      </c>
      <c r="F19" s="42">
        <f t="shared" si="7"/>
        <v>7.0369975477129754E-3</v>
      </c>
      <c r="G19" s="42">
        <f t="shared" si="7"/>
        <v>1.2211269677799029E-2</v>
      </c>
      <c r="H19" s="42">
        <f t="shared" si="7"/>
        <v>0</v>
      </c>
      <c r="I19" s="42">
        <f t="shared" si="7"/>
        <v>0</v>
      </c>
      <c r="J19" s="42">
        <f t="shared" si="7"/>
        <v>0</v>
      </c>
      <c r="K19" s="42">
        <f t="shared" si="7"/>
        <v>0</v>
      </c>
      <c r="L19" s="42">
        <f t="shared" si="7"/>
        <v>1.8886679920477135E-2</v>
      </c>
      <c r="M19" s="42">
        <f t="shared" si="7"/>
        <v>1.6540559563610769E-2</v>
      </c>
      <c r="N19" s="66">
        <v>1.6500000000000001E-2</v>
      </c>
      <c r="O19" s="67">
        <v>1.6500000000000001E-2</v>
      </c>
      <c r="P19" s="67">
        <v>1.6500000000000001E-2</v>
      </c>
      <c r="Q19" s="67">
        <v>1.6500000000000001E-2</v>
      </c>
      <c r="R19" s="67">
        <v>1.6500000000000001E-2</v>
      </c>
      <c r="S19" s="68">
        <v>1.6500000000000001E-2</v>
      </c>
    </row>
    <row r="20" spans="1:19" x14ac:dyDescent="0.15">
      <c r="A20" t="s">
        <v>305</v>
      </c>
      <c r="C20" t="s">
        <v>306</v>
      </c>
      <c r="D20" s="42">
        <f t="shared" ref="D20:M20" si="8">D$69/D$35</f>
        <v>3.1272651962307135E-2</v>
      </c>
      <c r="E20" s="42">
        <f t="shared" si="8"/>
        <v>0.37006460875807612</v>
      </c>
      <c r="F20" s="42">
        <f t="shared" si="8"/>
        <v>1.5566691544940826E-2</v>
      </c>
      <c r="G20" s="42">
        <f t="shared" si="8"/>
        <v>0.18831837575400912</v>
      </c>
      <c r="H20" s="42">
        <f t="shared" si="8"/>
        <v>3.6058491193087405E-2</v>
      </c>
      <c r="I20" s="42">
        <f t="shared" si="8"/>
        <v>1.975629953862534E-2</v>
      </c>
      <c r="J20" s="42">
        <f t="shared" si="8"/>
        <v>8.2512775769662219E-2</v>
      </c>
      <c r="K20" s="42">
        <f t="shared" si="8"/>
        <v>2.5200458190148912E-2</v>
      </c>
      <c r="L20" s="42">
        <f t="shared" si="8"/>
        <v>4.8045062955599733E-3</v>
      </c>
      <c r="M20" s="42">
        <f t="shared" si="8"/>
        <v>8.094316382192504E-3</v>
      </c>
      <c r="N20" s="66">
        <v>8.0999999999999996E-3</v>
      </c>
      <c r="O20" s="67">
        <v>8.0999999999999996E-3</v>
      </c>
      <c r="P20" s="67">
        <v>8.0999999999999996E-3</v>
      </c>
      <c r="Q20" s="67">
        <v>8.0999999999999996E-3</v>
      </c>
      <c r="R20" s="67">
        <v>8.0999999999999996E-3</v>
      </c>
      <c r="S20" s="68">
        <v>8.0999999999999996E-3</v>
      </c>
    </row>
    <row r="21" spans="1:19" x14ac:dyDescent="0.15">
      <c r="A21" t="s">
        <v>306</v>
      </c>
      <c r="C21" t="s">
        <v>307</v>
      </c>
      <c r="D21" s="42">
        <f t="shared" ref="D21:M21" si="9">D$83/D$35</f>
        <v>5.8506782644713679E-2</v>
      </c>
      <c r="E21" s="42">
        <f t="shared" si="9"/>
        <v>5.8028236420196222E-2</v>
      </c>
      <c r="F21" s="42">
        <f t="shared" si="9"/>
        <v>4.8086149909372003E-2</v>
      </c>
      <c r="G21" s="42">
        <f t="shared" si="9"/>
        <v>5.9290863616301308E-2</v>
      </c>
      <c r="H21" s="42">
        <f t="shared" si="9"/>
        <v>7.2615486872715185E-2</v>
      </c>
      <c r="I21" s="42">
        <f t="shared" si="9"/>
        <v>8.2337631610079259E-2</v>
      </c>
      <c r="J21" s="42">
        <f t="shared" si="9"/>
        <v>5.1352361959366821E-2</v>
      </c>
      <c r="K21" s="42">
        <f t="shared" si="9"/>
        <v>6.1201112747504498E-2</v>
      </c>
      <c r="L21" s="42">
        <f t="shared" si="9"/>
        <v>6.4943671305500328E-2</v>
      </c>
      <c r="M21" s="42">
        <f t="shared" si="9"/>
        <v>8.4990322013021286E-2</v>
      </c>
      <c r="N21" s="66">
        <v>8.5000000000000006E-2</v>
      </c>
      <c r="O21" s="67">
        <v>8.5000000000000006E-2</v>
      </c>
      <c r="P21" s="67">
        <v>8.5000000000000006E-2</v>
      </c>
      <c r="Q21" s="67">
        <v>8.5000000000000006E-2</v>
      </c>
      <c r="R21" s="67">
        <v>8.5000000000000006E-2</v>
      </c>
      <c r="S21" s="68">
        <v>8.5000000000000006E-2</v>
      </c>
    </row>
    <row r="22" spans="1:19" x14ac:dyDescent="0.15">
      <c r="A22" t="s">
        <v>307</v>
      </c>
      <c r="C22" t="s">
        <v>308</v>
      </c>
      <c r="D22" s="42">
        <f t="shared" ref="D22:M22" si="10">D$86/D$35</f>
        <v>5.281143212177695E-3</v>
      </c>
      <c r="E22" s="42">
        <f t="shared" si="10"/>
        <v>0.21249102656137833</v>
      </c>
      <c r="F22" s="42">
        <f t="shared" si="10"/>
        <v>1.0981981021430855E-2</v>
      </c>
      <c r="G22" s="42">
        <f t="shared" si="10"/>
        <v>8.4007650434015008E-2</v>
      </c>
      <c r="H22" s="42">
        <f t="shared" si="10"/>
        <v>1.2130275839149218E-2</v>
      </c>
      <c r="I22" s="42">
        <f t="shared" si="10"/>
        <v>1.5970661303679166E-2</v>
      </c>
      <c r="J22" s="42">
        <f t="shared" si="10"/>
        <v>3.2656113673189581E-2</v>
      </c>
      <c r="K22" s="42">
        <f t="shared" si="10"/>
        <v>1.0963835706103747E-2</v>
      </c>
      <c r="L22" s="42">
        <f t="shared" si="10"/>
        <v>1.2922465208747515E-2</v>
      </c>
      <c r="M22" s="42">
        <f t="shared" si="10"/>
        <v>5.6308287876121769E-3</v>
      </c>
      <c r="N22" s="69">
        <v>5.5999999999999999E-3</v>
      </c>
      <c r="O22" s="70">
        <v>5.5999999999999999E-3</v>
      </c>
      <c r="P22" s="70">
        <v>5.5999999999999999E-3</v>
      </c>
      <c r="Q22" s="70">
        <v>5.5999999999999999E-3</v>
      </c>
      <c r="R22" s="70">
        <v>5.5999999999999999E-3</v>
      </c>
      <c r="S22" s="71">
        <v>5.5999999999999999E-3</v>
      </c>
    </row>
    <row r="23" spans="1:19" x14ac:dyDescent="0.15"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115"/>
      <c r="O23" s="54"/>
      <c r="P23" s="54"/>
      <c r="Q23" s="54"/>
      <c r="R23" s="54"/>
      <c r="S23" s="118"/>
    </row>
    <row r="24" spans="1:19" x14ac:dyDescent="0.15">
      <c r="A24" t="s">
        <v>308</v>
      </c>
      <c r="C24" s="59" t="s">
        <v>312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121"/>
      <c r="O24" s="87"/>
      <c r="P24" s="87"/>
      <c r="Q24" s="87"/>
      <c r="R24" s="87"/>
      <c r="S24" s="120"/>
    </row>
    <row r="25" spans="1:19" x14ac:dyDescent="0.15">
      <c r="A25" t="s">
        <v>309</v>
      </c>
      <c r="C25" t="s">
        <v>309</v>
      </c>
      <c r="D25" s="42">
        <f t="shared" ref="D25:M25" si="11">D$78/D$35</f>
        <v>9.1643367505436474E-2</v>
      </c>
      <c r="E25" s="42">
        <f t="shared" si="11"/>
        <v>8.4350323043790379E-2</v>
      </c>
      <c r="F25" s="42">
        <f t="shared" si="11"/>
        <v>9.3506770444610296E-2</v>
      </c>
      <c r="G25" s="42">
        <f t="shared" si="11"/>
        <v>0.10946005590701781</v>
      </c>
      <c r="H25" s="42">
        <f t="shared" si="11"/>
        <v>0.13891658358258557</v>
      </c>
      <c r="I25" s="42">
        <f t="shared" si="11"/>
        <v>0.10599787057849284</v>
      </c>
      <c r="J25" s="42">
        <f t="shared" si="11"/>
        <v>0.10382649881590428</v>
      </c>
      <c r="K25" s="42">
        <f t="shared" si="11"/>
        <v>0.11831124202258222</v>
      </c>
      <c r="L25" s="42">
        <f t="shared" si="11"/>
        <v>0.13104705102717032</v>
      </c>
      <c r="M25" s="42">
        <f t="shared" si="11"/>
        <v>0.15009677986978709</v>
      </c>
      <c r="N25" s="63">
        <v>0.15010000000000001</v>
      </c>
      <c r="O25" s="64">
        <v>0.15010000000000001</v>
      </c>
      <c r="P25" s="64">
        <v>0.15010000000000001</v>
      </c>
      <c r="Q25" s="64">
        <v>0.15010000000000001</v>
      </c>
      <c r="R25" s="64">
        <v>0.15010000000000001</v>
      </c>
      <c r="S25" s="65">
        <v>0.15010000000000001</v>
      </c>
    </row>
    <row r="26" spans="1:19" x14ac:dyDescent="0.15">
      <c r="A26" t="s">
        <v>310</v>
      </c>
      <c r="C26" t="s">
        <v>310</v>
      </c>
      <c r="D26" s="42">
        <f t="shared" ref="D26:M26" si="12">D$94/D$35</f>
        <v>0.14300507403955678</v>
      </c>
      <c r="E26" s="42">
        <f t="shared" si="12"/>
        <v>0.12993539124192391</v>
      </c>
      <c r="F26" s="42">
        <f t="shared" si="12"/>
        <v>0.11440452073781852</v>
      </c>
      <c r="G26" s="42">
        <f t="shared" si="12"/>
        <v>0.18861262321612476</v>
      </c>
      <c r="H26" s="42">
        <f t="shared" si="12"/>
        <v>0.21950814223994683</v>
      </c>
      <c r="I26" s="42">
        <f t="shared" si="12"/>
        <v>0.12812019401395955</v>
      </c>
      <c r="J26" s="42">
        <f t="shared" si="12"/>
        <v>9.4478374672815654E-2</v>
      </c>
      <c r="K26" s="42">
        <f t="shared" si="12"/>
        <v>0.1111111111111111</v>
      </c>
      <c r="L26" s="42">
        <f t="shared" si="12"/>
        <v>0.11133200795228629</v>
      </c>
      <c r="M26" s="42">
        <f t="shared" si="12"/>
        <v>0.11525602674643674</v>
      </c>
      <c r="N26" s="69">
        <v>0.1153</v>
      </c>
      <c r="O26" s="70">
        <v>0.1153</v>
      </c>
      <c r="P26" s="70">
        <v>0.1153</v>
      </c>
      <c r="Q26" s="70">
        <v>0.1153</v>
      </c>
      <c r="R26" s="70">
        <v>0.1153</v>
      </c>
      <c r="S26" s="71">
        <v>0.1153</v>
      </c>
    </row>
    <row r="27" spans="1:19" x14ac:dyDescent="0.15"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116"/>
      <c r="O27" s="49"/>
      <c r="P27" s="49"/>
      <c r="Q27" s="49"/>
      <c r="R27" s="49"/>
      <c r="S27" s="119"/>
    </row>
    <row r="28" spans="1:19" x14ac:dyDescent="0.15">
      <c r="A28" t="s">
        <v>48</v>
      </c>
      <c r="C28" t="s">
        <v>48</v>
      </c>
      <c r="D28" s="86">
        <f>'Main Page &amp; Assumptions'!$J$18</f>
        <v>0.24</v>
      </c>
      <c r="E28" s="84">
        <f>'Main Page &amp; Assumptions'!$J$18</f>
        <v>0.24</v>
      </c>
      <c r="F28" s="84">
        <f>'Main Page &amp; Assumptions'!$J$18</f>
        <v>0.24</v>
      </c>
      <c r="G28" s="84">
        <f>'Main Page &amp; Assumptions'!$J$18</f>
        <v>0.24</v>
      </c>
      <c r="H28" s="84">
        <f>'Main Page &amp; Assumptions'!$J$18</f>
        <v>0.24</v>
      </c>
      <c r="I28" s="84">
        <f>'Main Page &amp; Assumptions'!$J$18</f>
        <v>0.24</v>
      </c>
      <c r="J28" s="84">
        <f>'Main Page &amp; Assumptions'!$J$18</f>
        <v>0.24</v>
      </c>
      <c r="K28" s="84">
        <f>'Main Page &amp; Assumptions'!$J$18</f>
        <v>0.24</v>
      </c>
      <c r="L28" s="84">
        <f>'Main Page &amp; Assumptions'!$J$18</f>
        <v>0.24</v>
      </c>
      <c r="M28" s="84">
        <f>'Main Page &amp; Assumptions'!$J$18</f>
        <v>0.24</v>
      </c>
      <c r="N28" s="83">
        <v>0.24</v>
      </c>
      <c r="O28" s="84">
        <v>0.24</v>
      </c>
      <c r="P28" s="84">
        <v>0.24</v>
      </c>
      <c r="Q28" s="84">
        <v>0.24</v>
      </c>
      <c r="R28" s="84">
        <v>0.24</v>
      </c>
      <c r="S28" s="85">
        <v>0.24</v>
      </c>
    </row>
    <row r="31" spans="1:19" ht="16" x14ac:dyDescent="0.15">
      <c r="C31" s="343" t="s">
        <v>403</v>
      </c>
      <c r="D31" s="343"/>
      <c r="E31" s="343"/>
      <c r="F31" s="343"/>
      <c r="G31" s="343"/>
      <c r="H31" s="343"/>
      <c r="I31" s="343"/>
      <c r="J31" s="343"/>
      <c r="K31" s="343"/>
      <c r="L31" s="343"/>
      <c r="M31" s="343"/>
      <c r="N31" s="343"/>
      <c r="O31" s="343"/>
      <c r="P31" s="343"/>
      <c r="Q31" s="343"/>
      <c r="R31" s="343"/>
      <c r="S31" s="343"/>
    </row>
    <row r="32" spans="1:19" x14ac:dyDescent="0.15">
      <c r="C32" s="90"/>
      <c r="D32" s="356" t="s">
        <v>399</v>
      </c>
      <c r="E32" s="356"/>
      <c r="F32" s="356"/>
      <c r="G32" s="356"/>
      <c r="H32" s="356"/>
      <c r="I32" s="356"/>
      <c r="J32" s="356"/>
      <c r="K32" s="356"/>
      <c r="L32" s="356"/>
      <c r="M32" s="356"/>
      <c r="N32" s="338" t="s">
        <v>400</v>
      </c>
      <c r="O32" s="339"/>
      <c r="P32" s="339"/>
      <c r="Q32" s="339"/>
      <c r="R32" s="339"/>
      <c r="S32" s="340"/>
    </row>
    <row r="33" spans="1:19" x14ac:dyDescent="0.15">
      <c r="C33" s="59" t="s">
        <v>86</v>
      </c>
      <c r="D33" s="60">
        <v>42735</v>
      </c>
      <c r="E33" s="60">
        <f t="shared" ref="E33:S33" si="13">EDATE(D33,12)</f>
        <v>43100</v>
      </c>
      <c r="F33" s="60">
        <f t="shared" si="13"/>
        <v>43465</v>
      </c>
      <c r="G33" s="60">
        <f t="shared" si="13"/>
        <v>43830</v>
      </c>
      <c r="H33" s="60">
        <f t="shared" si="13"/>
        <v>44196</v>
      </c>
      <c r="I33" s="60">
        <f t="shared" si="13"/>
        <v>44561</v>
      </c>
      <c r="J33" s="60">
        <f t="shared" si="13"/>
        <v>44926</v>
      </c>
      <c r="K33" s="60">
        <f t="shared" si="13"/>
        <v>45291</v>
      </c>
      <c r="L33" s="60">
        <f t="shared" si="13"/>
        <v>45657</v>
      </c>
      <c r="M33" s="60">
        <f t="shared" si="13"/>
        <v>46022</v>
      </c>
      <c r="N33" s="91">
        <f t="shared" si="13"/>
        <v>46387</v>
      </c>
      <c r="O33" s="60">
        <f t="shared" si="13"/>
        <v>46752</v>
      </c>
      <c r="P33" s="60">
        <f t="shared" si="13"/>
        <v>47118</v>
      </c>
      <c r="Q33" s="60">
        <f t="shared" si="13"/>
        <v>47483</v>
      </c>
      <c r="R33" s="60">
        <f t="shared" si="13"/>
        <v>47848</v>
      </c>
      <c r="S33" s="92">
        <f t="shared" si="13"/>
        <v>48213</v>
      </c>
    </row>
    <row r="34" spans="1:19" x14ac:dyDescent="0.15">
      <c r="D34" s="45" t="s">
        <v>88</v>
      </c>
      <c r="E34" s="45" t="s">
        <v>88</v>
      </c>
      <c r="F34" s="45" t="s">
        <v>88</v>
      </c>
      <c r="G34" s="45" t="s">
        <v>88</v>
      </c>
      <c r="H34" s="45" t="s">
        <v>88</v>
      </c>
      <c r="I34" s="45" t="s">
        <v>88</v>
      </c>
      <c r="J34" s="45" t="s">
        <v>88</v>
      </c>
      <c r="K34" s="45" t="s">
        <v>88</v>
      </c>
      <c r="L34" s="45" t="s">
        <v>88</v>
      </c>
      <c r="M34" s="45" t="s">
        <v>88</v>
      </c>
      <c r="N34" s="19" t="s">
        <v>88</v>
      </c>
      <c r="O34" s="45" t="s">
        <v>88</v>
      </c>
      <c r="P34" s="45" t="s">
        <v>88</v>
      </c>
      <c r="Q34" s="45" t="s">
        <v>88</v>
      </c>
      <c r="R34" s="45" t="s">
        <v>88</v>
      </c>
      <c r="S34" s="93" t="s">
        <v>88</v>
      </c>
    </row>
    <row r="35" spans="1:19" x14ac:dyDescent="0.15">
      <c r="A35" t="s">
        <v>91</v>
      </c>
      <c r="C35" s="88" t="s">
        <v>229</v>
      </c>
      <c r="D35" s="88">
        <f>IFERROR(
INDEX('Huntsman Raw'!$B$6:$K$33,
MATCH(TRIM($A35),'Huntsman Raw'!$M$6:$M$33,0),
MATCH(D$33,'Huntsman Raw'!$B$3:$K$3,0)
),"")</f>
        <v>9657</v>
      </c>
      <c r="E35" s="88">
        <f>IFERROR(
INDEX('Huntsman Raw'!$B$6:$K$33,
MATCH(TRIM($A35),'Huntsman Raw'!$M$6:$M$33,0),
MATCH(E$33,'Huntsman Raw'!$B$3:$K$3,0)
),"")</f>
        <v>8358</v>
      </c>
      <c r="F35" s="88">
        <f>IFERROR(
INDEX('Huntsman Raw'!$B$6:$K$33,
MATCH(TRIM($A35),'Huntsman Raw'!$M$6:$M$33,0),
MATCH(F$33,'Huntsman Raw'!$B$3:$K$3,0)
),"")</f>
        <v>9379</v>
      </c>
      <c r="G35" s="88">
        <f>IFERROR(
INDEX('Huntsman Raw'!$B$6:$K$33,
MATCH(TRIM($A35),'Huntsman Raw'!$M$6:$M$33,0),
MATCH(G$33,'Huntsman Raw'!$B$3:$K$3,0)
),"")</f>
        <v>6797</v>
      </c>
      <c r="H35" s="88">
        <f>IFERROR(
INDEX('Huntsman Raw'!$B$6:$K$33,
MATCH(TRIM($A35),'Huntsman Raw'!$M$6:$M$33,0),
MATCH(H$33,'Huntsman Raw'!$B$3:$K$3,0)
),"")</f>
        <v>6018</v>
      </c>
      <c r="I35" s="88">
        <f>IFERROR(
INDEX('Huntsman Raw'!$B$6:$K$33,
MATCH(TRIM($A35),'Huntsman Raw'!$M$6:$M$33,0),
MATCH(I$33,'Huntsman Raw'!$B$3:$K$3,0)
),"")</f>
        <v>8453</v>
      </c>
      <c r="J35" s="88">
        <f>IFERROR(
INDEX('Huntsman Raw'!$B$6:$K$33,
MATCH(TRIM($A35),'Huntsman Raw'!$M$6:$M$33,0),
MATCH(J$33,'Huntsman Raw'!$B$3:$K$3,0)
),"")</f>
        <v>8023</v>
      </c>
      <c r="K35" s="88">
        <f>IFERROR(
INDEX('Huntsman Raw'!$B$6:$K$33,
MATCH(TRIM($A35),'Huntsman Raw'!$M$6:$M$33,0),
MATCH(K$33,'Huntsman Raw'!$B$3:$K$3,0)
),"")</f>
        <v>6111</v>
      </c>
      <c r="L35" s="88">
        <f>IFERROR(
INDEX('Huntsman Raw'!$B$6:$K$33,
MATCH(TRIM($A35),'Huntsman Raw'!$M$6:$M$33,0),
MATCH(L$33,'Huntsman Raw'!$B$3:$K$3,0)
),"")</f>
        <v>6036</v>
      </c>
      <c r="M35" s="88">
        <f>IFERROR(
INDEX('Huntsman Raw'!$B$6:$K$33,
MATCH(TRIM($A35),'Huntsman Raw'!$M$6:$M$33,0),
MATCH(M$33,'Huntsman Raw'!$B$3:$K$3,0)
),"")</f>
        <v>5683</v>
      </c>
      <c r="N35" s="94">
        <f>M35*(1+N$8)</f>
        <v>6149.0060000000003</v>
      </c>
      <c r="O35" s="89">
        <f t="shared" ref="O35:S35" si="14">N35*(1+O$8)</f>
        <v>6610.18145</v>
      </c>
      <c r="P35" s="89">
        <f t="shared" si="14"/>
        <v>7152.2163289000009</v>
      </c>
      <c r="Q35" s="89">
        <f t="shared" si="14"/>
        <v>7567.0448759762012</v>
      </c>
      <c r="R35" s="89">
        <f t="shared" si="14"/>
        <v>8066.4698377906307</v>
      </c>
      <c r="S35" s="95">
        <f t="shared" si="14"/>
        <v>8550.4580280580685</v>
      </c>
    </row>
    <row r="36" spans="1:19" x14ac:dyDescent="0.1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96"/>
      <c r="O36" s="57"/>
      <c r="P36" s="57"/>
      <c r="Q36" s="57"/>
      <c r="R36" s="57"/>
      <c r="S36" s="97"/>
    </row>
    <row r="37" spans="1:19" x14ac:dyDescent="0.15">
      <c r="A37" t="s">
        <v>241</v>
      </c>
      <c r="C37" s="2" t="s">
        <v>242</v>
      </c>
      <c r="D37">
        <f>IFERROR(
INDEX('Huntsman Raw'!$B$6:$K$33,
MATCH(TRIM($A37),'Huntsman Raw'!$M$6:$M$33,0),
MATCH(D$33,'Huntsman Raw'!$B$3:$K$3,0)
),"")</f>
        <v>7979</v>
      </c>
      <c r="E37">
        <f>IFERROR(
INDEX('Huntsman Raw'!$B$6:$K$33,
MATCH(TRIM($A37),'Huntsman Raw'!$M$6:$M$33,0),
MATCH(E$33,'Huntsman Raw'!$B$3:$K$3,0)
),"")</f>
        <v>6546</v>
      </c>
      <c r="F37">
        <f>IFERROR(
INDEX('Huntsman Raw'!$B$6:$K$33,
MATCH(TRIM($A37),'Huntsman Raw'!$M$6:$M$33,0),
MATCH(F$33,'Huntsman Raw'!$B$3:$K$3,0)
),"")</f>
        <v>7354</v>
      </c>
      <c r="G37">
        <f>IFERROR(
INDEX('Huntsman Raw'!$B$6:$K$33,
MATCH(TRIM($A37),'Huntsman Raw'!$M$6:$M$33,0),
MATCH(G$33,'Huntsman Raw'!$B$3:$K$3,0)
),"")</f>
        <v>5415</v>
      </c>
      <c r="H37">
        <f>IFERROR(
INDEX('Huntsman Raw'!$B$6:$K$33,
MATCH(TRIM($A37),'Huntsman Raw'!$M$6:$M$33,0),
MATCH(H$33,'Huntsman Raw'!$B$3:$K$3,0)
),"")</f>
        <v>4918</v>
      </c>
      <c r="I37">
        <f>IFERROR(
INDEX('Huntsman Raw'!$B$6:$K$33,
MATCH(TRIM($A37),'Huntsman Raw'!$M$6:$M$33,0),
MATCH(I$33,'Huntsman Raw'!$B$3:$K$3,0)
),"")</f>
        <v>6678</v>
      </c>
      <c r="J37">
        <f>IFERROR(
INDEX('Huntsman Raw'!$B$6:$K$33,
MATCH(TRIM($A37),'Huntsman Raw'!$M$6:$M$33,0),
MATCH(J$33,'Huntsman Raw'!$B$3:$K$3,0)
),"")</f>
        <v>6477</v>
      </c>
      <c r="K37">
        <f>IFERROR(
INDEX('Huntsman Raw'!$B$6:$K$33,
MATCH(TRIM($A37),'Huntsman Raw'!$M$6:$M$33,0),
MATCH(K$33,'Huntsman Raw'!$B$3:$K$3,0)
),"")</f>
        <v>5205</v>
      </c>
      <c r="L37">
        <f>IFERROR(
INDEX('Huntsman Raw'!$B$6:$K$33,
MATCH(TRIM($A37),'Huntsman Raw'!$M$6:$M$33,0),
MATCH(L$33,'Huntsman Raw'!$B$3:$K$3,0)
),"")</f>
        <v>5170</v>
      </c>
      <c r="M37">
        <f>IFERROR(
INDEX('Huntsman Raw'!$B$6:$K$33,
MATCH(TRIM($A37),'Huntsman Raw'!$M$6:$M$33,0),
MATCH(M$33,'Huntsman Raw'!$B$3:$K$3,0)
),"")</f>
        <v>4932</v>
      </c>
      <c r="N37" s="98">
        <f>N35*(1-N$9)</f>
        <v>5257.40013</v>
      </c>
      <c r="O37" s="39">
        <f t="shared" ref="O37:S37" si="15">O35*(1-O$9)</f>
        <v>5552.5524180000002</v>
      </c>
      <c r="P37" s="39">
        <f t="shared" si="15"/>
        <v>5800.4474427379</v>
      </c>
      <c r="Q37" s="39">
        <f t="shared" si="15"/>
        <v>5970.3984071452232</v>
      </c>
      <c r="R37" s="39">
        <f t="shared" si="15"/>
        <v>6243.4476544499485</v>
      </c>
      <c r="S37" s="99">
        <f t="shared" si="15"/>
        <v>6566.7517655485972</v>
      </c>
    </row>
    <row r="38" spans="1:19" x14ac:dyDescent="0.15">
      <c r="A38" t="s">
        <v>93</v>
      </c>
      <c r="C38" t="s">
        <v>93</v>
      </c>
      <c r="D38">
        <f>IFERROR(
INDEX('Huntsman Raw'!$B$6:$K$33,
MATCH(TRIM($A38),'Huntsman Raw'!$M$6:$M$33,0),
MATCH(D$33,'Huntsman Raw'!$B$3:$K$3,0)
),"")</f>
        <v>1678</v>
      </c>
      <c r="E38">
        <f>IFERROR(
INDEX('Huntsman Raw'!$B$6:$K$33,
MATCH(TRIM($A38),'Huntsman Raw'!$M$6:$M$33,0),
MATCH(E$33,'Huntsman Raw'!$B$3:$K$3,0)
),"")</f>
        <v>1812</v>
      </c>
      <c r="F38">
        <f>IFERROR(
INDEX('Huntsman Raw'!$B$6:$K$33,
MATCH(TRIM($A38),'Huntsman Raw'!$M$6:$M$33,0),
MATCH(F$33,'Huntsman Raw'!$B$3:$K$3,0)
),"")</f>
        <v>2025</v>
      </c>
      <c r="G38">
        <f>IFERROR(
INDEX('Huntsman Raw'!$B$6:$K$33,
MATCH(TRIM($A38),'Huntsman Raw'!$M$6:$M$33,0),
MATCH(G$33,'Huntsman Raw'!$B$3:$K$3,0)
),"")</f>
        <v>1382</v>
      </c>
      <c r="H38">
        <f>IFERROR(
INDEX('Huntsman Raw'!$B$6:$K$33,
MATCH(TRIM($A38),'Huntsman Raw'!$M$6:$M$33,0),
MATCH(H$33,'Huntsman Raw'!$B$3:$K$3,0)
),"")</f>
        <v>1100</v>
      </c>
      <c r="I38">
        <f>IFERROR(
INDEX('Huntsman Raw'!$B$6:$K$33,
MATCH(TRIM($A38),'Huntsman Raw'!$M$6:$M$33,0),
MATCH(I$33,'Huntsman Raw'!$B$3:$K$3,0)
),"")</f>
        <v>1775</v>
      </c>
      <c r="J38">
        <f>IFERROR(
INDEX('Huntsman Raw'!$B$6:$K$33,
MATCH(TRIM($A38),'Huntsman Raw'!$M$6:$M$33,0),
MATCH(J$33,'Huntsman Raw'!$B$3:$K$3,0)
),"")</f>
        <v>1546</v>
      </c>
      <c r="K38">
        <f>IFERROR(
INDEX('Huntsman Raw'!$B$6:$K$33,
MATCH(TRIM($A38),'Huntsman Raw'!$M$6:$M$33,0),
MATCH(K$33,'Huntsman Raw'!$B$3:$K$3,0)
),"")</f>
        <v>906</v>
      </c>
      <c r="L38">
        <f>IFERROR(
INDEX('Huntsman Raw'!$B$6:$K$33,
MATCH(TRIM($A38),'Huntsman Raw'!$M$6:$M$33,0),
MATCH(L$33,'Huntsman Raw'!$B$3:$K$3,0)
),"")</f>
        <v>866</v>
      </c>
      <c r="M38">
        <f>IFERROR(
INDEX('Huntsman Raw'!$B$6:$K$33,
MATCH(TRIM($A38),'Huntsman Raw'!$M$6:$M$33,0),
MATCH(M$33,'Huntsman Raw'!$B$3:$K$3,0)
),"")</f>
        <v>751</v>
      </c>
      <c r="N38" s="98">
        <f>N$35-N$37</f>
        <v>891.60587000000032</v>
      </c>
      <c r="O38" s="39">
        <f t="shared" ref="O38:S38" si="16">O$35-O$37</f>
        <v>1057.6290319999998</v>
      </c>
      <c r="P38" s="39">
        <f t="shared" si="16"/>
        <v>1351.7688861621009</v>
      </c>
      <c r="Q38" s="39">
        <f t="shared" si="16"/>
        <v>1596.6464688309779</v>
      </c>
      <c r="R38" s="39">
        <f t="shared" si="16"/>
        <v>1823.0221833406822</v>
      </c>
      <c r="S38" s="99">
        <f t="shared" si="16"/>
        <v>1983.7062625094713</v>
      </c>
    </row>
    <row r="39" spans="1:19" x14ac:dyDescent="0.15">
      <c r="A39" t="s">
        <v>243</v>
      </c>
      <c r="C39" s="2" t="s">
        <v>230</v>
      </c>
      <c r="D39">
        <f>IFERROR(
INDEX('Huntsman Raw'!$B$6:$K$33,
MATCH(TRIM($A39),'Huntsman Raw'!$M$6:$M$33,0),
MATCH(D$33,'Huntsman Raw'!$B$3:$K$3,0)
),"")</f>
        <v>920</v>
      </c>
      <c r="E39">
        <f>IFERROR(
INDEX('Huntsman Raw'!$B$6:$K$33,
MATCH(TRIM($A39),'Huntsman Raw'!$M$6:$M$33,0),
MATCH(E$33,'Huntsman Raw'!$B$3:$K$3,0)
),"")</f>
        <v>798</v>
      </c>
      <c r="F39">
        <f>IFERROR(
INDEX('Huntsman Raw'!$B$6:$K$33,
MATCH(TRIM($A39),'Huntsman Raw'!$M$6:$M$33,0),
MATCH(F$33,'Huntsman Raw'!$B$3:$K$3,0)
),"")</f>
        <v>830</v>
      </c>
      <c r="G39">
        <f>IFERROR(
INDEX('Huntsman Raw'!$B$6:$K$33,
MATCH(TRIM($A39),'Huntsman Raw'!$M$6:$M$33,0),
MATCH(G$33,'Huntsman Raw'!$B$3:$K$3,0)
),"")</f>
        <v>786</v>
      </c>
      <c r="H39">
        <f>IFERROR(
INDEX('Huntsman Raw'!$B$6:$K$33,
MATCH(TRIM($A39),'Huntsman Raw'!$M$6:$M$33,0),
MATCH(H$33,'Huntsman Raw'!$B$3:$K$3,0)
),"")</f>
        <v>775</v>
      </c>
      <c r="I39">
        <f>IFERROR(
INDEX('Huntsman Raw'!$B$6:$K$33,
MATCH(TRIM($A39),'Huntsman Raw'!$M$6:$M$33,0),
MATCH(I$33,'Huntsman Raw'!$B$3:$K$3,0)
),"")</f>
        <v>851</v>
      </c>
      <c r="J39">
        <f>IFERROR(
INDEX('Huntsman Raw'!$B$6:$K$33,
MATCH(TRIM($A39),'Huntsman Raw'!$M$6:$M$33,0),
MATCH(J$33,'Huntsman Raw'!$B$3:$K$3,0)
),"")</f>
        <v>711</v>
      </c>
      <c r="K39">
        <f>IFERROR(
INDEX('Huntsman Raw'!$B$6:$K$33,
MATCH(TRIM($A39),'Huntsman Raw'!$M$6:$M$33,0),
MATCH(K$33,'Huntsman Raw'!$B$3:$K$3,0)
),"")</f>
        <v>689</v>
      </c>
      <c r="L39">
        <f>IFERROR(
INDEX('Huntsman Raw'!$B$6:$K$33,
MATCH(TRIM($A39),'Huntsman Raw'!$M$6:$M$33,0),
MATCH(L$33,'Huntsman Raw'!$B$3:$K$3,0)
),"")</f>
        <v>671</v>
      </c>
      <c r="M39">
        <f>IFERROR(
INDEX('Huntsman Raw'!$B$6:$K$33,
MATCH(TRIM($A39),'Huntsman Raw'!$M$6:$M$33,0),
MATCH(M$33,'Huntsman Raw'!$B$3:$K$3,0)
),"")</f>
        <v>670</v>
      </c>
      <c r="N39" s="98">
        <f t="shared" ref="N39:S39" si="17">N$35*N$10</f>
        <v>725.58270800000003</v>
      </c>
      <c r="O39" s="39">
        <f t="shared" si="17"/>
        <v>780.00141109999993</v>
      </c>
      <c r="P39" s="39">
        <f t="shared" si="17"/>
        <v>843.9615268102001</v>
      </c>
      <c r="Q39" s="39">
        <f t="shared" si="17"/>
        <v>892.91129536519168</v>
      </c>
      <c r="R39" s="39">
        <f t="shared" si="17"/>
        <v>951.84344085929433</v>
      </c>
      <c r="S39" s="99">
        <f t="shared" si="17"/>
        <v>1008.954047310852</v>
      </c>
    </row>
    <row r="40" spans="1:19" x14ac:dyDescent="0.15">
      <c r="A40" t="s">
        <v>244</v>
      </c>
      <c r="C40" s="2" t="s">
        <v>231</v>
      </c>
      <c r="D40">
        <f>IFERROR(
INDEX('Huntsman Raw'!$B$6:$K$33,
MATCH(TRIM($A40),'Huntsman Raw'!$M$6:$M$33,0),
MATCH(D$33,'Huntsman Raw'!$B$3:$K$3,0)
),"")</f>
        <v>152</v>
      </c>
      <c r="E40">
        <f>IFERROR(
INDEX('Huntsman Raw'!$B$6:$K$33,
MATCH(TRIM($A40),'Huntsman Raw'!$M$6:$M$33,0),
MATCH(E$33,'Huntsman Raw'!$B$3:$K$3,0)
),"")</f>
        <v>138</v>
      </c>
      <c r="F40">
        <f>IFERROR(
INDEX('Huntsman Raw'!$B$6:$K$33,
MATCH(TRIM($A40),'Huntsman Raw'!$M$6:$M$33,0),
MATCH(F$33,'Huntsman Raw'!$B$3:$K$3,0)
),"")</f>
        <v>152</v>
      </c>
      <c r="G40">
        <f>IFERROR(
INDEX('Huntsman Raw'!$B$6:$K$33,
MATCH(TRIM($A40),'Huntsman Raw'!$M$6:$M$33,0),
MATCH(G$33,'Huntsman Raw'!$B$3:$K$3,0)
),"")</f>
        <v>137</v>
      </c>
      <c r="H40">
        <f>IFERROR(
INDEX('Huntsman Raw'!$B$6:$K$33,
MATCH(TRIM($A40),'Huntsman Raw'!$M$6:$M$33,0),
MATCH(H$33,'Huntsman Raw'!$B$3:$K$3,0)
),"")</f>
        <v>135</v>
      </c>
      <c r="I40">
        <f>IFERROR(
INDEX('Huntsman Raw'!$B$6:$K$33,
MATCH(TRIM($A40),'Huntsman Raw'!$M$6:$M$33,0),
MATCH(I$33,'Huntsman Raw'!$B$3:$K$3,0)
),"")</f>
        <v>150</v>
      </c>
      <c r="J40">
        <f>IFERROR(
INDEX('Huntsman Raw'!$B$6:$K$33,
MATCH(TRIM($A40),'Huntsman Raw'!$M$6:$M$33,0),
MATCH(J$33,'Huntsman Raw'!$B$3:$K$3,0)
),"")</f>
        <v>125</v>
      </c>
      <c r="K40">
        <f>IFERROR(
INDEX('Huntsman Raw'!$B$6:$K$33,
MATCH(TRIM($A40),'Huntsman Raw'!$M$6:$M$33,0),
MATCH(K$33,'Huntsman Raw'!$B$3:$K$3,0)
),"")</f>
        <v>115</v>
      </c>
      <c r="L40">
        <f>IFERROR(
INDEX('Huntsman Raw'!$B$6:$K$33,
MATCH(TRIM($A40),'Huntsman Raw'!$M$6:$M$33,0),
MATCH(L$33,'Huntsman Raw'!$B$3:$K$3,0)
),"")</f>
        <v>121</v>
      </c>
      <c r="M40">
        <f>IFERROR(
INDEX('Huntsman Raw'!$B$6:$K$33,
MATCH(TRIM($A40),'Huntsman Raw'!$M$6:$M$33,0),
MATCH(M$33,'Huntsman Raw'!$B$3:$K$3,0)
),"")</f>
        <v>120</v>
      </c>
      <c r="N40" s="98">
        <f t="shared" ref="N40:S40" si="18">N$35*N$11</f>
        <v>129.12912600000001</v>
      </c>
      <c r="O40" s="39">
        <f t="shared" si="18"/>
        <v>138.81381045000001</v>
      </c>
      <c r="P40" s="39">
        <f t="shared" si="18"/>
        <v>150.19654290690002</v>
      </c>
      <c r="Q40" s="39">
        <f t="shared" si="18"/>
        <v>158.90794239550024</v>
      </c>
      <c r="R40" s="39">
        <f t="shared" si="18"/>
        <v>169.39586659360324</v>
      </c>
      <c r="S40" s="99">
        <f t="shared" si="18"/>
        <v>179.55961858921944</v>
      </c>
    </row>
    <row r="41" spans="1:19" x14ac:dyDescent="0.15">
      <c r="A41" t="s">
        <v>245</v>
      </c>
      <c r="C41" s="2" t="s">
        <v>240</v>
      </c>
      <c r="D41" s="355" t="s">
        <v>461</v>
      </c>
      <c r="E41" s="355"/>
      <c r="F41" s="355"/>
      <c r="G41" s="355"/>
      <c r="H41" s="355"/>
      <c r="I41" s="355"/>
      <c r="J41" s="355"/>
      <c r="K41" s="355"/>
      <c r="L41" s="355"/>
      <c r="M41" s="355"/>
      <c r="N41" s="3"/>
      <c r="S41" s="5"/>
    </row>
    <row r="42" spans="1:19" x14ac:dyDescent="0.15">
      <c r="A42" t="s">
        <v>246</v>
      </c>
      <c r="C42" s="2" t="s">
        <v>246</v>
      </c>
      <c r="D42">
        <f>IFERROR(
INDEX('Huntsman Raw'!$B$6:$K$33,
MATCH(TRIM($A42),'Huntsman Raw'!$M$6:$M$33,0),
MATCH(D$33,'Huntsman Raw'!$B$3:$K$3,0)
),"")</f>
        <v>102</v>
      </c>
      <c r="E42">
        <f>IFERROR(
INDEX('Huntsman Raw'!$B$6:$K$33,
MATCH(TRIM($A42),'Huntsman Raw'!$M$6:$M$33,0),
MATCH(E$33,'Huntsman Raw'!$B$3:$K$3,0)
),"")</f>
        <v>102</v>
      </c>
      <c r="F42">
        <f>IFERROR(
INDEX('Huntsman Raw'!$B$6:$K$33,
MATCH(TRIM($A42),'Huntsman Raw'!$M$6:$M$33,0),
MATCH(F$33,'Huntsman Raw'!$B$3:$K$3,0)
),"")</f>
        <v>0</v>
      </c>
      <c r="G42">
        <f>IFERROR(
INDEX('Huntsman Raw'!$B$6:$K$33,
MATCH(TRIM($A42),'Huntsman Raw'!$M$6:$M$33,0),
MATCH(G$33,'Huntsman Raw'!$B$3:$K$3,0)
),"")</f>
        <v>-18</v>
      </c>
      <c r="H42">
        <f>IFERROR(
INDEX('Huntsman Raw'!$B$6:$K$33,
MATCH(TRIM($A42),'Huntsman Raw'!$M$6:$M$33,0),
MATCH(H$33,'Huntsman Raw'!$B$3:$K$3,0)
),"")</f>
        <v>-198</v>
      </c>
      <c r="I42">
        <f>IFERROR(
INDEX('Huntsman Raw'!$B$6:$K$33,
MATCH(TRIM($A42),'Huntsman Raw'!$M$6:$M$33,0),
MATCH(I$33,'Huntsman Raw'!$B$3:$K$3,0)
),"")</f>
        <v>-426</v>
      </c>
      <c r="J42">
        <f>IFERROR(
INDEX('Huntsman Raw'!$B$6:$K$33,
MATCH(TRIM($A42),'Huntsman Raw'!$M$6:$M$33,0),
MATCH(J$33,'Huntsman Raw'!$B$3:$K$3,0)
),"")</f>
        <v>89</v>
      </c>
      <c r="K42">
        <f>IFERROR(
INDEX('Huntsman Raw'!$B$6:$K$33,
MATCH(TRIM($A42),'Huntsman Raw'!$M$6:$M$33,0),
MATCH(K$33,'Huntsman Raw'!$B$3:$K$3,0)
),"")</f>
        <v>18</v>
      </c>
      <c r="L42">
        <f>IFERROR(
INDEX('Huntsman Raw'!$B$6:$K$33,
MATCH(TRIM($A42),'Huntsman Raw'!$M$6:$M$33,0),
MATCH(L$33,'Huntsman Raw'!$B$3:$K$3,0)
),"")</f>
        <v>98</v>
      </c>
      <c r="M42">
        <f>IFERROR(
INDEX('Huntsman Raw'!$B$6:$K$33,
MATCH(TRIM($A42),'Huntsman Raw'!$M$6:$M$33,0),
MATCH(M$33,'Huntsman Raw'!$B$3:$K$3,0)
),"")</f>
        <v>110</v>
      </c>
      <c r="N42" s="14">
        <v>0</v>
      </c>
      <c r="O42" s="15">
        <v>0</v>
      </c>
      <c r="P42" s="15">
        <v>0</v>
      </c>
      <c r="Q42" s="15">
        <v>0</v>
      </c>
      <c r="R42" s="15">
        <v>0</v>
      </c>
      <c r="S42" s="13">
        <v>0</v>
      </c>
    </row>
    <row r="43" spans="1:19" x14ac:dyDescent="0.15">
      <c r="A43" t="s">
        <v>247</v>
      </c>
      <c r="C43" s="2" t="s">
        <v>248</v>
      </c>
      <c r="D43">
        <f>IFERROR(
INDEX('Huntsman Raw'!$B$6:$K$33,
MATCH(TRIM($A43),'Huntsman Raw'!$M$6:$M$33,0),
MATCH(D$33,'Huntsman Raw'!$B$3:$K$3,0)
),"")</f>
        <v>-140</v>
      </c>
      <c r="E43">
        <f>IFERROR(
INDEX('Huntsman Raw'!$B$6:$K$33,
MATCH(TRIM($A43),'Huntsman Raw'!$M$6:$M$33,0),
MATCH(E$33,'Huntsman Raw'!$B$3:$K$3,0)
),"")</f>
        <v>-23</v>
      </c>
      <c r="F43">
        <f>IFERROR(
INDEX('Huntsman Raw'!$B$6:$K$33,
MATCH(TRIM($A43),'Huntsman Raw'!$M$6:$M$33,0),
MATCH(F$33,'Huntsman Raw'!$B$3:$K$3,0)
),"")</f>
        <v>8</v>
      </c>
      <c r="G43">
        <f>IFERROR(
INDEX('Huntsman Raw'!$B$6:$K$33,
MATCH(TRIM($A43),'Huntsman Raw'!$M$6:$M$33,0),
MATCH(G$33,'Huntsman Raw'!$B$3:$K$3,0)
),"")</f>
        <v>31</v>
      </c>
      <c r="H43">
        <f>IFERROR(
INDEX('Huntsman Raw'!$B$6:$K$33,
MATCH(TRIM($A43),'Huntsman Raw'!$M$6:$M$33,0),
MATCH(H$33,'Huntsman Raw'!$B$3:$K$3,0)
),"")</f>
        <v>-45</v>
      </c>
      <c r="I43">
        <f>IFERROR(
INDEX('Huntsman Raw'!$B$6:$K$33,
MATCH(TRIM($A43),'Huntsman Raw'!$M$6:$M$33,0),
MATCH(I$33,'Huntsman Raw'!$B$3:$K$3,0)
),"")</f>
        <v>-33</v>
      </c>
      <c r="J43">
        <f>IFERROR(
INDEX('Huntsman Raw'!$B$6:$K$33,
MATCH(TRIM($A43),'Huntsman Raw'!$M$6:$M$33,0),
MATCH(J$33,'Huntsman Raw'!$B$3:$K$3,0)
),"")</f>
        <v>-48</v>
      </c>
      <c r="K43">
        <f>IFERROR(
INDEX('Huntsman Raw'!$B$6:$K$33,
MATCH(TRIM($A43),'Huntsman Raw'!$M$6:$M$33,0),
MATCH(K$33,'Huntsman Raw'!$B$3:$K$3,0)
),"")</f>
        <v>0</v>
      </c>
      <c r="L43">
        <f>IFERROR(
INDEX('Huntsman Raw'!$B$6:$K$33,
MATCH(TRIM($A43),'Huntsman Raw'!$M$6:$M$33,0),
MATCH(L$33,'Huntsman Raw'!$B$3:$K$3,0)
),"")</f>
        <v>1</v>
      </c>
      <c r="M43">
        <f>IFERROR(
INDEX('Huntsman Raw'!$B$6:$K$33,
MATCH(TRIM($A43),'Huntsman Raw'!$M$6:$M$33,0),
MATCH(M$33,'Huntsman Raw'!$B$3:$K$3,0)
),"")</f>
        <v>-18</v>
      </c>
      <c r="N43" s="100">
        <f t="shared" ref="N43:S43" si="19">N$12*N$35</f>
        <v>-18.447018</v>
      </c>
      <c r="O43" s="53">
        <f t="shared" si="19"/>
        <v>-19.83054435</v>
      </c>
      <c r="P43" s="53">
        <f t="shared" si="19"/>
        <v>-21.456648986700003</v>
      </c>
      <c r="Q43" s="53">
        <f t="shared" si="19"/>
        <v>-22.701134627928603</v>
      </c>
      <c r="R43" s="53">
        <f t="shared" si="19"/>
        <v>-24.199409513371894</v>
      </c>
      <c r="S43" s="101">
        <f t="shared" si="19"/>
        <v>-25.651374084174208</v>
      </c>
    </row>
    <row r="44" spans="1:19" x14ac:dyDescent="0.15">
      <c r="A44" t="s">
        <v>100</v>
      </c>
      <c r="C44" t="s">
        <v>553</v>
      </c>
      <c r="D44">
        <f>IFERROR(
INDEX('Huntsman Raw'!$B$6:$K$33,
MATCH(TRIM($A44),'Huntsman Raw'!$M$6:$M$33,0),
MATCH(D$33,'Huntsman Raw'!$B$3:$K$3,0)
),"")</f>
        <v>9013</v>
      </c>
      <c r="E44">
        <f>IFERROR(
INDEX('Huntsman Raw'!$B$6:$K$33,
MATCH(TRIM($A44),'Huntsman Raw'!$M$6:$M$33,0),
MATCH(E$33,'Huntsman Raw'!$B$3:$K$3,0)
),"")</f>
        <v>7561</v>
      </c>
      <c r="F44">
        <f>IFERROR(
INDEX('Huntsman Raw'!$B$6:$K$33,
MATCH(TRIM($A44),'Huntsman Raw'!$M$6:$M$33,0),
MATCH(F$33,'Huntsman Raw'!$B$3:$K$3,0)
),"")</f>
        <v>8344</v>
      </c>
      <c r="G44">
        <f>IFERROR(
INDEX('Huntsman Raw'!$B$6:$K$33,
MATCH(TRIM($A44),'Huntsman Raw'!$M$6:$M$33,0),
MATCH(G$33,'Huntsman Raw'!$B$3:$K$3,0)
),"")</f>
        <v>6351</v>
      </c>
      <c r="H44">
        <f>IFERROR(
INDEX('Huntsman Raw'!$B$6:$K$33,
MATCH(TRIM($A44),'Huntsman Raw'!$M$6:$M$33,0),
MATCH(H$33,'Huntsman Raw'!$B$3:$K$3,0)
),"")</f>
        <v>5585</v>
      </c>
      <c r="I44">
        <f>IFERROR(
INDEX('Huntsman Raw'!$B$6:$K$33,
MATCH(TRIM($A44),'Huntsman Raw'!$M$6:$M$33,0),
MATCH(I$33,'Huntsman Raw'!$B$3:$K$3,0)
),"")</f>
        <v>7220</v>
      </c>
      <c r="J44">
        <f>IFERROR(
INDEX('Huntsman Raw'!$B$6:$K$33,
MATCH(TRIM($A44),'Huntsman Raw'!$M$6:$M$33,0),
MATCH(J$33,'Huntsman Raw'!$B$3:$K$3,0)
),"")</f>
        <v>7354</v>
      </c>
      <c r="K44">
        <f>IFERROR(
INDEX('Huntsman Raw'!$B$6:$K$33,
MATCH(TRIM($A44),'Huntsman Raw'!$M$6:$M$33,0),
MATCH(K$33,'Huntsman Raw'!$B$3:$K$3,0)
),"")</f>
        <v>6027</v>
      </c>
      <c r="L44">
        <f>IFERROR(
INDEX('Huntsman Raw'!$B$6:$K$33,
MATCH(TRIM($A44),'Huntsman Raw'!$M$6:$M$33,0),
MATCH(L$33,'Huntsman Raw'!$B$3:$K$3,0)
),"")</f>
        <v>6061</v>
      </c>
      <c r="M44">
        <f>IFERROR(
INDEX('Huntsman Raw'!$B$6:$K$33,
MATCH(TRIM($A44),'Huntsman Raw'!$M$6:$M$33,0),
MATCH(M$33,'Huntsman Raw'!$B$3:$K$3,0)
),"")</f>
        <v>5814</v>
      </c>
      <c r="N44" s="98">
        <f>SUM(N$39:N$43)+N37</f>
        <v>6093.6649459999999</v>
      </c>
      <c r="O44" s="39">
        <f t="shared" ref="O44:S44" si="20">SUM(O$39:O$43)+O37</f>
        <v>6451.5370952000003</v>
      </c>
      <c r="P44" s="39">
        <f t="shared" si="20"/>
        <v>6773.1488634683001</v>
      </c>
      <c r="Q44" s="39">
        <f t="shared" si="20"/>
        <v>6999.5165102779865</v>
      </c>
      <c r="R44" s="39">
        <f t="shared" si="20"/>
        <v>7340.4875523894743</v>
      </c>
      <c r="S44" s="99">
        <f t="shared" si="20"/>
        <v>7729.6140573644943</v>
      </c>
    </row>
    <row r="45" spans="1:19" x14ac:dyDescent="0.15">
      <c r="A45" t="s">
        <v>101</v>
      </c>
      <c r="C45" s="88" t="s">
        <v>101</v>
      </c>
      <c r="D45" s="88">
        <f>IFERROR(
INDEX('Huntsman Raw'!$B$6:$K$33,
MATCH(TRIM($A45),'Huntsman Raw'!$M$6:$M$33,0),
MATCH(D$33,'Huntsman Raw'!$B$3:$K$3,0)
),"")</f>
        <v>644</v>
      </c>
      <c r="E45" s="88">
        <f>IFERROR(
INDEX('Huntsman Raw'!$B$6:$K$33,
MATCH(TRIM($A45),'Huntsman Raw'!$M$6:$M$33,0),
MATCH(E$33,'Huntsman Raw'!$B$3:$K$3,0)
),"")</f>
        <v>797</v>
      </c>
      <c r="F45" s="88">
        <f>IFERROR(
INDEX('Huntsman Raw'!$B$6:$K$33,
MATCH(TRIM($A45),'Huntsman Raw'!$M$6:$M$33,0),
MATCH(F$33,'Huntsman Raw'!$B$3:$K$3,0)
),"")</f>
        <v>1035</v>
      </c>
      <c r="G45" s="88">
        <f>IFERROR(
INDEX('Huntsman Raw'!$B$6:$K$33,
MATCH(TRIM($A45),'Huntsman Raw'!$M$6:$M$33,0),
MATCH(G$33,'Huntsman Raw'!$B$3:$K$3,0)
),"")</f>
        <v>446</v>
      </c>
      <c r="H45" s="88">
        <f>IFERROR(
INDEX('Huntsman Raw'!$B$6:$K$33,
MATCH(TRIM($A45),'Huntsman Raw'!$M$6:$M$33,0),
MATCH(H$33,'Huntsman Raw'!$B$3:$K$3,0)
),"")</f>
        <v>433</v>
      </c>
      <c r="I45" s="88">
        <f>IFERROR(
INDEX('Huntsman Raw'!$B$6:$K$33,
MATCH(TRIM($A45),'Huntsman Raw'!$M$6:$M$33,0),
MATCH(I$33,'Huntsman Raw'!$B$3:$K$3,0)
),"")</f>
        <v>1233</v>
      </c>
      <c r="J45" s="88">
        <f>IFERROR(
INDEX('Huntsman Raw'!$B$6:$K$33,
MATCH(TRIM($A45),'Huntsman Raw'!$M$6:$M$33,0),
MATCH(J$33,'Huntsman Raw'!$B$3:$K$3,0)
),"")</f>
        <v>669</v>
      </c>
      <c r="K45" s="88">
        <f>IFERROR(
INDEX('Huntsman Raw'!$B$6:$K$33,
MATCH(TRIM($A45),'Huntsman Raw'!$M$6:$M$33,0),
MATCH(K$33,'Huntsman Raw'!$B$3:$K$3,0)
),"")</f>
        <v>84</v>
      </c>
      <c r="L45" s="88">
        <f>IFERROR(
INDEX('Huntsman Raw'!$B$6:$K$33,
MATCH(TRIM($A45),'Huntsman Raw'!$M$6:$M$33,0),
MATCH(L$33,'Huntsman Raw'!$B$3:$K$3,0)
),"")</f>
        <v>-25</v>
      </c>
      <c r="M45" s="88">
        <f>IFERROR(
INDEX('Huntsman Raw'!$B$6:$K$33,
MATCH(TRIM($A45),'Huntsman Raw'!$M$6:$M$33,0),
MATCH(M$33,'Huntsman Raw'!$B$3:$K$3,0)
),"")</f>
        <v>-131</v>
      </c>
      <c r="N45" s="94">
        <f>N$35-N$44</f>
        <v>55.34105400000044</v>
      </c>
      <c r="O45" s="89">
        <f t="shared" ref="O45:S45" si="21">O$35-O$44</f>
        <v>158.64435479999975</v>
      </c>
      <c r="P45" s="89">
        <f t="shared" si="21"/>
        <v>379.06746543170084</v>
      </c>
      <c r="Q45" s="89">
        <f t="shared" si="21"/>
        <v>567.52836569821466</v>
      </c>
      <c r="R45" s="89">
        <f t="shared" si="21"/>
        <v>725.98228540115633</v>
      </c>
      <c r="S45" s="95">
        <f t="shared" si="21"/>
        <v>820.84397069357419</v>
      </c>
    </row>
    <row r="46" spans="1:19" x14ac:dyDescent="0.1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96"/>
      <c r="O46" s="57"/>
      <c r="P46" s="57"/>
      <c r="Q46" s="57"/>
      <c r="R46" s="57"/>
      <c r="S46" s="97"/>
    </row>
    <row r="47" spans="1:19" x14ac:dyDescent="0.15">
      <c r="A47" t="s">
        <v>249</v>
      </c>
      <c r="C47" s="2" t="s">
        <v>250</v>
      </c>
      <c r="D47">
        <f>IFERROR(
INDEX('Huntsman Raw'!$B$6:$K$33,
MATCH(TRIM($A47),'Huntsman Raw'!$M$6:$M$33,0),
MATCH(D$33,'Huntsman Raw'!$B$3:$K$3,0)
),"")</f>
        <v>-197</v>
      </c>
      <c r="E47">
        <f>IFERROR(
INDEX('Huntsman Raw'!$B$6:$K$33,
MATCH(TRIM($A47),'Huntsman Raw'!$M$6:$M$33,0),
MATCH(E$33,'Huntsman Raw'!$B$3:$K$3,0)
),"")</f>
        <v>-152</v>
      </c>
      <c r="F47">
        <f>IFERROR(
INDEX('Huntsman Raw'!$B$6:$K$33,
MATCH(TRIM($A47),'Huntsman Raw'!$M$6:$M$33,0),
MATCH(F$33,'Huntsman Raw'!$B$3:$K$3,0)
),"")</f>
        <v>-122</v>
      </c>
      <c r="G47">
        <f>IFERROR(
INDEX('Huntsman Raw'!$B$6:$K$33,
MATCH(TRIM($A47),'Huntsman Raw'!$M$6:$M$33,0),
MATCH(G$33,'Huntsman Raw'!$B$3:$K$3,0)
),"")</f>
        <v>-75</v>
      </c>
      <c r="H47">
        <f>IFERROR(
INDEX('Huntsman Raw'!$B$6:$K$33,
MATCH(TRIM($A47),'Huntsman Raw'!$M$6:$M$33,0),
MATCH(H$33,'Huntsman Raw'!$B$3:$K$3,0)
),"")</f>
        <v>-132</v>
      </c>
      <c r="I47">
        <f>IFERROR(
INDEX('Huntsman Raw'!$B$6:$K$33,
MATCH(TRIM($A47),'Huntsman Raw'!$M$6:$M$33,0),
MATCH(I$33,'Huntsman Raw'!$B$3:$K$3,0)
),"")</f>
        <v>48</v>
      </c>
      <c r="J47">
        <f>IFERROR(
INDEX('Huntsman Raw'!$B$6:$K$33,
MATCH(TRIM($A47),'Huntsman Raw'!$M$6:$M$33,0),
MATCH(J$33,'Huntsman Raw'!$B$3:$K$3,0)
),"")</f>
        <v>-7</v>
      </c>
      <c r="K47">
        <f>IFERROR(
INDEX('Huntsman Raw'!$B$6:$K$33,
MATCH(TRIM($A47),'Huntsman Raw'!$M$6:$M$33,0),
MATCH(K$33,'Huntsman Raw'!$B$3:$K$3,0)
),"")</f>
        <v>13</v>
      </c>
      <c r="L47">
        <f>IFERROR(
INDEX('Huntsman Raw'!$B$6:$K$33,
MATCH(TRIM($A47),'Huntsman Raw'!$M$6:$M$33,0),
MATCH(L$33,'Huntsman Raw'!$B$3:$K$3,0)
),"")</f>
        <v>-35</v>
      </c>
      <c r="M47">
        <f>IFERROR(
INDEX('Huntsman Raw'!$B$6:$K$33,
MATCH(TRIM($A47),'Huntsman Raw'!$M$6:$M$33,0),
MATCH(M$33,'Huntsman Raw'!$B$3:$K$3,0)
),"")</f>
        <v>-75</v>
      </c>
      <c r="N47" s="98">
        <f>'Huntsman Debt'!D47</f>
        <v>-94.160777777777781</v>
      </c>
      <c r="O47" s="39">
        <f>'Huntsman Debt'!E47</f>
        <v>-94.160777777777781</v>
      </c>
      <c r="P47" s="39">
        <f>'Huntsman Debt'!F47</f>
        <v>-94.160777777777781</v>
      </c>
      <c r="Q47" s="39">
        <f>'Huntsman Debt'!G47</f>
        <v>-94.160777777777781</v>
      </c>
      <c r="R47" s="39">
        <f>'Huntsman Debt'!H47</f>
        <v>-92.660777777777781</v>
      </c>
      <c r="S47" s="99">
        <f>'Huntsman Debt'!I47</f>
        <v>-92.660777777777781</v>
      </c>
    </row>
    <row r="48" spans="1:19" x14ac:dyDescent="0.15">
      <c r="A48" t="s">
        <v>251</v>
      </c>
      <c r="C48" s="2" t="s">
        <v>252</v>
      </c>
      <c r="D48">
        <f>IFERROR(
INDEX('Huntsman Raw'!$B$6:$K$33,
MATCH(TRIM($A48),'Huntsman Raw'!$M$6:$M$33,0),
MATCH(D$33,'Huntsman Raw'!$B$3:$K$3,0)
),"")</f>
        <v>0</v>
      </c>
      <c r="E48">
        <f>IFERROR(
INDEX('Huntsman Raw'!$B$6:$K$33,
MATCH(TRIM($A48),'Huntsman Raw'!$M$6:$M$33,0),
MATCH(E$33,'Huntsman Raw'!$B$3:$K$3,0)
),"")</f>
        <v>0</v>
      </c>
      <c r="F48">
        <f>IFERROR(
INDEX('Huntsman Raw'!$B$6:$K$33,
MATCH(TRIM($A48),'Huntsman Raw'!$M$6:$M$33,0),
MATCH(F$33,'Huntsman Raw'!$B$3:$K$3,0)
),"")</f>
        <v>0</v>
      </c>
      <c r="G48">
        <f>IFERROR(
INDEX('Huntsman Raw'!$B$6:$K$33,
MATCH(TRIM($A48),'Huntsman Raw'!$M$6:$M$33,0),
MATCH(G$33,'Huntsman Raw'!$B$3:$K$3,0)
),"")</f>
        <v>0</v>
      </c>
      <c r="H48">
        <f>IFERROR(
INDEX('Huntsman Raw'!$B$6:$K$33,
MATCH(TRIM($A48),'Huntsman Raw'!$M$6:$M$33,0),
MATCH(H$33,'Huntsman Raw'!$B$3:$K$3,0)
),"")</f>
        <v>0</v>
      </c>
      <c r="I48">
        <f>IFERROR(
INDEX('Huntsman Raw'!$B$6:$K$33,
MATCH(TRIM($A48),'Huntsman Raw'!$M$6:$M$33,0),
MATCH(I$33,'Huntsman Raw'!$B$3:$K$3,0)
),"")</f>
        <v>0</v>
      </c>
      <c r="J48">
        <f>IFERROR(
INDEX('Huntsman Raw'!$B$6:$K$33,
MATCH(TRIM($A48),'Huntsman Raw'!$M$6:$M$33,0),
MATCH(J$33,'Huntsman Raw'!$B$3:$K$3,0)
),"")</f>
        <v>0</v>
      </c>
      <c r="K48">
        <f>IFERROR(
INDEX('Huntsman Raw'!$B$6:$K$33,
MATCH(TRIM($A48),'Huntsman Raw'!$M$6:$M$33,0),
MATCH(K$33,'Huntsman Raw'!$B$3:$K$3,0)
),"")</f>
        <v>0</v>
      </c>
      <c r="L48">
        <f>IFERROR(
INDEX('Huntsman Raw'!$B$6:$K$33,
MATCH(TRIM($A48),'Huntsman Raw'!$M$6:$M$33,0),
MATCH(L$33,'Huntsman Raw'!$B$3:$K$3,0)
),"")</f>
        <v>0</v>
      </c>
      <c r="M48">
        <f>IFERROR(
INDEX('Huntsman Raw'!$B$6:$K$33,
MATCH(TRIM($A48),'Huntsman Raw'!$M$6:$M$33,0),
MATCH(M$33,'Huntsman Raw'!$B$3:$K$3,0)
),"")</f>
        <v>0</v>
      </c>
      <c r="N48" s="102">
        <f>N13</f>
        <v>0</v>
      </c>
      <c r="O48" s="55">
        <f>O13</f>
        <v>1</v>
      </c>
      <c r="P48" s="55">
        <f t="shared" ref="P48:S48" si="22">P13</f>
        <v>2</v>
      </c>
      <c r="Q48" s="55">
        <f t="shared" si="22"/>
        <v>3</v>
      </c>
      <c r="R48" s="55">
        <f t="shared" si="22"/>
        <v>4</v>
      </c>
      <c r="S48" s="103">
        <f t="shared" si="22"/>
        <v>5</v>
      </c>
    </row>
    <row r="49" spans="1:19" x14ac:dyDescent="0.15">
      <c r="A49" t="s">
        <v>253</v>
      </c>
      <c r="C49" s="2" t="s">
        <v>254</v>
      </c>
      <c r="D49">
        <f>IFERROR(
INDEX('Huntsman Raw'!$B$6:$K$33,
MATCH(TRIM($A49),'Huntsman Raw'!$M$6:$M$33,0),
MATCH(D$33,'Huntsman Raw'!$B$3:$K$3,0)
),"")</f>
        <v>1</v>
      </c>
      <c r="E49">
        <f>IFERROR(
INDEX('Huntsman Raw'!$B$6:$K$33,
MATCH(TRIM($A49),'Huntsman Raw'!$M$6:$M$33,0),
MATCH(E$33,'Huntsman Raw'!$B$3:$K$3,0)
),"")</f>
        <v>2</v>
      </c>
      <c r="F49">
        <f>IFERROR(
INDEX('Huntsman Raw'!$B$6:$K$33,
MATCH(TRIM($A49),'Huntsman Raw'!$M$6:$M$33,0),
MATCH(F$33,'Huntsman Raw'!$B$3:$K$3,0)
),"")</f>
        <v>29</v>
      </c>
      <c r="G49">
        <f>IFERROR(
INDEX('Huntsman Raw'!$B$6:$K$33,
MATCH(TRIM($A49),'Huntsman Raw'!$M$6:$M$33,0),
MATCH(G$33,'Huntsman Raw'!$B$3:$K$3,0)
),"")</f>
        <v>20</v>
      </c>
      <c r="H49">
        <f>IFERROR(
INDEX('Huntsman Raw'!$B$6:$K$33,
MATCH(TRIM($A49),'Huntsman Raw'!$M$6:$M$33,0),
MATCH(H$33,'Huntsman Raw'!$B$3:$K$3,0)
),"")</f>
        <v>36</v>
      </c>
      <c r="I49">
        <f>IFERROR(
INDEX('Huntsman Raw'!$B$6:$K$33,
MATCH(TRIM($A49),'Huntsman Raw'!$M$6:$M$33,0),
MATCH(I$33,'Huntsman Raw'!$B$3:$K$3,0)
),"")</f>
        <v>32</v>
      </c>
      <c r="J49">
        <f>IFERROR(
INDEX('Huntsman Raw'!$B$6:$K$33,
MATCH(TRIM($A49),'Huntsman Raw'!$M$6:$M$33,0),
MATCH(J$33,'Huntsman Raw'!$B$3:$K$3,0)
),"")</f>
        <v>35</v>
      </c>
      <c r="K49">
        <f>IFERROR(
INDEX('Huntsman Raw'!$B$6:$K$33,
MATCH(TRIM($A49),'Huntsman Raw'!$M$6:$M$33,0),
MATCH(K$33,'Huntsman Raw'!$B$3:$K$3,0)
),"")</f>
        <v>2</v>
      </c>
      <c r="L49">
        <f>IFERROR(
INDEX('Huntsman Raw'!$B$6:$K$33,
MATCH(TRIM($A49),'Huntsman Raw'!$M$6:$M$33,0),
MATCH(L$33,'Huntsman Raw'!$B$3:$K$3,0)
),"")</f>
        <v>21</v>
      </c>
      <c r="M49">
        <f>IFERROR(
INDEX('Huntsman Raw'!$B$6:$K$33,
MATCH(TRIM($A49),'Huntsman Raw'!$M$6:$M$33,0),
MATCH(M$33,'Huntsman Raw'!$B$3:$K$3,0)
),"")</f>
        <v>14</v>
      </c>
      <c r="N49" s="98">
        <f>AVERAGE($K$49:$M$49)</f>
        <v>12.333333333333334</v>
      </c>
      <c r="O49" s="39">
        <f t="shared" ref="O49:S49" si="23">AVERAGE($K$49:$M$49)</f>
        <v>12.333333333333334</v>
      </c>
      <c r="P49" s="39">
        <f t="shared" si="23"/>
        <v>12.333333333333334</v>
      </c>
      <c r="Q49" s="39">
        <f t="shared" si="23"/>
        <v>12.333333333333334</v>
      </c>
      <c r="R49" s="39">
        <f t="shared" si="23"/>
        <v>12.333333333333334</v>
      </c>
      <c r="S49" s="99">
        <f t="shared" si="23"/>
        <v>12.333333333333334</v>
      </c>
    </row>
    <row r="50" spans="1:19" x14ac:dyDescent="0.15">
      <c r="A50" t="s">
        <v>105</v>
      </c>
      <c r="C50" s="48" t="s">
        <v>255</v>
      </c>
      <c r="D50" s="48">
        <f>IFERROR(
INDEX('Huntsman Raw'!$B$6:$K$33,
MATCH(TRIM($A50),'Huntsman Raw'!$M$6:$M$33,0),
MATCH(D$33,'Huntsman Raw'!$B$3:$K$3,0)
),"")</f>
        <v>448</v>
      </c>
      <c r="E50" s="48">
        <f>IFERROR(
INDEX('Huntsman Raw'!$B$6:$K$33,
MATCH(TRIM($A50),'Huntsman Raw'!$M$6:$M$33,0),
MATCH(E$33,'Huntsman Raw'!$B$3:$K$3,0)
),"")</f>
        <v>647</v>
      </c>
      <c r="F50" s="48">
        <f>IFERROR(
INDEX('Huntsman Raw'!$B$6:$K$33,
MATCH(TRIM($A50),'Huntsman Raw'!$M$6:$M$33,0),
MATCH(F$33,'Huntsman Raw'!$B$3:$K$3,0)
),"")</f>
        <v>942</v>
      </c>
      <c r="G50" s="48">
        <f>IFERROR(
INDEX('Huntsman Raw'!$B$6:$K$33,
MATCH(TRIM($A50),'Huntsman Raw'!$M$6:$M$33,0),
MATCH(G$33,'Huntsman Raw'!$B$3:$K$3,0)
),"")</f>
        <v>391</v>
      </c>
      <c r="H50" s="48">
        <f>IFERROR(
INDEX('Huntsman Raw'!$B$6:$K$33,
MATCH(TRIM($A50),'Huntsman Raw'!$M$6:$M$33,0),
MATCH(H$33,'Huntsman Raw'!$B$3:$K$3,0)
),"")</f>
        <v>337</v>
      </c>
      <c r="I50" s="48">
        <f>IFERROR(
INDEX('Huntsman Raw'!$B$6:$K$33,
MATCH(TRIM($A50),'Huntsman Raw'!$M$6:$M$33,0),
MATCH(I$33,'Huntsman Raw'!$B$3:$K$3,0)
),"")</f>
        <v>1313</v>
      </c>
      <c r="J50" s="48">
        <f>IFERROR(
INDEX('Huntsman Raw'!$B$6:$K$33,
MATCH(TRIM($A50),'Huntsman Raw'!$M$6:$M$33,0),
MATCH(J$33,'Huntsman Raw'!$B$3:$K$3,0)
),"")</f>
        <v>697</v>
      </c>
      <c r="K50" s="48">
        <f>IFERROR(
INDEX('Huntsman Raw'!$B$6:$K$33,
MATCH(TRIM($A50),'Huntsman Raw'!$M$6:$M$33,0),
MATCH(K$33,'Huntsman Raw'!$B$3:$K$3,0)
),"")</f>
        <v>99</v>
      </c>
      <c r="L50" s="48">
        <f>IFERROR(
INDEX('Huntsman Raw'!$B$6:$K$33,
MATCH(TRIM($A50),'Huntsman Raw'!$M$6:$M$33,0),
MATCH(L$33,'Huntsman Raw'!$B$3:$K$3,0)
),"")</f>
        <v>-39</v>
      </c>
      <c r="M50" s="48">
        <f>IFERROR(
INDEX('Huntsman Raw'!$B$6:$K$33,
MATCH(TRIM($A50),'Huntsman Raw'!$M$6:$M$33,0),
MATCH(M$33,'Huntsman Raw'!$B$3:$K$3,0)
),"")</f>
        <v>-192</v>
      </c>
      <c r="N50" s="96">
        <f>N$45+N$47+N$48+N$49</f>
        <v>-26.486390444444005</v>
      </c>
      <c r="O50" s="57">
        <f t="shared" ref="O50:S50" si="24">O$45+O$47+O$48+O$49</f>
        <v>77.816910355555294</v>
      </c>
      <c r="P50" s="57">
        <f t="shared" si="24"/>
        <v>299.2400209872564</v>
      </c>
      <c r="Q50" s="57">
        <f t="shared" si="24"/>
        <v>488.70092125377022</v>
      </c>
      <c r="R50" s="57">
        <f t="shared" si="24"/>
        <v>649.65484095671195</v>
      </c>
      <c r="S50" s="97">
        <f t="shared" si="24"/>
        <v>745.51652624912981</v>
      </c>
    </row>
    <row r="51" spans="1:19" x14ac:dyDescent="0.15">
      <c r="A51" t="s">
        <v>256</v>
      </c>
      <c r="C51" s="2" t="s">
        <v>257</v>
      </c>
      <c r="D51">
        <f>IFERROR(
INDEX('Huntsman Raw'!$B$6:$K$33,
MATCH(TRIM($A51),'Huntsman Raw'!$M$6:$M$33,0),
MATCH(D$33,'Huntsman Raw'!$B$3:$K$3,0)
),"")</f>
        <v>87</v>
      </c>
      <c r="E51">
        <f>IFERROR(
INDEX('Huntsman Raw'!$B$6:$K$33,
MATCH(TRIM($A51),'Huntsman Raw'!$M$6:$M$33,0),
MATCH(E$33,'Huntsman Raw'!$B$3:$K$3,0)
),"")</f>
        <v>116</v>
      </c>
      <c r="F51">
        <f>IFERROR(
INDEX('Huntsman Raw'!$B$6:$K$33,
MATCH(TRIM($A51),'Huntsman Raw'!$M$6:$M$33,0),
MATCH(F$33,'Huntsman Raw'!$B$3:$K$3,0)
),"")</f>
        <v>65</v>
      </c>
      <c r="G51">
        <f>IFERROR(
INDEX('Huntsman Raw'!$B$6:$K$33,
MATCH(TRIM($A51),'Huntsman Raw'!$M$6:$M$33,0),
MATCH(G$33,'Huntsman Raw'!$B$3:$K$3,0)
),"")</f>
        <v>-37</v>
      </c>
      <c r="H51">
        <f>IFERROR(
INDEX('Huntsman Raw'!$B$6:$K$33,
MATCH(TRIM($A51),'Huntsman Raw'!$M$6:$M$33,0),
MATCH(H$33,'Huntsman Raw'!$B$3:$K$3,0)
),"")</f>
        <v>46</v>
      </c>
      <c r="I51">
        <f>IFERROR(
INDEX('Huntsman Raw'!$B$6:$K$33,
MATCH(TRIM($A51),'Huntsman Raw'!$M$6:$M$33,0),
MATCH(I$33,'Huntsman Raw'!$B$3:$K$3,0)
),"")</f>
        <v>209</v>
      </c>
      <c r="J51">
        <f>IFERROR(
INDEX('Huntsman Raw'!$B$6:$K$33,
MATCH(TRIM($A51),'Huntsman Raw'!$M$6:$M$33,0),
MATCH(J$33,'Huntsman Raw'!$B$3:$K$3,0)
),"")</f>
        <v>186</v>
      </c>
      <c r="K51">
        <f>IFERROR(
INDEX('Huntsman Raw'!$B$6:$K$33,
MATCH(TRIM($A51),'Huntsman Raw'!$M$6:$M$33,0),
MATCH(K$33,'Huntsman Raw'!$B$3:$K$3,0)
),"")</f>
        <v>64</v>
      </c>
      <c r="L51">
        <f>IFERROR(
INDEX('Huntsman Raw'!$B$6:$K$33,
MATCH(TRIM($A51),'Huntsman Raw'!$M$6:$M$33,0),
MATCH(L$33,'Huntsman Raw'!$B$3:$K$3,0)
),"")</f>
        <v>61</v>
      </c>
      <c r="M51">
        <f>IFERROR(
INDEX('Huntsman Raw'!$B$6:$K$33,
MATCH(TRIM($A51),'Huntsman Raw'!$M$6:$M$33,0),
MATCH(M$33,'Huntsman Raw'!$B$3:$K$3,0)
),"")</f>
        <v>26</v>
      </c>
      <c r="N51" s="98">
        <f t="shared" ref="N51:S51" si="25">N$50*N$28</f>
        <v>-6.356733706666561</v>
      </c>
      <c r="O51" s="39">
        <f t="shared" si="25"/>
        <v>18.676058485333268</v>
      </c>
      <c r="P51" s="39">
        <f t="shared" si="25"/>
        <v>71.817605036941529</v>
      </c>
      <c r="Q51" s="39">
        <f t="shared" si="25"/>
        <v>117.28822110090485</v>
      </c>
      <c r="R51" s="39">
        <f t="shared" si="25"/>
        <v>155.91716182961088</v>
      </c>
      <c r="S51" s="99">
        <f t="shared" si="25"/>
        <v>178.92396629979115</v>
      </c>
    </row>
    <row r="52" spans="1:19" x14ac:dyDescent="0.15">
      <c r="A52" t="s">
        <v>107</v>
      </c>
      <c r="C52" s="88" t="s">
        <v>107</v>
      </c>
      <c r="D52" s="88">
        <f>IFERROR(
INDEX('Huntsman Raw'!$B$6:$K$33,
MATCH(TRIM($A52),'Huntsman Raw'!$M$6:$M$33,0),
MATCH(D$33,'Huntsman Raw'!$B$3:$K$3,0)
),"")</f>
        <v>326</v>
      </c>
      <c r="E52" s="88">
        <f>IFERROR(
INDEX('Huntsman Raw'!$B$6:$K$33,
MATCH(TRIM($A52),'Huntsman Raw'!$M$6:$M$33,0),
MATCH(E$33,'Huntsman Raw'!$B$3:$K$3,0)
),"")</f>
        <v>636</v>
      </c>
      <c r="F52" s="88">
        <f>IFERROR(
INDEX('Huntsman Raw'!$B$6:$K$33,
MATCH(TRIM($A52),'Huntsman Raw'!$M$6:$M$33,0),
MATCH(F$33,'Huntsman Raw'!$B$3:$K$3,0)
),"")</f>
        <v>337</v>
      </c>
      <c r="G52" s="88">
        <f>IFERROR(
INDEX('Huntsman Raw'!$B$6:$K$33,
MATCH(TRIM($A52),'Huntsman Raw'!$M$6:$M$33,0),
MATCH(G$33,'Huntsman Raw'!$B$3:$K$3,0)
),"")</f>
        <v>562</v>
      </c>
      <c r="H52" s="88">
        <f>IFERROR(
INDEX('Huntsman Raw'!$B$6:$K$33,
MATCH(TRIM($A52),'Huntsman Raw'!$M$6:$M$33,0),
MATCH(H$33,'Huntsman Raw'!$B$3:$K$3,0)
),"")</f>
        <v>1034</v>
      </c>
      <c r="I52" s="88">
        <f>IFERROR(
INDEX('Huntsman Raw'!$B$6:$K$33,
MATCH(TRIM($A52),'Huntsman Raw'!$M$6:$M$33,0),
MATCH(I$33,'Huntsman Raw'!$B$3:$K$3,0)
),"")</f>
        <v>1045</v>
      </c>
      <c r="J52" s="88">
        <f>IFERROR(
INDEX('Huntsman Raw'!$B$6:$K$33,
MATCH(TRIM($A52),'Huntsman Raw'!$M$6:$M$33,0),
MATCH(J$33,'Huntsman Raw'!$B$3:$K$3,0)
),"")</f>
        <v>460</v>
      </c>
      <c r="K52" s="88">
        <f>IFERROR(
INDEX('Huntsman Raw'!$B$6:$K$33,
MATCH(TRIM($A52),'Huntsman Raw'!$M$6:$M$33,0),
MATCH(K$33,'Huntsman Raw'!$B$3:$K$3,0)
),"")</f>
        <v>101</v>
      </c>
      <c r="L52" s="88">
        <f>IFERROR(
INDEX('Huntsman Raw'!$B$6:$K$33,
MATCH(TRIM($A52),'Huntsman Raw'!$M$6:$M$33,0),
MATCH(L$33,'Huntsman Raw'!$B$3:$K$3,0)
),"")</f>
        <v>-189</v>
      </c>
      <c r="M52" s="88">
        <f>IFERROR(
INDEX('Huntsman Raw'!$B$6:$K$33,
MATCH(TRIM($A52),'Huntsman Raw'!$M$6:$M$33,0),
MATCH(M$33,'Huntsman Raw'!$B$3:$K$3,0)
),"")</f>
        <v>-284</v>
      </c>
      <c r="N52" s="94">
        <f t="shared" ref="N52:S52" si="26">N50-N51</f>
        <v>-20.129656737777445</v>
      </c>
      <c r="O52" s="89">
        <f t="shared" si="26"/>
        <v>59.140851870222022</v>
      </c>
      <c r="P52" s="89">
        <f t="shared" si="26"/>
        <v>227.42241595031487</v>
      </c>
      <c r="Q52" s="89">
        <f t="shared" si="26"/>
        <v>371.41270015286534</v>
      </c>
      <c r="R52" s="89">
        <f t="shared" si="26"/>
        <v>493.73767912710105</v>
      </c>
      <c r="S52" s="95">
        <f t="shared" si="26"/>
        <v>566.59255994933869</v>
      </c>
    </row>
    <row r="53" spans="1:19" x14ac:dyDescent="0.15">
      <c r="C53" s="41" t="s">
        <v>359</v>
      </c>
      <c r="D53">
        <f t="shared" ref="D53:M53" si="27">D$52-D$114</f>
        <v>-31</v>
      </c>
      <c r="E53">
        <f t="shared" si="27"/>
        <v>-105</v>
      </c>
      <c r="F53">
        <f t="shared" si="27"/>
        <v>-313</v>
      </c>
      <c r="G53">
        <f t="shared" si="27"/>
        <v>-36</v>
      </c>
      <c r="H53">
        <f t="shared" si="27"/>
        <v>-32</v>
      </c>
      <c r="I53">
        <f t="shared" si="27"/>
        <v>-59</v>
      </c>
      <c r="J53">
        <f t="shared" si="27"/>
        <v>-63</v>
      </c>
      <c r="K53">
        <f t="shared" si="27"/>
        <v>-52</v>
      </c>
      <c r="L53">
        <f t="shared" si="27"/>
        <v>-62</v>
      </c>
      <c r="M53">
        <f t="shared" si="27"/>
        <v>-57</v>
      </c>
      <c r="N53" s="104">
        <v>0</v>
      </c>
      <c r="O53" s="50">
        <f>$N$53</f>
        <v>0</v>
      </c>
      <c r="P53" s="50">
        <f t="shared" ref="P53:S53" si="28">$N$53</f>
        <v>0</v>
      </c>
      <c r="Q53" s="50">
        <f t="shared" si="28"/>
        <v>0</v>
      </c>
      <c r="R53" s="50">
        <f t="shared" si="28"/>
        <v>0</v>
      </c>
      <c r="S53" s="105">
        <f t="shared" si="28"/>
        <v>0</v>
      </c>
    </row>
    <row r="54" spans="1:19" x14ac:dyDescent="0.15">
      <c r="C54" s="41"/>
      <c r="N54" s="104"/>
      <c r="O54" s="50"/>
      <c r="P54" s="50"/>
      <c r="Q54" s="50"/>
      <c r="R54" s="50"/>
      <c r="S54" s="105"/>
    </row>
    <row r="55" spans="1:19" x14ac:dyDescent="0.15">
      <c r="A55" t="s">
        <v>112</v>
      </c>
      <c r="C55" s="45" t="s">
        <v>112</v>
      </c>
      <c r="D55">
        <f>IFERROR(
INDEX('Huntsman Raw'!$B$6:$K$33,
MATCH(TRIM($A55),'Huntsman Raw'!$M$6:$M$33,0),
MATCH(D$33,'Huntsman Raw'!$B$3:$K$3,0)
),"")</f>
        <v>236</v>
      </c>
      <c r="E55">
        <f>IFERROR(
INDEX('Huntsman Raw'!$B$6:$K$33,
MATCH(TRIM($A55),'Huntsman Raw'!$M$6:$M$33,0),
MATCH(E$33,'Huntsman Raw'!$B$3:$K$3,0)
),"")</f>
        <v>238</v>
      </c>
      <c r="F55">
        <f>IFERROR(
INDEX('Huntsman Raw'!$B$6:$K$33,
MATCH(TRIM($A55),'Huntsman Raw'!$M$6:$M$33,0),
MATCH(F$33,'Huntsman Raw'!$B$3:$K$3,0)
),"")</f>
        <v>238</v>
      </c>
      <c r="G55">
        <f>IFERROR(
INDEX('Huntsman Raw'!$B$6:$K$33,
MATCH(TRIM($A55),'Huntsman Raw'!$M$6:$M$33,0),
MATCH(G$33,'Huntsman Raw'!$B$3:$K$3,0)
),"")</f>
        <v>229</v>
      </c>
      <c r="H55">
        <f>IFERROR(
INDEX('Huntsman Raw'!$B$6:$K$33,
MATCH(TRIM($A55),'Huntsman Raw'!$M$6:$M$33,0),
MATCH(H$33,'Huntsman Raw'!$B$3:$K$3,0)
),"")</f>
        <v>221</v>
      </c>
      <c r="I55">
        <f>IFERROR(
INDEX('Huntsman Raw'!$B$6:$K$33,
MATCH(TRIM($A55),'Huntsman Raw'!$M$6:$M$33,0),
MATCH(I$33,'Huntsman Raw'!$B$3:$K$3,0)
),"")</f>
        <v>219</v>
      </c>
      <c r="J55">
        <f>IFERROR(
INDEX('Huntsman Raw'!$B$6:$K$33,
MATCH(TRIM($A55),'Huntsman Raw'!$M$6:$M$33,0),
MATCH(J$33,'Huntsman Raw'!$B$3:$K$3,0)
),"")</f>
        <v>201</v>
      </c>
      <c r="K55">
        <f>IFERROR(
INDEX('Huntsman Raw'!$B$6:$K$33,
MATCH(TRIM($A55),'Huntsman Raw'!$M$6:$M$33,0),
MATCH(K$33,'Huntsman Raw'!$B$3:$K$3,0)
),"")</f>
        <v>177</v>
      </c>
      <c r="L55">
        <f>IFERROR(
INDEX('Huntsman Raw'!$B$6:$K$33,
MATCH(TRIM($A55),'Huntsman Raw'!$M$6:$M$33,0),
MATCH(L$33,'Huntsman Raw'!$B$3:$K$3,0)
),"")</f>
        <v>172</v>
      </c>
      <c r="M55">
        <f>IFERROR(
INDEX('Huntsman Raw'!$B$6:$K$33,
MATCH(TRIM($A55),'Huntsman Raw'!$M$6:$M$33,0),
MATCH(M$33,'Huntsman Raw'!$B$3:$K$3,0)
),"")</f>
        <v>173</v>
      </c>
      <c r="N55" s="100">
        <f>'Huntsman Equity Schedule'!M19</f>
        <v>174.4</v>
      </c>
      <c r="O55" s="53">
        <f>'Huntsman Equity Schedule'!N19</f>
        <v>175.8</v>
      </c>
      <c r="P55" s="53">
        <f>'Huntsman Equity Schedule'!O19</f>
        <v>175.8</v>
      </c>
      <c r="Q55" s="53">
        <f>'Huntsman Equity Schedule'!P19</f>
        <v>175.8</v>
      </c>
      <c r="R55" s="53">
        <f>'Huntsman Equity Schedule'!Q19</f>
        <v>175.8</v>
      </c>
      <c r="S55" s="101">
        <f>'Huntsman Equity Schedule'!R19</f>
        <v>175.8</v>
      </c>
    </row>
    <row r="56" spans="1:19" x14ac:dyDescent="0.15">
      <c r="C56" s="41" t="s">
        <v>425</v>
      </c>
      <c r="D56" s="12">
        <f>D57-D55</f>
        <v>4</v>
      </c>
      <c r="E56" s="12">
        <f t="shared" ref="E56:M56" si="29">E57-E55</f>
        <v>6</v>
      </c>
      <c r="F56" s="12">
        <f t="shared" si="29"/>
        <v>4</v>
      </c>
      <c r="G56" s="12">
        <f t="shared" si="29"/>
        <v>2</v>
      </c>
      <c r="H56" s="12">
        <f t="shared" si="29"/>
        <v>1</v>
      </c>
      <c r="I56" s="12">
        <f t="shared" si="29"/>
        <v>2</v>
      </c>
      <c r="J56" s="12">
        <f t="shared" si="29"/>
        <v>2</v>
      </c>
      <c r="K56" s="12">
        <f t="shared" si="29"/>
        <v>0</v>
      </c>
      <c r="L56" s="12">
        <f t="shared" si="29"/>
        <v>0</v>
      </c>
      <c r="M56" s="12">
        <f t="shared" si="29"/>
        <v>0</v>
      </c>
      <c r="N56" s="191">
        <f>'Huntsman Equity Schedule'!M20</f>
        <v>2.1</v>
      </c>
      <c r="O56" s="192">
        <f>'Huntsman Equity Schedule'!N20</f>
        <v>2.1</v>
      </c>
      <c r="P56" s="192">
        <f>'Huntsman Equity Schedule'!O20</f>
        <v>2.1</v>
      </c>
      <c r="Q56" s="192">
        <f>'Huntsman Equity Schedule'!P20</f>
        <v>2.1</v>
      </c>
      <c r="R56" s="192">
        <f>'Huntsman Equity Schedule'!Q20</f>
        <v>2.1</v>
      </c>
      <c r="S56" s="193">
        <f>'Huntsman Equity Schedule'!R20</f>
        <v>2.1</v>
      </c>
    </row>
    <row r="57" spans="1:19" x14ac:dyDescent="0.15">
      <c r="A57" t="s">
        <v>116</v>
      </c>
      <c r="C57" t="s">
        <v>258</v>
      </c>
      <c r="D57">
        <f>IFERROR(
INDEX('Huntsman Raw'!$B$6:$K$33,
MATCH(TRIM($A57),'Huntsman Raw'!$M$6:$M$33,0),
MATCH(D$33,'Huntsman Raw'!$B$3:$K$3,0)
),"")</f>
        <v>240</v>
      </c>
      <c r="E57">
        <f>IFERROR(
INDEX('Huntsman Raw'!$B$6:$K$33,
MATCH(TRIM($A57),'Huntsman Raw'!$M$6:$M$33,0),
MATCH(E$33,'Huntsman Raw'!$B$3:$K$3,0)
),"")</f>
        <v>244</v>
      </c>
      <c r="F57">
        <f>IFERROR(
INDEX('Huntsman Raw'!$B$6:$K$33,
MATCH(TRIM($A57),'Huntsman Raw'!$M$6:$M$33,0),
MATCH(F$33,'Huntsman Raw'!$B$3:$K$3,0)
),"")</f>
        <v>242</v>
      </c>
      <c r="G57">
        <f>IFERROR(
INDEX('Huntsman Raw'!$B$6:$K$33,
MATCH(TRIM($A57),'Huntsman Raw'!$M$6:$M$33,0),
MATCH(G$33,'Huntsman Raw'!$B$3:$K$3,0)
),"")</f>
        <v>231</v>
      </c>
      <c r="H57">
        <f>IFERROR(
INDEX('Huntsman Raw'!$B$6:$K$33,
MATCH(TRIM($A57),'Huntsman Raw'!$M$6:$M$33,0),
MATCH(H$33,'Huntsman Raw'!$B$3:$K$3,0)
),"")</f>
        <v>222</v>
      </c>
      <c r="I57">
        <f>IFERROR(
INDEX('Huntsman Raw'!$B$6:$K$33,
MATCH(TRIM($A57),'Huntsman Raw'!$M$6:$M$33,0),
MATCH(I$33,'Huntsman Raw'!$B$3:$K$3,0)
),"")</f>
        <v>221</v>
      </c>
      <c r="J57">
        <f>IFERROR(
INDEX('Huntsman Raw'!$B$6:$K$33,
MATCH(TRIM($A57),'Huntsman Raw'!$M$6:$M$33,0),
MATCH(J$33,'Huntsman Raw'!$B$3:$K$3,0)
),"")</f>
        <v>203</v>
      </c>
      <c r="K57">
        <f>IFERROR(
INDEX('Huntsman Raw'!$B$6:$K$33,
MATCH(TRIM($A57),'Huntsman Raw'!$M$6:$M$33,0),
MATCH(K$33,'Huntsman Raw'!$B$3:$K$3,0)
),"")</f>
        <v>177</v>
      </c>
      <c r="L57">
        <f>IFERROR(
INDEX('Huntsman Raw'!$B$6:$K$33,
MATCH(TRIM($A57),'Huntsman Raw'!$M$6:$M$33,0),
MATCH(L$33,'Huntsman Raw'!$B$3:$K$3,0)
),"")</f>
        <v>172</v>
      </c>
      <c r="M57">
        <f>IFERROR(
INDEX('Huntsman Raw'!$B$6:$K$33,
MATCH(TRIM($A57),'Huntsman Raw'!$M$6:$M$33,0),
MATCH(M$33,'Huntsman Raw'!$B$3:$K$3,0)
),"")</f>
        <v>173</v>
      </c>
      <c r="N57" s="98">
        <f>'Huntsman Equity Schedule'!M21</f>
        <v>176.5</v>
      </c>
      <c r="O57" s="39">
        <f>'Huntsman Equity Schedule'!N21</f>
        <v>177.9</v>
      </c>
      <c r="P57" s="39">
        <f>'Huntsman Equity Schedule'!O21</f>
        <v>177.9</v>
      </c>
      <c r="Q57" s="39">
        <f>'Huntsman Equity Schedule'!P21</f>
        <v>177.9</v>
      </c>
      <c r="R57" s="39">
        <f>'Huntsman Equity Schedule'!Q21</f>
        <v>177.9</v>
      </c>
      <c r="S57" s="99">
        <f>'Huntsman Equity Schedule'!R21</f>
        <v>177.9</v>
      </c>
    </row>
    <row r="58" spans="1:19" x14ac:dyDescent="0.15">
      <c r="A58" t="s">
        <v>113</v>
      </c>
      <c r="C58" t="s">
        <v>259</v>
      </c>
      <c r="D58">
        <f>IFERROR(
INDEX('Huntsman Raw'!$B$6:$K$33,
MATCH(TRIM($A58),'Huntsman Raw'!$M$6:$M$33,0),
MATCH(D$33,'Huntsman Raw'!$B$3:$K$3,0)
),"")</f>
        <v>1.38</v>
      </c>
      <c r="E58">
        <f>IFERROR(
INDEX('Huntsman Raw'!$B$6:$K$33,
MATCH(TRIM($A58),'Huntsman Raw'!$M$6:$M$33,0),
MATCH(E$33,'Huntsman Raw'!$B$3:$K$3,0)
),"")</f>
        <v>1.75</v>
      </c>
      <c r="F58">
        <f>IFERROR(
INDEX('Huntsman Raw'!$B$6:$K$33,
MATCH(TRIM($A58),'Huntsman Raw'!$M$6:$M$33,0),
MATCH(F$33,'Huntsman Raw'!$B$3:$K$3,0)
),"")</f>
        <v>2.36</v>
      </c>
      <c r="G58">
        <f>IFERROR(
INDEX('Huntsman Raw'!$B$6:$K$33,
MATCH(TRIM($A58),'Huntsman Raw'!$M$6:$M$33,0),
MATCH(G$33,'Huntsman Raw'!$B$3:$K$3,0)
),"")</f>
        <v>1.7</v>
      </c>
      <c r="H58">
        <f>IFERROR(
INDEX('Huntsman Raw'!$B$6:$K$33,
MATCH(TRIM($A58),'Huntsman Raw'!$M$6:$M$33,0),
MATCH(H$33,'Huntsman Raw'!$B$3:$K$3,0)
),"")</f>
        <v>1.17</v>
      </c>
      <c r="I58">
        <f>IFERROR(
INDEX('Huntsman Raw'!$B$6:$K$33,
MATCH(TRIM($A58),'Huntsman Raw'!$M$6:$M$33,0),
MATCH(I$33,'Huntsman Raw'!$B$3:$K$3,0)
),"")</f>
        <v>4.72</v>
      </c>
      <c r="J58">
        <f>IFERROR(
INDEX('Huntsman Raw'!$B$6:$K$33,
MATCH(TRIM($A58),'Huntsman Raw'!$M$6:$M$33,0),
MATCH(J$33,'Huntsman Raw'!$B$3:$K$3,0)
),"")</f>
        <v>2.21</v>
      </c>
      <c r="K58">
        <f>IFERROR(
INDEX('Huntsman Raw'!$B$6:$K$33,
MATCH(TRIM($A58),'Huntsman Raw'!$M$6:$M$33,0),
MATCH(K$33,'Huntsman Raw'!$B$3:$K$3,0)
),"")</f>
        <v>-0.1</v>
      </c>
      <c r="L58">
        <f>IFERROR(
INDEX('Huntsman Raw'!$B$6:$K$33,
MATCH(TRIM($A58),'Huntsman Raw'!$M$6:$M$33,0),
MATCH(L$33,'Huntsman Raw'!$B$3:$K$3,0)
),"")</f>
        <v>-0.94</v>
      </c>
      <c r="M58">
        <f>IFERROR(
INDEX('Huntsman Raw'!$B$6:$K$33,
MATCH(TRIM($A58),'Huntsman Raw'!$M$6:$M$33,0),
MATCH(M$33,'Huntsman Raw'!$B$3:$K$3,0)
),"")</f>
        <v>-1.59</v>
      </c>
      <c r="N58" s="106">
        <f>N52/N57</f>
        <v>-0.11404904667296002</v>
      </c>
      <c r="O58" s="40">
        <f t="shared" ref="O58:S58" si="30">O52/O57</f>
        <v>0.33243874013615526</v>
      </c>
      <c r="P58" s="40">
        <f t="shared" si="30"/>
        <v>1.2783722088269527</v>
      </c>
      <c r="Q58" s="40">
        <f t="shared" si="30"/>
        <v>2.0877611026018288</v>
      </c>
      <c r="R58" s="40">
        <f t="shared" si="30"/>
        <v>2.7753663807032098</v>
      </c>
      <c r="S58" s="107">
        <f t="shared" si="30"/>
        <v>3.1848935354094361</v>
      </c>
    </row>
    <row r="59" spans="1:19" x14ac:dyDescent="0.15">
      <c r="A59" t="s">
        <v>117</v>
      </c>
      <c r="C59" t="s">
        <v>117</v>
      </c>
      <c r="D59" s="40">
        <f>IFERROR(
INDEX('Huntsman Raw'!$B$6:$K$33,
MATCH(TRIM($A59),'Huntsman Raw'!$M$6:$M$33,0),
MATCH(D$33,'Huntsman Raw'!$B$3:$K$3,0)
),"")</f>
        <v>0.5</v>
      </c>
      <c r="E59" s="40">
        <f>IFERROR(
INDEX('Huntsman Raw'!$B$6:$K$33,
MATCH(TRIM($A59),'Huntsman Raw'!$M$6:$M$33,0),
MATCH(E$33,'Huntsman Raw'!$B$3:$K$3,0)
),"")</f>
        <v>0.5</v>
      </c>
      <c r="F59" s="40">
        <f>IFERROR(
INDEX('Huntsman Raw'!$B$6:$K$33,
MATCH(TRIM($A59),'Huntsman Raw'!$M$6:$M$33,0),
MATCH(F$33,'Huntsman Raw'!$B$3:$K$3,0)
),"")</f>
        <v>0.65</v>
      </c>
      <c r="G59" s="40">
        <f>IFERROR(
INDEX('Huntsman Raw'!$B$6:$K$33,
MATCH(TRIM($A59),'Huntsman Raw'!$M$6:$M$33,0),
MATCH(G$33,'Huntsman Raw'!$B$3:$K$3,0)
),"")</f>
        <v>0.65</v>
      </c>
      <c r="H59" s="40">
        <f>IFERROR(
INDEX('Huntsman Raw'!$B$6:$K$33,
MATCH(TRIM($A59),'Huntsman Raw'!$M$6:$M$33,0),
MATCH(H$33,'Huntsman Raw'!$B$3:$K$3,0)
),"")</f>
        <v>0.65</v>
      </c>
      <c r="I59" s="40">
        <f>IFERROR(
INDEX('Huntsman Raw'!$B$6:$K$33,
MATCH(TRIM($A59),'Huntsman Raw'!$M$6:$M$33,0),
MATCH(I$33,'Huntsman Raw'!$B$3:$K$3,0)
),"")</f>
        <v>0.72499999999999998</v>
      </c>
      <c r="J59" s="40">
        <f>IFERROR(
INDEX('Huntsman Raw'!$B$6:$K$33,
MATCH(TRIM($A59),'Huntsman Raw'!$M$6:$M$33,0),
MATCH(J$33,'Huntsman Raw'!$B$3:$K$3,0)
),"")</f>
        <v>0.85</v>
      </c>
      <c r="K59" s="40">
        <f>IFERROR(
INDEX('Huntsman Raw'!$B$6:$K$33,
MATCH(TRIM($A59),'Huntsman Raw'!$M$6:$M$33,0),
MATCH(K$33,'Huntsman Raw'!$B$3:$K$3,0)
),"")</f>
        <v>0.95</v>
      </c>
      <c r="L59" s="40">
        <f>IFERROR(
INDEX('Huntsman Raw'!$B$6:$K$33,
MATCH(TRIM($A59),'Huntsman Raw'!$M$6:$M$33,0),
MATCH(L$33,'Huntsman Raw'!$B$3:$K$3,0)
),"")</f>
        <v>1</v>
      </c>
      <c r="M59" s="40">
        <f>IFERROR(
INDEX('Huntsman Raw'!$B$6:$K$33,
MATCH(TRIM($A59),'Huntsman Raw'!$M$6:$M$33,0),
MATCH(M$33,'Huntsman Raw'!$B$3:$K$3,0)
),"")</f>
        <v>0.83799999999999997</v>
      </c>
      <c r="N59" s="108">
        <f>'Huntsman Equity Schedule'!M$22</f>
        <v>0</v>
      </c>
      <c r="O59" s="109">
        <f>'Huntsman Equity Schedule'!N$22</f>
        <v>0</v>
      </c>
      <c r="P59" s="109">
        <f>'Huntsman Equity Schedule'!O$22</f>
        <v>0</v>
      </c>
      <c r="Q59" s="109">
        <f>'Huntsman Equity Schedule'!P$22</f>
        <v>0</v>
      </c>
      <c r="R59" s="109">
        <f>'Huntsman Equity Schedule'!Q$22</f>
        <v>0</v>
      </c>
      <c r="S59" s="110">
        <f>'Huntsman Equity Schedule'!R$22</f>
        <v>0</v>
      </c>
    </row>
    <row r="61" spans="1:19" ht="16" x14ac:dyDescent="0.15">
      <c r="A61" t="s">
        <v>232</v>
      </c>
      <c r="C61" s="343" t="s">
        <v>232</v>
      </c>
      <c r="D61" s="343"/>
      <c r="E61" s="343"/>
      <c r="F61" s="343"/>
      <c r="G61" s="343"/>
      <c r="H61" s="343"/>
      <c r="I61" s="343"/>
      <c r="J61" s="343"/>
      <c r="K61" s="343"/>
      <c r="L61" s="343"/>
      <c r="M61" s="343"/>
      <c r="N61" s="343"/>
      <c r="O61" s="343"/>
      <c r="P61" s="343"/>
      <c r="Q61" s="343"/>
      <c r="R61" s="343"/>
      <c r="S61" s="343"/>
    </row>
    <row r="62" spans="1:19" x14ac:dyDescent="0.15">
      <c r="C62" s="90"/>
      <c r="D62" s="356" t="s">
        <v>399</v>
      </c>
      <c r="E62" s="356"/>
      <c r="F62" s="356"/>
      <c r="G62" s="356"/>
      <c r="H62" s="356"/>
      <c r="I62" s="356"/>
      <c r="J62" s="356"/>
      <c r="K62" s="356"/>
      <c r="L62" s="356"/>
      <c r="M62" s="356"/>
      <c r="N62" s="338" t="s">
        <v>400</v>
      </c>
      <c r="O62" s="339"/>
      <c r="P62" s="339"/>
      <c r="Q62" s="339"/>
      <c r="R62" s="339"/>
      <c r="S62" s="340"/>
    </row>
    <row r="63" spans="1:19" x14ac:dyDescent="0.15">
      <c r="C63" s="59" t="s">
        <v>86</v>
      </c>
      <c r="D63" s="60">
        <v>42735</v>
      </c>
      <c r="E63" s="60">
        <f t="shared" ref="E63:S63" si="31">EDATE(D63,12)</f>
        <v>43100</v>
      </c>
      <c r="F63" s="60">
        <f t="shared" si="31"/>
        <v>43465</v>
      </c>
      <c r="G63" s="60">
        <f t="shared" si="31"/>
        <v>43830</v>
      </c>
      <c r="H63" s="60">
        <f t="shared" si="31"/>
        <v>44196</v>
      </c>
      <c r="I63" s="60">
        <f t="shared" si="31"/>
        <v>44561</v>
      </c>
      <c r="J63" s="60">
        <f t="shared" si="31"/>
        <v>44926</v>
      </c>
      <c r="K63" s="60">
        <f t="shared" si="31"/>
        <v>45291</v>
      </c>
      <c r="L63" s="60">
        <f t="shared" si="31"/>
        <v>45657</v>
      </c>
      <c r="M63" s="60">
        <f t="shared" si="31"/>
        <v>46022</v>
      </c>
      <c r="N63" s="91">
        <f t="shared" si="31"/>
        <v>46387</v>
      </c>
      <c r="O63" s="60">
        <f t="shared" si="31"/>
        <v>46752</v>
      </c>
      <c r="P63" s="60">
        <f t="shared" si="31"/>
        <v>47118</v>
      </c>
      <c r="Q63" s="60">
        <f t="shared" si="31"/>
        <v>47483</v>
      </c>
      <c r="R63" s="60">
        <f t="shared" si="31"/>
        <v>47848</v>
      </c>
      <c r="S63" s="92">
        <f t="shared" si="31"/>
        <v>48213</v>
      </c>
    </row>
    <row r="64" spans="1:19" x14ac:dyDescent="0.15">
      <c r="D64" s="45" t="s">
        <v>88</v>
      </c>
      <c r="E64" s="45" t="s">
        <v>88</v>
      </c>
      <c r="F64" s="45" t="s">
        <v>88</v>
      </c>
      <c r="G64" s="45" t="s">
        <v>88</v>
      </c>
      <c r="H64" s="45" t="s">
        <v>88</v>
      </c>
      <c r="I64" s="45" t="s">
        <v>88</v>
      </c>
      <c r="J64" s="45" t="s">
        <v>88</v>
      </c>
      <c r="K64" s="45" t="s">
        <v>88</v>
      </c>
      <c r="L64" s="45" t="s">
        <v>88</v>
      </c>
      <c r="M64" s="45" t="s">
        <v>88</v>
      </c>
      <c r="N64" s="19" t="s">
        <v>88</v>
      </c>
      <c r="O64" s="45" t="s">
        <v>88</v>
      </c>
      <c r="P64" s="45" t="s">
        <v>88</v>
      </c>
      <c r="Q64" s="45" t="s">
        <v>88</v>
      </c>
      <c r="R64" s="45" t="s">
        <v>88</v>
      </c>
      <c r="S64" s="93" t="s">
        <v>88</v>
      </c>
    </row>
    <row r="65" spans="1:19" x14ac:dyDescent="0.15">
      <c r="A65" t="s">
        <v>260</v>
      </c>
      <c r="C65" s="111" t="s">
        <v>261</v>
      </c>
      <c r="D65" s="111">
        <f>IFERROR(
INDEX('Huntsman Raw'!$B$41:$K$100,
MATCH(TRIM($A65),'Huntsman Raw'!$M$41:$M$100,0),
MATCH(D$33,'Huntsman Raw'!$B$38:$K$38,0)
),"")</f>
        <v>414</v>
      </c>
      <c r="E65" s="111">
        <f>IFERROR(
INDEX('Huntsman Raw'!$B$41:$K$100,
MATCH(TRIM($A65),'Huntsman Raw'!$M$41:$M$100,0),
MATCH(E$33,'Huntsman Raw'!$B$38:$K$38,0)
),"")</f>
        <v>470</v>
      </c>
      <c r="F65" s="111">
        <f>IFERROR(
INDEX('Huntsman Raw'!$B$41:$K$100,
MATCH(TRIM($A65),'Huntsman Raw'!$M$41:$M$100,0),
MATCH(F$33,'Huntsman Raw'!$B$38:$K$38,0)
),"")</f>
        <v>340</v>
      </c>
      <c r="G65" s="111">
        <f>IFERROR(
INDEX('Huntsman Raw'!$B$41:$K$100,
MATCH(TRIM($A65),'Huntsman Raw'!$M$41:$M$100,0),
MATCH(G$33,'Huntsman Raw'!$B$38:$K$38,0)
),"")</f>
        <v>525</v>
      </c>
      <c r="H65" s="111">
        <f>IFERROR(
INDEX('Huntsman Raw'!$B$41:$K$100,
MATCH(TRIM($A65),'Huntsman Raw'!$M$41:$M$100,0),
MATCH(H$33,'Huntsman Raw'!$B$38:$K$38,0)
),"")</f>
        <v>1593</v>
      </c>
      <c r="I65" s="111">
        <f>IFERROR(
INDEX('Huntsman Raw'!$B$41:$K$100,
MATCH(TRIM($A65),'Huntsman Raw'!$M$41:$M$100,0),
MATCH(I$33,'Huntsman Raw'!$B$38:$K$38,0)
),"")</f>
        <v>1041</v>
      </c>
      <c r="J65" s="111">
        <f>IFERROR(
INDEX('Huntsman Raw'!$B$41:$K$100,
MATCH(TRIM($A65),'Huntsman Raw'!$M$41:$M$100,0),
MATCH(J$33,'Huntsman Raw'!$B$38:$K$38,0)
),"")</f>
        <v>654</v>
      </c>
      <c r="K65" s="111">
        <f>IFERROR(
INDEX('Huntsman Raw'!$B$41:$K$100,
MATCH(TRIM($A65),'Huntsman Raw'!$M$41:$M$100,0),
MATCH(K$33,'Huntsman Raw'!$B$38:$K$38,0)
),"")</f>
        <v>540</v>
      </c>
      <c r="L65" s="111">
        <f>IFERROR(
INDEX('Huntsman Raw'!$B$41:$K$100,
MATCH(TRIM($A65),'Huntsman Raw'!$M$41:$M$100,0),
MATCH(L$33,'Huntsman Raw'!$B$38:$K$38,0)
),"")</f>
        <v>340</v>
      </c>
      <c r="M65" s="111">
        <f>IFERROR(
INDEX('Huntsman Raw'!$B$41:$K$100,
MATCH(TRIM($A65),'Huntsman Raw'!$M$41:$M$100,0),
MATCH(M$33,'Huntsman Raw'!$B$38:$K$38,0)
),"")</f>
        <v>429</v>
      </c>
      <c r="N65" s="126">
        <f>N$139</f>
        <v>362.00175405383914</v>
      </c>
      <c r="O65" s="112">
        <f t="shared" ref="O65:S65" si="32">O$139</f>
        <v>355.42053592434524</v>
      </c>
      <c r="P65" s="112">
        <f t="shared" si="32"/>
        <v>493.12304269080812</v>
      </c>
      <c r="Q65" s="112">
        <f t="shared" si="32"/>
        <v>782.59926730236384</v>
      </c>
      <c r="R65" s="112">
        <f t="shared" si="32"/>
        <v>1175.8186140991402</v>
      </c>
      <c r="S65" s="127">
        <f t="shared" si="32"/>
        <v>1639.9625599051276</v>
      </c>
    </row>
    <row r="66" spans="1:19" x14ac:dyDescent="0.15">
      <c r="A66" t="s">
        <v>121</v>
      </c>
      <c r="C66" t="s">
        <v>262</v>
      </c>
      <c r="D66">
        <f>IFERROR(
INDEX('Huntsman Raw'!$B$41:$K$100,
MATCH(TRIM($A66),'Huntsman Raw'!$M$41:$M$100,0),
MATCH(D$33,'Huntsman Raw'!$B$38:$K$38,0)
),"")</f>
        <v>1435</v>
      </c>
      <c r="E66">
        <f>IFERROR(
INDEX('Huntsman Raw'!$B$41:$K$100,
MATCH(TRIM($A66),'Huntsman Raw'!$M$41:$M$100,0),
MATCH(E$33,'Huntsman Raw'!$B$38:$K$38,0)
),"")</f>
        <v>1283</v>
      </c>
      <c r="F66">
        <f>IFERROR(
INDEX('Huntsman Raw'!$B$41:$K$100,
MATCH(TRIM($A66),'Huntsman Raw'!$M$41:$M$100,0),
MATCH(F$33,'Huntsman Raw'!$B$38:$K$38,0)
),"")</f>
        <v>1272</v>
      </c>
      <c r="G66">
        <f>IFERROR(
INDEX('Huntsman Raw'!$B$41:$K$100,
MATCH(TRIM($A66),'Huntsman Raw'!$M$41:$M$100,0),
MATCH(G$33,'Huntsman Raw'!$B$38:$K$38,0)
),"")</f>
        <v>953</v>
      </c>
      <c r="H66">
        <f>IFERROR(
INDEX('Huntsman Raw'!$B$41:$K$100,
MATCH(TRIM($A66),'Huntsman Raw'!$M$41:$M$100,0),
MATCH(H$33,'Huntsman Raw'!$B$38:$K$38,0)
),"")</f>
        <v>910</v>
      </c>
      <c r="I66">
        <f>IFERROR(
INDEX('Huntsman Raw'!$B$41:$K$100,
MATCH(TRIM($A66),'Huntsman Raw'!$M$41:$M$100,0),
MATCH(I$33,'Huntsman Raw'!$B$38:$K$38,0)
),"")</f>
        <v>1519</v>
      </c>
      <c r="J66">
        <f>IFERROR(
INDEX('Huntsman Raw'!$B$41:$K$100,
MATCH(TRIM($A66),'Huntsman Raw'!$M$41:$M$100,0),
MATCH(J$33,'Huntsman Raw'!$B$38:$K$38,0)
),"")</f>
        <v>834</v>
      </c>
      <c r="K66">
        <f>IFERROR(
INDEX('Huntsman Raw'!$B$41:$K$100,
MATCH(TRIM($A66),'Huntsman Raw'!$M$41:$M$100,0),
MATCH(K$33,'Huntsman Raw'!$B$38:$K$38,0)
),"")</f>
        <v>753</v>
      </c>
      <c r="L66">
        <f>IFERROR(
INDEX('Huntsman Raw'!$B$41:$K$100,
MATCH(TRIM($A66),'Huntsman Raw'!$M$41:$M$100,0),
MATCH(L$33,'Huntsman Raw'!$B$38:$K$38,0)
),"")</f>
        <v>725</v>
      </c>
      <c r="M66">
        <f>IFERROR(
INDEX('Huntsman Raw'!$B$41:$K$100,
MATCH(TRIM($A66),'Huntsman Raw'!$M$41:$M$100,0),
MATCH(M$33,'Huntsman Raw'!$B$38:$K$38,0)
),"")</f>
        <v>677</v>
      </c>
      <c r="N66" s="98">
        <f t="shared" ref="N66:S66" si="33">N$35*N$16 / 365</f>
        <v>1027.6420986301371</v>
      </c>
      <c r="O66" s="39">
        <f t="shared" si="33"/>
        <v>1104.7152560273973</v>
      </c>
      <c r="P66" s="39">
        <f t="shared" si="33"/>
        <v>1195.301907021644</v>
      </c>
      <c r="Q66" s="39">
        <f t="shared" si="33"/>
        <v>1264.6294176288993</v>
      </c>
      <c r="R66" s="39">
        <f t="shared" si="33"/>
        <v>1348.0949591924068</v>
      </c>
      <c r="S66" s="99">
        <f t="shared" si="33"/>
        <v>1428.9806567439512</v>
      </c>
    </row>
    <row r="67" spans="1:19" x14ac:dyDescent="0.15">
      <c r="A67" t="s">
        <v>122</v>
      </c>
      <c r="C67" t="s">
        <v>234</v>
      </c>
      <c r="D67">
        <f>IFERROR(
INDEX('Huntsman Raw'!$B$41:$K$100,
MATCH(TRIM($A67),'Huntsman Raw'!$M$41:$M$100,0),
MATCH(D$33,'Huntsman Raw'!$B$38:$K$38,0)
),"")</f>
        <v>1344</v>
      </c>
      <c r="E67">
        <f>IFERROR(
INDEX('Huntsman Raw'!$B$41:$K$100,
MATCH(TRIM($A67),'Huntsman Raw'!$M$41:$M$100,0),
MATCH(E$33,'Huntsman Raw'!$B$38:$K$38,0)
),"")</f>
        <v>1073</v>
      </c>
      <c r="F67">
        <f>IFERROR(
INDEX('Huntsman Raw'!$B$41:$K$100,
MATCH(TRIM($A67),'Huntsman Raw'!$M$41:$M$100,0),
MATCH(F$33,'Huntsman Raw'!$B$38:$K$38,0)
),"")</f>
        <v>1134</v>
      </c>
      <c r="G67">
        <f>IFERROR(
INDEX('Huntsman Raw'!$B$41:$K$100,
MATCH(TRIM($A67),'Huntsman Raw'!$M$41:$M$100,0),
MATCH(G$33,'Huntsman Raw'!$B$38:$K$38,0)
),"")</f>
        <v>914</v>
      </c>
      <c r="H67">
        <f>IFERROR(
INDEX('Huntsman Raw'!$B$41:$K$100,
MATCH(TRIM($A67),'Huntsman Raw'!$M$41:$M$100,0),
MATCH(H$33,'Huntsman Raw'!$B$38:$K$38,0)
),"")</f>
        <v>848</v>
      </c>
      <c r="I67">
        <f>IFERROR(
INDEX('Huntsman Raw'!$B$41:$K$100,
MATCH(TRIM($A67),'Huntsman Raw'!$M$41:$M$100,0),
MATCH(I$33,'Huntsman Raw'!$B$38:$K$38,0)
),"")</f>
        <v>1201</v>
      </c>
      <c r="J67">
        <f>IFERROR(
INDEX('Huntsman Raw'!$B$41:$K$100,
MATCH(TRIM($A67),'Huntsman Raw'!$M$41:$M$100,0),
MATCH(J$33,'Huntsman Raw'!$B$38:$K$38,0)
),"")</f>
        <v>995</v>
      </c>
      <c r="K67">
        <f>IFERROR(
INDEX('Huntsman Raw'!$B$41:$K$100,
MATCH(TRIM($A67),'Huntsman Raw'!$M$41:$M$100,0),
MATCH(K$33,'Huntsman Raw'!$B$38:$K$38,0)
),"")</f>
        <v>867</v>
      </c>
      <c r="L67">
        <f>IFERROR(
INDEX('Huntsman Raw'!$B$41:$K$100,
MATCH(TRIM($A67),'Huntsman Raw'!$M$41:$M$100,0),
MATCH(L$33,'Huntsman Raw'!$B$38:$K$38,0)
),"")</f>
        <v>917</v>
      </c>
      <c r="M67">
        <f>IFERROR(
INDEX('Huntsman Raw'!$B$41:$K$100,
MATCH(TRIM($A67),'Huntsman Raw'!$M$41:$M$100,0),
MATCH(M$33,'Huntsman Raw'!$B$38:$K$38,0)
),"")</f>
        <v>818</v>
      </c>
      <c r="N67" s="98">
        <f t="shared" ref="N67:S67" si="34">N$37*N$17 / 365</f>
        <v>619.36494682191778</v>
      </c>
      <c r="O67" s="39">
        <f t="shared" si="34"/>
        <v>654.13631225753431</v>
      </c>
      <c r="P67" s="39">
        <f t="shared" si="34"/>
        <v>683.34038366501284</v>
      </c>
      <c r="Q67" s="39">
        <f t="shared" si="34"/>
        <v>703.36200412943731</v>
      </c>
      <c r="R67" s="39">
        <f t="shared" si="34"/>
        <v>735.52944970232261</v>
      </c>
      <c r="S67" s="99">
        <f t="shared" si="34"/>
        <v>773.61733128380729</v>
      </c>
    </row>
    <row r="68" spans="1:19" x14ac:dyDescent="0.15">
      <c r="A68" t="s">
        <v>123</v>
      </c>
      <c r="C68" t="s">
        <v>123</v>
      </c>
      <c r="D68">
        <f>IFERROR(
INDEX('Huntsman Raw'!$B$41:$K$100,
MATCH(TRIM($A68),'Huntsman Raw'!$M$41:$M$100,0),
MATCH(D$33,'Huntsman Raw'!$B$38:$K$38,0)
),"")</f>
        <v>60</v>
      </c>
      <c r="E68">
        <f>IFERROR(
INDEX('Huntsman Raw'!$B$41:$K$100,
MATCH(TRIM($A68),'Huntsman Raw'!$M$41:$M$100,0),
MATCH(E$33,'Huntsman Raw'!$B$38:$K$38,0)
),"")</f>
        <v>60</v>
      </c>
      <c r="F68">
        <f>IFERROR(
INDEX('Huntsman Raw'!$B$41:$K$100,
MATCH(TRIM($A68),'Huntsman Raw'!$M$41:$M$100,0),
MATCH(F$33,'Huntsman Raw'!$B$38:$K$38,0)
),"")</f>
        <v>66</v>
      </c>
      <c r="G68">
        <f>IFERROR(
INDEX('Huntsman Raw'!$B$41:$K$100,
MATCH(TRIM($A68),'Huntsman Raw'!$M$41:$M$100,0),
MATCH(G$33,'Huntsman Raw'!$B$38:$K$38,0)
),"")</f>
        <v>83</v>
      </c>
      <c r="H68">
        <f>IFERROR(
INDEX('Huntsman Raw'!$B$41:$K$100,
MATCH(TRIM($A68),'Huntsman Raw'!$M$41:$M$100,0),
MATCH(H$33,'Huntsman Raw'!$B$38:$K$38,0)
),"")</f>
        <v>0</v>
      </c>
      <c r="I68">
        <f>IFERROR(
INDEX('Huntsman Raw'!$B$41:$K$100,
MATCH(TRIM($A68),'Huntsman Raw'!$M$41:$M$100,0),
MATCH(I$33,'Huntsman Raw'!$B$38:$K$38,0)
),"")</f>
        <v>0</v>
      </c>
      <c r="J68">
        <f>IFERROR(
INDEX('Huntsman Raw'!$B$41:$K$100,
MATCH(TRIM($A68),'Huntsman Raw'!$M$41:$M$100,0),
MATCH(J$33,'Huntsman Raw'!$B$38:$K$38,0)
),"")</f>
        <v>0</v>
      </c>
      <c r="K68">
        <f>IFERROR(
INDEX('Huntsman Raw'!$B$41:$K$100,
MATCH(TRIM($A68),'Huntsman Raw'!$M$41:$M$100,0),
MATCH(K$33,'Huntsman Raw'!$B$38:$K$38,0)
),"")</f>
        <v>0</v>
      </c>
      <c r="L68">
        <f>IFERROR(
INDEX('Huntsman Raw'!$B$41:$K$100,
MATCH(TRIM($A68),'Huntsman Raw'!$M$41:$M$100,0),
MATCH(L$33,'Huntsman Raw'!$B$38:$K$38,0)
),"")</f>
        <v>114</v>
      </c>
      <c r="M68">
        <f>IFERROR(
INDEX('Huntsman Raw'!$B$41:$K$100,
MATCH(TRIM($A68),'Huntsman Raw'!$M$41:$M$100,0),
MATCH(M$33,'Huntsman Raw'!$B$38:$K$38,0)
),"")</f>
        <v>94</v>
      </c>
      <c r="N68" s="98">
        <f t="shared" ref="N68:S68" si="35">N$35*N$19</f>
        <v>101.45859900000001</v>
      </c>
      <c r="O68" s="39">
        <f t="shared" si="35"/>
        <v>109.06799392500001</v>
      </c>
      <c r="P68" s="39">
        <f t="shared" si="35"/>
        <v>118.01156942685002</v>
      </c>
      <c r="Q68" s="39">
        <f t="shared" si="35"/>
        <v>124.85624045360733</v>
      </c>
      <c r="R68" s="39">
        <f t="shared" si="35"/>
        <v>133.09675232354542</v>
      </c>
      <c r="S68" s="99">
        <f t="shared" si="35"/>
        <v>141.08255746295814</v>
      </c>
    </row>
    <row r="69" spans="1:19" x14ac:dyDescent="0.15">
      <c r="A69" t="s">
        <v>124</v>
      </c>
      <c r="C69" t="s">
        <v>235</v>
      </c>
      <c r="D69">
        <f>IFERROR(
INDEX('Huntsman Raw'!$B$41:$K$100,
MATCH(TRIM($A69),'Huntsman Raw'!$M$41:$M$100,0),
MATCH(D$33,'Huntsman Raw'!$B$38:$K$38,0)
),"")</f>
        <v>302</v>
      </c>
      <c r="E69">
        <f>IFERROR(
INDEX('Huntsman Raw'!$B$41:$K$100,
MATCH(TRIM($A69),'Huntsman Raw'!$M$41:$M$100,0),
MATCH(E$33,'Huntsman Raw'!$B$38:$K$38,0)
),"")</f>
        <v>3093</v>
      </c>
      <c r="F69">
        <f>IFERROR(
INDEX('Huntsman Raw'!$B$41:$K$100,
MATCH(TRIM($A69),'Huntsman Raw'!$M$41:$M$100,0),
MATCH(F$33,'Huntsman Raw'!$B$38:$K$38,0)
),"")</f>
        <v>146</v>
      </c>
      <c r="G69">
        <f>IFERROR(
INDEX('Huntsman Raw'!$B$41:$K$100,
MATCH(TRIM($A69),'Huntsman Raw'!$M$41:$M$100,0),
MATCH(G$33,'Huntsman Raw'!$B$38:$K$38,0)
),"")</f>
        <v>1280</v>
      </c>
      <c r="H69">
        <f>IFERROR(
INDEX('Huntsman Raw'!$B$41:$K$100,
MATCH(TRIM($A69),'Huntsman Raw'!$M$41:$M$100,0),
MATCH(H$33,'Huntsman Raw'!$B$38:$K$38,0)
),"")</f>
        <v>217</v>
      </c>
      <c r="I69">
        <f>IFERROR(
INDEX('Huntsman Raw'!$B$41:$K$100,
MATCH(TRIM($A69),'Huntsman Raw'!$M$41:$M$100,0),
MATCH(I$33,'Huntsman Raw'!$B$38:$K$38,0)
),"")</f>
        <v>167</v>
      </c>
      <c r="J69">
        <f>IFERROR(
INDEX('Huntsman Raw'!$B$41:$K$100,
MATCH(TRIM($A69),'Huntsman Raw'!$M$41:$M$100,0),
MATCH(J$33,'Huntsman Raw'!$B$38:$K$38,0)
),"")</f>
        <v>662</v>
      </c>
      <c r="K69">
        <f>IFERROR(
INDEX('Huntsman Raw'!$B$41:$K$100,
MATCH(TRIM($A69),'Huntsman Raw'!$M$41:$M$100,0),
MATCH(K$33,'Huntsman Raw'!$B$38:$K$38,0)
),"")</f>
        <v>154</v>
      </c>
      <c r="L69">
        <f>IFERROR(
INDEX('Huntsman Raw'!$B$41:$K$100,
MATCH(TRIM($A69),'Huntsman Raw'!$M$41:$M$100,0),
MATCH(L$33,'Huntsman Raw'!$B$38:$K$38,0)
),"")</f>
        <v>29</v>
      </c>
      <c r="M69">
        <f>IFERROR(
INDEX('Huntsman Raw'!$B$41:$K$100,
MATCH(TRIM($A69),'Huntsman Raw'!$M$41:$M$100,0),
MATCH(M$33,'Huntsman Raw'!$B$38:$K$38,0)
),"")</f>
        <v>46</v>
      </c>
      <c r="N69" s="98">
        <f t="shared" ref="N69:S69" si="36">N$35*N$20</f>
        <v>49.806948599999998</v>
      </c>
      <c r="O69" s="39">
        <f t="shared" si="36"/>
        <v>53.542469744999998</v>
      </c>
      <c r="P69" s="39">
        <f t="shared" si="36"/>
        <v>57.932952264090005</v>
      </c>
      <c r="Q69" s="39">
        <f t="shared" si="36"/>
        <v>61.293063495407225</v>
      </c>
      <c r="R69" s="39">
        <f t="shared" si="36"/>
        <v>65.33840568610411</v>
      </c>
      <c r="S69" s="99">
        <f t="shared" si="36"/>
        <v>69.258710027270354</v>
      </c>
    </row>
    <row r="70" spans="1:19" s="48" customFormat="1" x14ac:dyDescent="0.15">
      <c r="A70" s="48" t="s">
        <v>125</v>
      </c>
      <c r="C70" s="88" t="s">
        <v>125</v>
      </c>
      <c r="D70" s="88">
        <f>IFERROR(
INDEX('Huntsman Raw'!$B$41:$K$100,
MATCH(TRIM($A70),'Huntsman Raw'!$M$41:$M$100,0),
MATCH(D$33,'Huntsman Raw'!$B$38:$K$38,0)
),"")</f>
        <v>3555</v>
      </c>
      <c r="E70" s="88">
        <f>IFERROR(
INDEX('Huntsman Raw'!$B$41:$K$100,
MATCH(TRIM($A70),'Huntsman Raw'!$M$41:$M$100,0),
MATCH(E$33,'Huntsman Raw'!$B$38:$K$38,0)
),"")</f>
        <v>5979</v>
      </c>
      <c r="F70" s="88">
        <f>IFERROR(
INDEX('Huntsman Raw'!$B$41:$K$100,
MATCH(TRIM($A70),'Huntsman Raw'!$M$41:$M$100,0),
MATCH(F$33,'Huntsman Raw'!$B$38:$K$38,0)
),"")</f>
        <v>2958</v>
      </c>
      <c r="G70" s="88">
        <f>IFERROR(
INDEX('Huntsman Raw'!$B$41:$K$100,
MATCH(TRIM($A70),'Huntsman Raw'!$M$41:$M$100,0),
MATCH(G$33,'Huntsman Raw'!$B$38:$K$38,0)
),"")</f>
        <v>3755</v>
      </c>
      <c r="H70" s="88">
        <f>IFERROR(
INDEX('Huntsman Raw'!$B$41:$K$100,
MATCH(TRIM($A70),'Huntsman Raw'!$M$41:$M$100,0),
MATCH(H$33,'Huntsman Raw'!$B$38:$K$38,0)
),"")</f>
        <v>3568</v>
      </c>
      <c r="I70" s="88">
        <f>IFERROR(
INDEX('Huntsman Raw'!$B$41:$K$100,
MATCH(TRIM($A70),'Huntsman Raw'!$M$41:$M$100,0),
MATCH(I$33,'Huntsman Raw'!$B$38:$K$38,0)
),"")</f>
        <v>3928</v>
      </c>
      <c r="J70" s="88">
        <f>IFERROR(
INDEX('Huntsman Raw'!$B$41:$K$100,
MATCH(TRIM($A70),'Huntsman Raw'!$M$41:$M$100,0),
MATCH(J$33,'Huntsman Raw'!$B$38:$K$38,0)
),"")</f>
        <v>3145</v>
      </c>
      <c r="K70" s="88">
        <f>IFERROR(
INDEX('Huntsman Raw'!$B$41:$K$100,
MATCH(TRIM($A70),'Huntsman Raw'!$M$41:$M$100,0),
MATCH(K$33,'Huntsman Raw'!$B$38:$K$38,0)
),"")</f>
        <v>2314</v>
      </c>
      <c r="L70" s="88">
        <f>IFERROR(
INDEX('Huntsman Raw'!$B$41:$K$100,
MATCH(TRIM($A70),'Huntsman Raw'!$M$41:$M$100,0),
MATCH(L$33,'Huntsman Raw'!$B$38:$K$38,0)
),"")</f>
        <v>2125</v>
      </c>
      <c r="M70" s="88">
        <f>IFERROR(
INDEX('Huntsman Raw'!$B$41:$K$100,
MATCH(TRIM($A70),'Huntsman Raw'!$M$41:$M$100,0),
MATCH(M$33,'Huntsman Raw'!$B$38:$K$38,0)
),"")</f>
        <v>2064</v>
      </c>
      <c r="N70" s="94">
        <f>SUM(N$65:N$69)</f>
        <v>2160.2743471058939</v>
      </c>
      <c r="O70" s="89">
        <f t="shared" ref="O70:S70" si="37">SUM(O$65:O$69)</f>
        <v>2276.8825678792768</v>
      </c>
      <c r="P70" s="89">
        <f t="shared" si="37"/>
        <v>2547.709855068405</v>
      </c>
      <c r="Q70" s="89">
        <f t="shared" si="37"/>
        <v>2936.7399930097149</v>
      </c>
      <c r="R70" s="89">
        <f t="shared" si="37"/>
        <v>3457.8781810035193</v>
      </c>
      <c r="S70" s="95">
        <f t="shared" si="37"/>
        <v>4052.9018154231144</v>
      </c>
    </row>
    <row r="71" spans="1:19" x14ac:dyDescent="0.15">
      <c r="N71" s="98"/>
      <c r="O71" s="39"/>
      <c r="P71" s="39"/>
      <c r="Q71" s="39"/>
      <c r="R71" s="39"/>
      <c r="S71" s="99"/>
    </row>
    <row r="72" spans="1:19" x14ac:dyDescent="0.15">
      <c r="A72" t="s">
        <v>263</v>
      </c>
      <c r="C72" t="s">
        <v>264</v>
      </c>
      <c r="D72">
        <f>IFERROR(
INDEX('Huntsman Raw'!$B$41:$K$100,
MATCH(TRIM($A72),'Huntsman Raw'!$M$41:$M$100,0),
MATCH(D$33,'Huntsman Raw'!$B$38:$K$38,0)
),"")</f>
        <v>8778</v>
      </c>
      <c r="E72">
        <f>IFERROR(
INDEX('Huntsman Raw'!$B$41:$K$100,
MATCH(TRIM($A72),'Huntsman Raw'!$M$41:$M$100,0),
MATCH(E$33,'Huntsman Raw'!$B$38:$K$38,0)
),"")</f>
        <v>7083</v>
      </c>
      <c r="F72">
        <f>IFERROR(
INDEX('Huntsman Raw'!$B$41:$K$100,
MATCH(TRIM($A72),'Huntsman Raw'!$M$41:$M$100,0),
MATCH(F$33,'Huntsman Raw'!$B$38:$K$38,0)
),"")</f>
        <v>7209</v>
      </c>
      <c r="G72">
        <f>IFERROR(
INDEX('Huntsman Raw'!$B$41:$K$100,
MATCH(TRIM($A72),'Huntsman Raw'!$M$41:$M$100,0),
MATCH(G$33,'Huntsman Raw'!$B$38:$K$38,0)
),"")</f>
        <v>6084</v>
      </c>
      <c r="H72">
        <f>IFERROR(
INDEX('Huntsman Raw'!$B$41:$K$100,
MATCH(TRIM($A72),'Huntsman Raw'!$M$41:$M$100,0),
MATCH(H$33,'Huntsman Raw'!$B$38:$K$38,0)
),"")</f>
        <v>6478</v>
      </c>
      <c r="I72">
        <f>IFERROR(
INDEX('Huntsman Raw'!$B$41:$K$100,
MATCH(TRIM($A72),'Huntsman Raw'!$M$41:$M$100,0),
MATCH(I$33,'Huntsman Raw'!$B$38:$K$38,0)
),"")</f>
        <v>6713</v>
      </c>
      <c r="J72">
        <f>IFERROR(
INDEX('Huntsman Raw'!$B$41:$K$100,
MATCH(TRIM($A72),'Huntsman Raw'!$M$41:$M$100,0),
MATCH(J$33,'Huntsman Raw'!$B$38:$K$38,0)
),"")</f>
        <v>6404</v>
      </c>
      <c r="K72">
        <f>IFERROR(
INDEX('Huntsman Raw'!$B$41:$K$100,
MATCH(TRIM($A72),'Huntsman Raw'!$M$41:$M$100,0),
MATCH(K$33,'Huntsman Raw'!$B$38:$K$38,0)
),"")</f>
        <v>6651</v>
      </c>
      <c r="L72">
        <f>IFERROR(
INDEX('Huntsman Raw'!$B$41:$K$100,
MATCH(TRIM($A72),'Huntsman Raw'!$M$41:$M$100,0),
MATCH(L$33,'Huntsman Raw'!$B$38:$K$38,0)
),"")</f>
        <v>6804</v>
      </c>
      <c r="M72">
        <f>IFERROR(
INDEX('Huntsman Raw'!$B$41:$K$100,
MATCH(TRIM($A72),'Huntsman Raw'!$M$41:$M$100,0),
MATCH(M$33,'Huntsman Raw'!$B$38:$K$38,0)
),"")</f>
        <v>7079</v>
      </c>
      <c r="N72" s="98">
        <f>'Huntsman D&amp;A'!M$19</f>
        <v>7263.4701800000003</v>
      </c>
      <c r="O72" s="39">
        <f>'Huntsman D&amp;A'!N19</f>
        <v>7461.7756235000006</v>
      </c>
      <c r="P72" s="39">
        <f>'Huntsman D&amp;A'!O19</f>
        <v>7676.3421133670008</v>
      </c>
      <c r="Q72" s="39">
        <f>'Huntsman D&amp;A'!P19</f>
        <v>7903.3534596462869</v>
      </c>
      <c r="R72" s="39">
        <f>'Huntsman D&amp;A'!Q19</f>
        <v>8145.3475547800053</v>
      </c>
      <c r="S72" s="99">
        <f>'Huntsman D&amp;A'!R19</f>
        <v>8401.8612956217476</v>
      </c>
    </row>
    <row r="73" spans="1:19" x14ac:dyDescent="0.15">
      <c r="A73" t="s">
        <v>265</v>
      </c>
      <c r="C73" t="s">
        <v>266</v>
      </c>
      <c r="D73">
        <f>IFERROR(
INDEX('Huntsman Raw'!$B$41:$K$100,
MATCH(TRIM($A73),'Huntsman Raw'!$M$41:$M$100,0),
MATCH(D$33,'Huntsman Raw'!$B$38:$K$38,0)
),"")</f>
        <v>-4566</v>
      </c>
      <c r="E73">
        <f>IFERROR(
INDEX('Huntsman Raw'!$B$41:$K$100,
MATCH(TRIM($A73),'Huntsman Raw'!$M$41:$M$100,0),
MATCH(E$33,'Huntsman Raw'!$B$38:$K$38,0)
),"")</f>
        <v>-3985</v>
      </c>
      <c r="F73">
        <f>IFERROR(
INDEX('Huntsman Raw'!$B$41:$K$100,
MATCH(TRIM($A73),'Huntsman Raw'!$M$41:$M$100,0),
MATCH(F$33,'Huntsman Raw'!$B$38:$K$38,0)
),"")</f>
        <v>-4145</v>
      </c>
      <c r="G73">
        <f>IFERROR(
INDEX('Huntsman Raw'!$B$41:$K$100,
MATCH(TRIM($A73),'Huntsman Raw'!$M$41:$M$100,0),
MATCH(G$33,'Huntsman Raw'!$B$38:$K$38,0)
),"")</f>
        <v>-3305</v>
      </c>
      <c r="H73">
        <f>IFERROR(
INDEX('Huntsman Raw'!$B$41:$K$100,
MATCH(TRIM($A73),'Huntsman Raw'!$M$41:$M$100,0),
MATCH(H$33,'Huntsman Raw'!$B$38:$K$38,0)
),"")</f>
        <v>-3528</v>
      </c>
      <c r="I73">
        <f>IFERROR(
INDEX('Huntsman Raw'!$B$41:$K$100,
MATCH(TRIM($A73),'Huntsman Raw'!$M$41:$M$100,0),
MATCH(I$33,'Huntsman Raw'!$B$38:$K$38,0)
),"")</f>
        <v>-3734</v>
      </c>
      <c r="J73">
        <f>IFERROR(
INDEX('Huntsman Raw'!$B$41:$K$100,
MATCH(TRIM($A73),'Huntsman Raw'!$M$41:$M$100,0),
MATCH(J$33,'Huntsman Raw'!$B$38:$K$38,0)
),"")</f>
        <v>-3653</v>
      </c>
      <c r="K73">
        <f>IFERROR(
INDEX('Huntsman Raw'!$B$41:$K$100,
MATCH(TRIM($A73),'Huntsman Raw'!$M$41:$M$100,0),
MATCH(K$33,'Huntsman Raw'!$B$38:$K$38,0)
),"")</f>
        <v>-3909</v>
      </c>
      <c r="L73">
        <f>IFERROR(
INDEX('Huntsman Raw'!$B$41:$K$100,
MATCH(TRIM($A73),'Huntsman Raw'!$M$41:$M$100,0),
MATCH(L$33,'Huntsman Raw'!$B$38:$K$38,0)
),"")</f>
        <v>-3929</v>
      </c>
      <c r="M73">
        <f>IFERROR(
INDEX('Huntsman Raw'!$B$41:$K$100,
MATCH(TRIM($A73),'Huntsman Raw'!$M$41:$M$100,0),
MATCH(M$33,'Huntsman Raw'!$B$38:$K$38,0)
),"")</f>
        <v>-4228</v>
      </c>
      <c r="N73" s="98">
        <f>'Huntsman D&amp;A'!M$25</f>
        <v>-4490.2257647179486</v>
      </c>
      <c r="O73" s="39">
        <f>'Huntsman D&amp;A'!N$25</f>
        <v>-4759.4498797429205</v>
      </c>
      <c r="P73" s="39">
        <f>'Huntsman D&amp;A'!O$25</f>
        <v>-5036.2226009074902</v>
      </c>
      <c r="Q73" s="39">
        <f>'Huntsman D&amp;A'!P$25</f>
        <v>-5321.0687630004868</v>
      </c>
      <c r="R73" s="39">
        <f>'Huntsman D&amp;A'!Q$25</f>
        <v>-5614.4898294849809</v>
      </c>
      <c r="S73" s="99">
        <f>'Huntsman D&amp;A'!R$25</f>
        <v>-5917.0251975413785</v>
      </c>
    </row>
    <row r="74" spans="1:19" x14ac:dyDescent="0.15">
      <c r="A74" t="s">
        <v>128</v>
      </c>
      <c r="C74" s="48" t="s">
        <v>267</v>
      </c>
      <c r="D74" s="48">
        <f>IFERROR(
INDEX('Huntsman Raw'!$B$41:$K$100,
MATCH(TRIM($A74),'Huntsman Raw'!$M$41:$M$100,0),
MATCH(D$33,'Huntsman Raw'!$B$38:$K$38,0)
),"")</f>
        <v>4212</v>
      </c>
      <c r="E74" s="48">
        <f>IFERROR(
INDEX('Huntsman Raw'!$B$41:$K$100,
MATCH(TRIM($A74),'Huntsman Raw'!$M$41:$M$100,0),
MATCH(E$33,'Huntsman Raw'!$B$38:$K$38,0)
),"")</f>
        <v>3098</v>
      </c>
      <c r="F74" s="48">
        <f>IFERROR(
INDEX('Huntsman Raw'!$B$41:$K$100,
MATCH(TRIM($A74),'Huntsman Raw'!$M$41:$M$100,0),
MATCH(F$33,'Huntsman Raw'!$B$38:$K$38,0)
),"")</f>
        <v>3064</v>
      </c>
      <c r="G74" s="48">
        <f>IFERROR(
INDEX('Huntsman Raw'!$B$41:$K$100,
MATCH(TRIM($A74),'Huntsman Raw'!$M$41:$M$100,0),
MATCH(G$33,'Huntsman Raw'!$B$38:$K$38,0)
),"")</f>
        <v>2779</v>
      </c>
      <c r="H74" s="48">
        <f>IFERROR(
INDEX('Huntsman Raw'!$B$41:$K$100,
MATCH(TRIM($A74),'Huntsman Raw'!$M$41:$M$100,0),
MATCH(H$33,'Huntsman Raw'!$B$38:$K$38,0)
),"")</f>
        <v>2950</v>
      </c>
      <c r="I74" s="48">
        <f>IFERROR(
INDEX('Huntsman Raw'!$B$41:$K$100,
MATCH(TRIM($A74),'Huntsman Raw'!$M$41:$M$100,0),
MATCH(I$33,'Huntsman Raw'!$B$38:$K$38,0)
),"")</f>
        <v>2979</v>
      </c>
      <c r="J74" s="48">
        <f>IFERROR(
INDEX('Huntsman Raw'!$B$41:$K$100,
MATCH(TRIM($A74),'Huntsman Raw'!$M$41:$M$100,0),
MATCH(J$33,'Huntsman Raw'!$B$38:$K$38,0)
),"")</f>
        <v>2751</v>
      </c>
      <c r="K74" s="48">
        <f>IFERROR(
INDEX('Huntsman Raw'!$B$41:$K$100,
MATCH(TRIM($A74),'Huntsman Raw'!$M$41:$M$100,0),
MATCH(K$33,'Huntsman Raw'!$B$38:$K$38,0)
),"")</f>
        <v>2742</v>
      </c>
      <c r="L74" s="48">
        <f>IFERROR(
INDEX('Huntsman Raw'!$B$41:$K$100,
MATCH(TRIM($A74),'Huntsman Raw'!$M$41:$M$100,0),
MATCH(L$33,'Huntsman Raw'!$B$38:$K$38,0)
),"")</f>
        <v>2875</v>
      </c>
      <c r="M74" s="48">
        <f>IFERROR(
INDEX('Huntsman Raw'!$B$41:$K$100,
MATCH(TRIM($A74),'Huntsman Raw'!$M$41:$M$100,0),
MATCH(M$33,'Huntsman Raw'!$B$38:$K$38,0)
),"")</f>
        <v>2851</v>
      </c>
      <c r="N74" s="96">
        <f>'Huntsman D&amp;A'!M$27</f>
        <v>2773.2444152820517</v>
      </c>
      <c r="O74" s="57">
        <f>'Huntsman D&amp;A'!N$27</f>
        <v>2702.3257437570801</v>
      </c>
      <c r="P74" s="57">
        <f>'Huntsman D&amp;A'!O$27</f>
        <v>2640.1195124595106</v>
      </c>
      <c r="Q74" s="57">
        <f>'Huntsman D&amp;A'!P$27</f>
        <v>2582.2846966458001</v>
      </c>
      <c r="R74" s="57">
        <f>'Huntsman D&amp;A'!Q$27</f>
        <v>2530.8577252950245</v>
      </c>
      <c r="S74" s="97">
        <f>'Huntsman D&amp;A'!R$27</f>
        <v>2484.8360980803691</v>
      </c>
    </row>
    <row r="75" spans="1:19" x14ac:dyDescent="0.15">
      <c r="A75" t="s">
        <v>129</v>
      </c>
      <c r="C75" t="s">
        <v>236</v>
      </c>
      <c r="D75">
        <f>IFERROR(
INDEX('Huntsman Raw'!$B$41:$K$100,
MATCH(TRIM($A75),'Huntsman Raw'!$M$41:$M$100,0),
MATCH(D$33,'Huntsman Raw'!$B$38:$K$38,0)
),"")</f>
        <v>121</v>
      </c>
      <c r="E75">
        <f>IFERROR(
INDEX('Huntsman Raw'!$B$41:$K$100,
MATCH(TRIM($A75),'Huntsman Raw'!$M$41:$M$100,0),
MATCH(E$33,'Huntsman Raw'!$B$38:$K$38,0)
),"")</f>
        <v>140</v>
      </c>
      <c r="F75">
        <f>IFERROR(
INDEX('Huntsman Raw'!$B$41:$K$100,
MATCH(TRIM($A75),'Huntsman Raw'!$M$41:$M$100,0),
MATCH(F$33,'Huntsman Raw'!$B$38:$K$38,0)
),"")</f>
        <v>275</v>
      </c>
      <c r="G75">
        <f>IFERROR(
INDEX('Huntsman Raw'!$B$41:$K$100,
MATCH(TRIM($A75),'Huntsman Raw'!$M$41:$M$100,0),
MATCH(G$33,'Huntsman Raw'!$B$38:$K$38,0)
),"")</f>
        <v>276</v>
      </c>
      <c r="H75">
        <f>IFERROR(
INDEX('Huntsman Raw'!$B$41:$K$100,
MATCH(TRIM($A75),'Huntsman Raw'!$M$41:$M$100,0),
MATCH(H$33,'Huntsman Raw'!$B$38:$K$38,0)
),"")</f>
        <v>533</v>
      </c>
      <c r="I75">
        <f>IFERROR(
INDEX('Huntsman Raw'!$B$41:$K$100,
MATCH(TRIM($A75),'Huntsman Raw'!$M$41:$M$100,0),
MATCH(I$33,'Huntsman Raw'!$B$38:$K$38,0)
),"")</f>
        <v>650</v>
      </c>
      <c r="J75">
        <f>IFERROR(
INDEX('Huntsman Raw'!$B$41:$K$100,
MATCH(TRIM($A75),'Huntsman Raw'!$M$41:$M$100,0),
MATCH(J$33,'Huntsman Raw'!$B$38:$K$38,0)
),"")</f>
        <v>641</v>
      </c>
      <c r="K75">
        <f>IFERROR(
INDEX('Huntsman Raw'!$B$41:$K$100,
MATCH(TRIM($A75),'Huntsman Raw'!$M$41:$M$100,0),
MATCH(K$33,'Huntsman Raw'!$B$38:$K$38,0)
),"")</f>
        <v>644</v>
      </c>
      <c r="L75">
        <f>IFERROR(
INDEX('Huntsman Raw'!$B$41:$K$100,
MATCH(TRIM($A75),'Huntsman Raw'!$M$41:$M$100,0),
MATCH(L$33,'Huntsman Raw'!$B$38:$K$38,0)
),"")</f>
        <v>633</v>
      </c>
      <c r="M75">
        <f>IFERROR(
INDEX('Huntsman Raw'!$B$41:$K$100,
MATCH(TRIM($A75),'Huntsman Raw'!$M$41:$M$100,0),
MATCH(M$33,'Huntsman Raw'!$B$38:$K$38,0)
),"")</f>
        <v>630</v>
      </c>
      <c r="N75" s="3">
        <f>$M$75</f>
        <v>630</v>
      </c>
      <c r="O75">
        <f t="shared" ref="O75:S75" si="38">$M$75</f>
        <v>630</v>
      </c>
      <c r="P75">
        <f t="shared" si="38"/>
        <v>630</v>
      </c>
      <c r="Q75">
        <f t="shared" si="38"/>
        <v>630</v>
      </c>
      <c r="R75">
        <f t="shared" si="38"/>
        <v>630</v>
      </c>
      <c r="S75" s="5">
        <f t="shared" si="38"/>
        <v>630</v>
      </c>
    </row>
    <row r="76" spans="1:19" x14ac:dyDescent="0.15">
      <c r="A76" t="s">
        <v>130</v>
      </c>
      <c r="C76" t="s">
        <v>268</v>
      </c>
      <c r="D76">
        <f>IFERROR(
INDEX('Huntsman Raw'!$B$41:$K$100,
MATCH(TRIM($A76),'Huntsman Raw'!$M$41:$M$100,0),
MATCH(D$33,'Huntsman Raw'!$B$38:$K$38,0)
),"")</f>
        <v>66</v>
      </c>
      <c r="E76">
        <f>IFERROR(
INDEX('Huntsman Raw'!$B$41:$K$100,
MATCH(TRIM($A76),'Huntsman Raw'!$M$41:$M$100,0),
MATCH(E$33,'Huntsman Raw'!$B$38:$K$38,0)
),"")</f>
        <v>56</v>
      </c>
      <c r="F76">
        <f>IFERROR(
INDEX('Huntsman Raw'!$B$41:$K$100,
MATCH(TRIM($A76),'Huntsman Raw'!$M$41:$M$100,0),
MATCH(F$33,'Huntsman Raw'!$B$38:$K$38,0)
),"")</f>
        <v>219</v>
      </c>
      <c r="G76">
        <f>IFERROR(
INDEX('Huntsman Raw'!$B$41:$K$100,
MATCH(TRIM($A76),'Huntsman Raw'!$M$41:$M$100,0),
MATCH(G$33,'Huntsman Raw'!$B$38:$K$38,0)
),"")</f>
        <v>197</v>
      </c>
      <c r="H76">
        <f>IFERROR(
INDEX('Huntsman Raw'!$B$41:$K$100,
MATCH(TRIM($A76),'Huntsman Raw'!$M$41:$M$100,0),
MATCH(H$33,'Huntsman Raw'!$B$38:$K$38,0)
),"")</f>
        <v>453</v>
      </c>
      <c r="I76">
        <f>IFERROR(
INDEX('Huntsman Raw'!$B$41:$K$100,
MATCH(TRIM($A76),'Huntsman Raw'!$M$41:$M$100,0),
MATCH(I$33,'Huntsman Raw'!$B$38:$K$38,0)
),"")</f>
        <v>469</v>
      </c>
      <c r="J76">
        <f>IFERROR(
INDEX('Huntsman Raw'!$B$41:$K$100,
MATCH(TRIM($A76),'Huntsman Raw'!$M$41:$M$100,0),
MATCH(J$33,'Huntsman Raw'!$B$38:$K$38,0)
),"")</f>
        <v>425</v>
      </c>
      <c r="K76">
        <f>IFERROR(
INDEX('Huntsman Raw'!$B$41:$K$100,
MATCH(TRIM($A76),'Huntsman Raw'!$M$41:$M$100,0),
MATCH(K$33,'Huntsman Raw'!$B$38:$K$38,0)
),"")</f>
        <v>387</v>
      </c>
      <c r="L76">
        <f>IFERROR(
INDEX('Huntsman Raw'!$B$41:$K$100,
MATCH(TRIM($A76),'Huntsman Raw'!$M$41:$M$100,0),
MATCH(L$33,'Huntsman Raw'!$B$38:$K$38,0)
),"")</f>
        <v>344</v>
      </c>
      <c r="M76">
        <f>IFERROR(
INDEX('Huntsman Raw'!$B$41:$K$100,
MATCH(TRIM($A76),'Huntsman Raw'!$M$41:$M$100,0),
MATCH(M$33,'Huntsman Raw'!$B$38:$K$38,0)
),"")</f>
        <v>308</v>
      </c>
      <c r="N76" s="98">
        <f>'Huntsman D&amp;A'!M$32</f>
        <v>274</v>
      </c>
      <c r="O76" s="39">
        <f>'Huntsman D&amp;A'!N$32</f>
        <v>241</v>
      </c>
      <c r="P76" s="39">
        <f>'Huntsman D&amp;A'!O$32</f>
        <v>211</v>
      </c>
      <c r="Q76" s="39">
        <f>'Huntsman D&amp;A'!P$32</f>
        <v>184</v>
      </c>
      <c r="R76" s="39">
        <f>'Huntsman D&amp;A'!Q$32</f>
        <v>159</v>
      </c>
      <c r="S76" s="99">
        <f>'Huntsman D&amp;A'!R$32</f>
        <v>134</v>
      </c>
    </row>
    <row r="77" spans="1:19" x14ac:dyDescent="0.15">
      <c r="A77" t="s">
        <v>131</v>
      </c>
      <c r="C77" t="s">
        <v>269</v>
      </c>
      <c r="D77">
        <f>IFERROR(
INDEX('Huntsman Raw'!$B$41:$K$100,
MATCH(TRIM($A77),'Huntsman Raw'!$M$41:$M$100,0),
MATCH(D$33,'Huntsman Raw'!$B$38:$K$38,0)
),"")</f>
        <v>350</v>
      </c>
      <c r="E77">
        <f>IFERROR(
INDEX('Huntsman Raw'!$B$41:$K$100,
MATCH(TRIM($A77),'Huntsman Raw'!$M$41:$M$100,0),
MATCH(E$33,'Huntsman Raw'!$B$38:$K$38,0)
),"")</f>
        <v>266</v>
      </c>
      <c r="F77">
        <f>IFERROR(
INDEX('Huntsman Raw'!$B$41:$K$100,
MATCH(TRIM($A77),'Huntsman Raw'!$M$41:$M$100,0),
MATCH(F$33,'Huntsman Raw'!$B$38:$K$38,0)
),"")</f>
        <v>526</v>
      </c>
      <c r="G77">
        <f>IFERROR(
INDEX('Huntsman Raw'!$B$41:$K$100,
MATCH(TRIM($A77),'Huntsman Raw'!$M$41:$M$100,0),
MATCH(G$33,'Huntsman Raw'!$B$38:$K$38,0)
),"")</f>
        <v>535</v>
      </c>
      <c r="H77">
        <f>IFERROR(
INDEX('Huntsman Raw'!$B$41:$K$100,
MATCH(TRIM($A77),'Huntsman Raw'!$M$41:$M$100,0),
MATCH(H$33,'Huntsman Raw'!$B$38:$K$38,0)
),"")</f>
        <v>373</v>
      </c>
      <c r="I77">
        <f>IFERROR(
INDEX('Huntsman Raw'!$B$41:$K$100,
MATCH(TRIM($A77),'Huntsman Raw'!$M$41:$M$100,0),
MATCH(I$33,'Huntsman Raw'!$B$38:$K$38,0)
),"")</f>
        <v>470</v>
      </c>
      <c r="J77">
        <f>IFERROR(
INDEX('Huntsman Raw'!$B$41:$K$100,
MATCH(TRIM($A77),'Huntsman Raw'!$M$41:$M$100,0),
MATCH(J$33,'Huntsman Raw'!$B$38:$K$38,0)
),"")</f>
        <v>425</v>
      </c>
      <c r="K77">
        <f>IFERROR(
INDEX('Huntsman Raw'!$B$41:$K$100,
MATCH(TRIM($A77),'Huntsman Raw'!$M$41:$M$100,0),
MATCH(K$33,'Huntsman Raw'!$B$38:$K$38,0)
),"")</f>
        <v>438</v>
      </c>
      <c r="L77">
        <f>IFERROR(
INDEX('Huntsman Raw'!$B$41:$K$100,
MATCH(TRIM($A77),'Huntsman Raw'!$M$41:$M$100,0),
MATCH(L$33,'Huntsman Raw'!$B$38:$K$38,0)
),"")</f>
        <v>346</v>
      </c>
      <c r="M77">
        <f>IFERROR(
INDEX('Huntsman Raw'!$B$41:$K$100,
MATCH(TRIM($A77),'Huntsman Raw'!$M$41:$M$100,0),
MATCH(M$33,'Huntsman Raw'!$B$38:$K$38,0)
),"")</f>
        <v>309</v>
      </c>
      <c r="N77" s="14">
        <f>$M$77</f>
        <v>309</v>
      </c>
      <c r="O77" s="15">
        <f t="shared" ref="O77:S77" si="39">$M$77</f>
        <v>309</v>
      </c>
      <c r="P77" s="15">
        <f t="shared" si="39"/>
        <v>309</v>
      </c>
      <c r="Q77" s="15">
        <f t="shared" si="39"/>
        <v>309</v>
      </c>
      <c r="R77" s="15">
        <f t="shared" si="39"/>
        <v>309</v>
      </c>
      <c r="S77" s="13">
        <f t="shared" si="39"/>
        <v>309</v>
      </c>
    </row>
    <row r="78" spans="1:19" x14ac:dyDescent="0.15">
      <c r="A78" t="s">
        <v>133</v>
      </c>
      <c r="C78" t="s">
        <v>270</v>
      </c>
      <c r="D78">
        <f>IFERROR(
INDEX('Huntsman Raw'!$B$41:$K$100,
MATCH(TRIM($A78),'Huntsman Raw'!$M$41:$M$100,0),
MATCH(D$33,'Huntsman Raw'!$B$38:$K$38,0)
),"")</f>
        <v>885</v>
      </c>
      <c r="E78">
        <f>IFERROR(
INDEX('Huntsman Raw'!$B$41:$K$100,
MATCH(TRIM($A78),'Huntsman Raw'!$M$41:$M$100,0),
MATCH(E$33,'Huntsman Raw'!$B$38:$K$38,0)
),"")</f>
        <v>705</v>
      </c>
      <c r="F78">
        <f>IFERROR(
INDEX('Huntsman Raw'!$B$41:$K$100,
MATCH(TRIM($A78),'Huntsman Raw'!$M$41:$M$100,0),
MATCH(F$33,'Huntsman Raw'!$B$38:$K$38,0)
),"")</f>
        <v>877</v>
      </c>
      <c r="G78">
        <f>IFERROR(
INDEX('Huntsman Raw'!$B$41:$K$100,
MATCH(TRIM($A78),'Huntsman Raw'!$M$41:$M$100,0),
MATCH(G$33,'Huntsman Raw'!$B$38:$K$38,0)
),"")</f>
        <v>744</v>
      </c>
      <c r="H78">
        <f>IFERROR(
INDEX('Huntsman Raw'!$B$41:$K$100,
MATCH(TRIM($A78),'Huntsman Raw'!$M$41:$M$100,0),
MATCH(H$33,'Huntsman Raw'!$B$38:$K$38,0)
),"")</f>
        <v>836</v>
      </c>
      <c r="I78">
        <f>IFERROR(
INDEX('Huntsman Raw'!$B$41:$K$100,
MATCH(TRIM($A78),'Huntsman Raw'!$M$41:$M$100,0),
MATCH(I$33,'Huntsman Raw'!$B$38:$K$38,0)
),"")</f>
        <v>896</v>
      </c>
      <c r="J78">
        <f>IFERROR(
INDEX('Huntsman Raw'!$B$41:$K$100,
MATCH(TRIM($A78),'Huntsman Raw'!$M$41:$M$100,0),
MATCH(J$33,'Huntsman Raw'!$B$38:$K$38,0)
),"")</f>
        <v>833</v>
      </c>
      <c r="K78">
        <f>IFERROR(
INDEX('Huntsman Raw'!$B$41:$K$100,
MATCH(TRIM($A78),'Huntsman Raw'!$M$41:$M$100,0),
MATCH(K$33,'Huntsman Raw'!$B$38:$K$38,0)
),"")</f>
        <v>723</v>
      </c>
      <c r="L78">
        <f>IFERROR(
INDEX('Huntsman Raw'!$B$41:$K$100,
MATCH(TRIM($A78),'Huntsman Raw'!$M$41:$M$100,0),
MATCH(L$33,'Huntsman Raw'!$B$38:$K$38,0)
),"")</f>
        <v>791</v>
      </c>
      <c r="M78">
        <f>IFERROR(
INDEX('Huntsman Raw'!$B$41:$K$100,
MATCH(TRIM($A78),'Huntsman Raw'!$M$41:$M$100,0),
MATCH(M$33,'Huntsman Raw'!$B$38:$K$38,0)
),"")</f>
        <v>853</v>
      </c>
      <c r="N78" s="98">
        <f t="shared" ref="N78:S78" si="40">N$35*N$25</f>
        <v>922.96580060000008</v>
      </c>
      <c r="O78" s="39">
        <f t="shared" si="40"/>
        <v>992.18823564500008</v>
      </c>
      <c r="P78" s="39">
        <f t="shared" si="40"/>
        <v>1073.5476709678903</v>
      </c>
      <c r="Q78" s="39">
        <f t="shared" si="40"/>
        <v>1135.813435884028</v>
      </c>
      <c r="R78" s="39">
        <f t="shared" si="40"/>
        <v>1210.7771226523737</v>
      </c>
      <c r="S78" s="99">
        <f t="shared" si="40"/>
        <v>1283.4237500115162</v>
      </c>
    </row>
    <row r="79" spans="1:19" x14ac:dyDescent="0.15">
      <c r="A79" t="s">
        <v>134</v>
      </c>
      <c r="C79" t="s">
        <v>237</v>
      </c>
      <c r="D79">
        <f>IFERROR(
INDEX('Huntsman Raw'!$B$41:$K$100,
MATCH(TRIM($A79),'Huntsman Raw'!$M$41:$M$100,0),
MATCH(D$33,'Huntsman Raw'!$B$38:$K$38,0)
),"")</f>
        <v>0</v>
      </c>
      <c r="E79">
        <f>IFERROR(
INDEX('Huntsman Raw'!$B$41:$K$100,
MATCH(TRIM($A79),'Huntsman Raw'!$M$41:$M$100,0),
MATCH(E$33,'Huntsman Raw'!$B$38:$K$38,0)
),"")</f>
        <v>0</v>
      </c>
      <c r="F79">
        <f>IFERROR(
INDEX('Huntsman Raw'!$B$41:$K$100,
MATCH(TRIM($A79),'Huntsman Raw'!$M$41:$M$100,0),
MATCH(F$33,'Huntsman Raw'!$B$38:$K$38,0)
),"")</f>
        <v>0</v>
      </c>
      <c r="G79">
        <f>IFERROR(
INDEX('Huntsman Raw'!$B$41:$K$100,
MATCH(TRIM($A79),'Huntsman Raw'!$M$41:$M$100,0),
MATCH(G$33,'Huntsman Raw'!$B$38:$K$38,0)
),"")</f>
        <v>0</v>
      </c>
      <c r="H79">
        <f>IFERROR(
INDEX('Huntsman Raw'!$B$41:$K$100,
MATCH(TRIM($A79),'Huntsman Raw'!$M$41:$M$100,0),
MATCH(H$33,'Huntsman Raw'!$B$38:$K$38,0)
),"")</f>
        <v>0</v>
      </c>
      <c r="I79">
        <f>IFERROR(
INDEX('Huntsman Raw'!$B$41:$K$100,
MATCH(TRIM($A79),'Huntsman Raw'!$M$41:$M$100,0),
MATCH(I$33,'Huntsman Raw'!$B$38:$K$38,0)
),"")</f>
        <v>0</v>
      </c>
      <c r="J79">
        <f>IFERROR(
INDEX('Huntsman Raw'!$B$41:$K$100,
MATCH(TRIM($A79),'Huntsman Raw'!$M$41:$M$100,0),
MATCH(J$33,'Huntsman Raw'!$B$38:$K$38,0)
),"")</f>
        <v>0</v>
      </c>
      <c r="K79">
        <f>IFERROR(
INDEX('Huntsman Raw'!$B$41:$K$100,
MATCH(TRIM($A79),'Huntsman Raw'!$M$41:$M$100,0),
MATCH(K$33,'Huntsman Raw'!$B$38:$K$38,0)
),"")</f>
        <v>0</v>
      </c>
      <c r="L79">
        <f>IFERROR(
INDEX('Huntsman Raw'!$B$41:$K$100,
MATCH(TRIM($A79),'Huntsman Raw'!$M$41:$M$100,0),
MATCH(L$33,'Huntsman Raw'!$B$38:$K$38,0)
),"")</f>
        <v>0</v>
      </c>
      <c r="M79">
        <f>IFERROR(
INDEX('Huntsman Raw'!$B$41:$K$100,
MATCH(TRIM($A79),'Huntsman Raw'!$M$41:$M$100,0),
MATCH(M$33,'Huntsman Raw'!$B$38:$K$38,0)
),"")</f>
        <v>0</v>
      </c>
      <c r="N79" s="14">
        <f>AVERAGE($D$79:$M$79)</f>
        <v>0</v>
      </c>
      <c r="O79" s="15">
        <f t="shared" ref="O79:S79" si="41">AVERAGE($D$79:$M$79)</f>
        <v>0</v>
      </c>
      <c r="P79" s="15">
        <f t="shared" si="41"/>
        <v>0</v>
      </c>
      <c r="Q79" s="15">
        <f t="shared" si="41"/>
        <v>0</v>
      </c>
      <c r="R79" s="15">
        <f t="shared" si="41"/>
        <v>0</v>
      </c>
      <c r="S79" s="13">
        <f t="shared" si="41"/>
        <v>0</v>
      </c>
    </row>
    <row r="80" spans="1:19" ht="14" thickBot="1" x14ac:dyDescent="0.2">
      <c r="A80" t="s">
        <v>135</v>
      </c>
      <c r="C80" s="133" t="s">
        <v>135</v>
      </c>
      <c r="D80" s="133">
        <f>IFERROR(
INDEX('Huntsman Raw'!$B$41:$K$100,
MATCH(TRIM($A80),'Huntsman Raw'!$M$41:$M$100,0),
MATCH(D$33,'Huntsman Raw'!$B$38:$K$38,0)
),"")</f>
        <v>9189</v>
      </c>
      <c r="E80" s="133">
        <f>IFERROR(
INDEX('Huntsman Raw'!$B$41:$K$100,
MATCH(TRIM($A80),'Huntsman Raw'!$M$41:$M$100,0),
MATCH(E$33,'Huntsman Raw'!$B$38:$K$38,0)
),"")</f>
        <v>10244</v>
      </c>
      <c r="F80" s="133">
        <f>IFERROR(
INDEX('Huntsman Raw'!$B$41:$K$100,
MATCH(TRIM($A80),'Huntsman Raw'!$M$41:$M$100,0),
MATCH(F$33,'Huntsman Raw'!$B$38:$K$38,0)
),"")</f>
        <v>7953</v>
      </c>
      <c r="G80" s="133">
        <f>IFERROR(
INDEX('Huntsman Raw'!$B$41:$K$100,
MATCH(TRIM($A80),'Huntsman Raw'!$M$41:$M$100,0),
MATCH(G$33,'Huntsman Raw'!$B$38:$K$38,0)
),"")</f>
        <v>8320</v>
      </c>
      <c r="H80" s="133">
        <f>IFERROR(
INDEX('Huntsman Raw'!$B$41:$K$100,
MATCH(TRIM($A80),'Huntsman Raw'!$M$41:$M$100,0),
MATCH(H$33,'Huntsman Raw'!$B$38:$K$38,0)
),"")</f>
        <v>8713</v>
      </c>
      <c r="I80" s="133">
        <f>IFERROR(
INDEX('Huntsman Raw'!$B$41:$K$100,
MATCH(TRIM($A80),'Huntsman Raw'!$M$41:$M$100,0),
MATCH(I$33,'Huntsman Raw'!$B$38:$K$38,0)
),"")</f>
        <v>9392</v>
      </c>
      <c r="J80" s="133">
        <f>IFERROR(
INDEX('Huntsman Raw'!$B$41:$K$100,
MATCH(TRIM($A80),'Huntsman Raw'!$M$41:$M$100,0),
MATCH(J$33,'Huntsman Raw'!$B$38:$K$38,0)
),"")</f>
        <v>8220</v>
      </c>
      <c r="K80" s="133">
        <f>IFERROR(
INDEX('Huntsman Raw'!$B$41:$K$100,
MATCH(TRIM($A80),'Huntsman Raw'!$M$41:$M$100,0),
MATCH(K$33,'Huntsman Raw'!$B$38:$K$38,0)
),"")</f>
        <v>7248</v>
      </c>
      <c r="L80" s="133">
        <f>IFERROR(
INDEX('Huntsman Raw'!$B$41:$K$100,
MATCH(TRIM($A80),'Huntsman Raw'!$M$41:$M$100,0),
MATCH(L$33,'Huntsman Raw'!$B$38:$K$38,0)
),"")</f>
        <v>7114</v>
      </c>
      <c r="M80" s="133">
        <f>IFERROR(
INDEX('Huntsman Raw'!$B$41:$K$100,
MATCH(TRIM($A80),'Huntsman Raw'!$M$41:$M$100,0),
MATCH(M$33,'Huntsman Raw'!$B$38:$K$38,0)
),"")</f>
        <v>7015</v>
      </c>
      <c r="N80" s="134">
        <f>N$70+N$74+N$75+N$76+N$77+N$78</f>
        <v>7069.4845629879455</v>
      </c>
      <c r="O80" s="135">
        <f t="shared" ref="O80:S80" si="42">O$70+O$74+O$75+O$76+O$77+O$78</f>
        <v>7151.3965472813579</v>
      </c>
      <c r="P80" s="135">
        <f t="shared" si="42"/>
        <v>7411.3770384958061</v>
      </c>
      <c r="Q80" s="135">
        <f t="shared" si="42"/>
        <v>7777.8381255395425</v>
      </c>
      <c r="R80" s="135">
        <f t="shared" si="42"/>
        <v>8297.5130289509179</v>
      </c>
      <c r="S80" s="136">
        <f t="shared" si="42"/>
        <v>8894.1616635150003</v>
      </c>
    </row>
    <row r="81" spans="1:20" ht="14" thickTop="1" x14ac:dyDescent="0.1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96"/>
      <c r="O81" s="57"/>
      <c r="P81" s="57"/>
      <c r="Q81" s="57"/>
      <c r="R81" s="57"/>
      <c r="S81" s="97"/>
    </row>
    <row r="82" spans="1:20" x14ac:dyDescent="0.15">
      <c r="A82" t="s">
        <v>136</v>
      </c>
      <c r="C82" t="s">
        <v>136</v>
      </c>
      <c r="D82">
        <f>IFERROR(
INDEX('Huntsman Raw'!$B$41:$K$100,
MATCH(TRIM($A82),'Huntsman Raw'!$M$41:$M$100,0),
MATCH(D$33,'Huntsman Raw'!$B$38:$K$38,0)
),"")</f>
        <v>1102</v>
      </c>
      <c r="E82">
        <f>IFERROR(
INDEX('Huntsman Raw'!$B$41:$K$100,
MATCH(TRIM($A82),'Huntsman Raw'!$M$41:$M$100,0),
MATCH(E$33,'Huntsman Raw'!$B$38:$K$38,0)
),"")</f>
        <v>964</v>
      </c>
      <c r="F82">
        <f>IFERROR(
INDEX('Huntsman Raw'!$B$41:$K$100,
MATCH(TRIM($A82),'Huntsman Raw'!$M$41:$M$100,0),
MATCH(F$33,'Huntsman Raw'!$B$38:$K$38,0)
),"")</f>
        <v>961</v>
      </c>
      <c r="G82">
        <f>IFERROR(
INDEX('Huntsman Raw'!$B$41:$K$100,
MATCH(TRIM($A82),'Huntsman Raw'!$M$41:$M$100,0),
MATCH(G$33,'Huntsman Raw'!$B$38:$K$38,0)
),"")</f>
        <v>822</v>
      </c>
      <c r="H82">
        <f>IFERROR(
INDEX('Huntsman Raw'!$B$41:$K$100,
MATCH(TRIM($A82),'Huntsman Raw'!$M$41:$M$100,0),
MATCH(H$33,'Huntsman Raw'!$B$38:$K$38,0)
),"")</f>
        <v>876</v>
      </c>
      <c r="I82">
        <f>IFERROR(
INDEX('Huntsman Raw'!$B$41:$K$100,
MATCH(TRIM($A82),'Huntsman Raw'!$M$41:$M$100,0),
MATCH(I$33,'Huntsman Raw'!$B$38:$K$38,0)
),"")</f>
        <v>1208</v>
      </c>
      <c r="J82">
        <f>IFERROR(
INDEX('Huntsman Raw'!$B$41:$K$100,
MATCH(TRIM($A82),'Huntsman Raw'!$M$41:$M$100,0),
MATCH(J$33,'Huntsman Raw'!$B$38:$K$38,0)
),"")</f>
        <v>961</v>
      </c>
      <c r="K82">
        <f>IFERROR(
INDEX('Huntsman Raw'!$B$41:$K$100,
MATCH(TRIM($A82),'Huntsman Raw'!$M$41:$M$100,0),
MATCH(K$33,'Huntsman Raw'!$B$38:$K$38,0)
),"")</f>
        <v>719</v>
      </c>
      <c r="L82">
        <f>IFERROR(
INDEX('Huntsman Raw'!$B$41:$K$100,
MATCH(TRIM($A82),'Huntsman Raw'!$M$41:$M$100,0),
MATCH(L$33,'Huntsman Raw'!$B$38:$K$38,0)
),"")</f>
        <v>770</v>
      </c>
      <c r="M82">
        <f>IFERROR(
INDEX('Huntsman Raw'!$B$41:$K$100,
MATCH(TRIM($A82),'Huntsman Raw'!$M$41:$M$100,0),
MATCH(M$33,'Huntsman Raw'!$B$38:$K$38,0)
),"")</f>
        <v>721</v>
      </c>
      <c r="N82" s="98">
        <f t="shared" ref="N82:S82" si="43">N$37*N$18 / 365</f>
        <v>763.40330654794514</v>
      </c>
      <c r="O82" s="39">
        <f t="shared" si="43"/>
        <v>806.26103603835611</v>
      </c>
      <c r="P82" s="39">
        <f t="shared" si="43"/>
        <v>842.25675195920189</v>
      </c>
      <c r="Q82" s="39">
        <f t="shared" si="43"/>
        <v>866.93456322930638</v>
      </c>
      <c r="R82" s="39">
        <f t="shared" si="43"/>
        <v>906.58281009821178</v>
      </c>
      <c r="S82" s="99">
        <f t="shared" si="43"/>
        <v>953.52833855911138</v>
      </c>
    </row>
    <row r="83" spans="1:20" x14ac:dyDescent="0.15">
      <c r="A83" t="s">
        <v>138</v>
      </c>
      <c r="C83" t="s">
        <v>138</v>
      </c>
      <c r="D83">
        <f>IFERROR(
INDEX('Huntsman Raw'!$B$41:$K$100,
MATCH(TRIM($A83),'Huntsman Raw'!$M$41:$M$100,0),
MATCH(D$33,'Huntsman Raw'!$B$38:$K$38,0)
),"")</f>
        <v>565</v>
      </c>
      <c r="E83">
        <f>IFERROR(
INDEX('Huntsman Raw'!$B$41:$K$100,
MATCH(TRIM($A83),'Huntsman Raw'!$M$41:$M$100,0),
MATCH(E$33,'Huntsman Raw'!$B$38:$K$38,0)
),"")</f>
        <v>485</v>
      </c>
      <c r="F83">
        <f>IFERROR(
INDEX('Huntsman Raw'!$B$41:$K$100,
MATCH(TRIM($A83),'Huntsman Raw'!$M$41:$M$100,0),
MATCH(F$33,'Huntsman Raw'!$B$38:$K$38,0)
),"")</f>
        <v>451</v>
      </c>
      <c r="G83">
        <f>IFERROR(
INDEX('Huntsman Raw'!$B$41:$K$100,
MATCH(TRIM($A83),'Huntsman Raw'!$M$41:$M$100,0),
MATCH(G$33,'Huntsman Raw'!$B$38:$K$38,0)
),"")</f>
        <v>403</v>
      </c>
      <c r="H83">
        <f>IFERROR(
INDEX('Huntsman Raw'!$B$41:$K$100,
MATCH(TRIM($A83),'Huntsman Raw'!$M$41:$M$100,0),
MATCH(H$33,'Huntsman Raw'!$B$38:$K$38,0)
),"")</f>
        <v>437</v>
      </c>
      <c r="I83">
        <f>IFERROR(
INDEX('Huntsman Raw'!$B$41:$K$100,
MATCH(TRIM($A83),'Huntsman Raw'!$M$41:$M$100,0),
MATCH(I$33,'Huntsman Raw'!$B$38:$K$38,0)
),"")</f>
        <v>696</v>
      </c>
      <c r="J83">
        <f>IFERROR(
INDEX('Huntsman Raw'!$B$41:$K$100,
MATCH(TRIM($A83),'Huntsman Raw'!$M$41:$M$100,0),
MATCH(J$33,'Huntsman Raw'!$B$38:$K$38,0)
),"")</f>
        <v>412</v>
      </c>
      <c r="K83">
        <f>IFERROR(
INDEX('Huntsman Raw'!$B$41:$K$100,
MATCH(TRIM($A83),'Huntsman Raw'!$M$41:$M$100,0),
MATCH(K$33,'Huntsman Raw'!$B$38:$K$38,0)
),"")</f>
        <v>374</v>
      </c>
      <c r="L83">
        <f>IFERROR(
INDEX('Huntsman Raw'!$B$41:$K$100,
MATCH(TRIM($A83),'Huntsman Raw'!$M$41:$M$100,0),
MATCH(L$33,'Huntsman Raw'!$B$38:$K$38,0)
),"")</f>
        <v>392</v>
      </c>
      <c r="M83">
        <f>IFERROR(
INDEX('Huntsman Raw'!$B$41:$K$100,
MATCH(TRIM($A83),'Huntsman Raw'!$M$41:$M$100,0),
MATCH(M$33,'Huntsman Raw'!$B$38:$K$38,0)
),"")</f>
        <v>483</v>
      </c>
      <c r="N83" s="98">
        <f t="shared" ref="N83:S83" si="44">N$35*N$21</f>
        <v>522.66551000000004</v>
      </c>
      <c r="O83" s="39">
        <f t="shared" si="44"/>
        <v>561.86542325000005</v>
      </c>
      <c r="P83" s="39">
        <f t="shared" si="44"/>
        <v>607.93838795650015</v>
      </c>
      <c r="Q83" s="39">
        <f t="shared" si="44"/>
        <v>643.19881445797716</v>
      </c>
      <c r="R83" s="39">
        <f t="shared" si="44"/>
        <v>685.64993621220367</v>
      </c>
      <c r="S83" s="99">
        <f t="shared" si="44"/>
        <v>726.78893238493583</v>
      </c>
    </row>
    <row r="84" spans="1:20" x14ac:dyDescent="0.15">
      <c r="A84" t="s">
        <v>139</v>
      </c>
      <c r="C84" t="s">
        <v>271</v>
      </c>
      <c r="D84">
        <f>IFERROR(
INDEX('Huntsman Raw'!$B$41:$K$100,
MATCH(TRIM($A84),'Huntsman Raw'!$M$41:$M$100,0),
MATCH(D$33,'Huntsman Raw'!$B$38:$K$38,0)
),"")</f>
        <v>60</v>
      </c>
      <c r="E84">
        <f>IFERROR(
INDEX('Huntsman Raw'!$B$41:$K$100,
MATCH(TRIM($A84),'Huntsman Raw'!$M$41:$M$100,0),
MATCH(E$33,'Huntsman Raw'!$B$38:$K$38,0)
),"")</f>
        <v>40</v>
      </c>
      <c r="F84">
        <f>IFERROR(
INDEX('Huntsman Raw'!$B$41:$K$100,
MATCH(TRIM($A84),'Huntsman Raw'!$M$41:$M$100,0),
MATCH(F$33,'Huntsman Raw'!$B$38:$K$38,0)
),"")</f>
        <v>96</v>
      </c>
      <c r="G84">
        <f>IFERROR(
INDEX('Huntsman Raw'!$B$41:$K$100,
MATCH(TRIM($A84),'Huntsman Raw'!$M$41:$M$100,0),
MATCH(G$33,'Huntsman Raw'!$B$38:$K$38,0)
),"")</f>
        <v>212</v>
      </c>
      <c r="H84">
        <f>IFERROR(
INDEX('Huntsman Raw'!$B$41:$K$100,
MATCH(TRIM($A84),'Huntsman Raw'!$M$41:$M$100,0),
MATCH(H$33,'Huntsman Raw'!$B$38:$K$38,0)
),"")</f>
        <v>593</v>
      </c>
      <c r="I84">
        <f>IFERROR(
INDEX('Huntsman Raw'!$B$41:$K$100,
MATCH(TRIM($A84),'Huntsman Raw'!$M$41:$M$100,0),
MATCH(I$33,'Huntsman Raw'!$B$38:$K$38,0)
),"")</f>
        <v>12</v>
      </c>
      <c r="J84">
        <f>IFERROR(
INDEX('Huntsman Raw'!$B$41:$K$100,
MATCH(TRIM($A84),'Huntsman Raw'!$M$41:$M$100,0),
MATCH(J$33,'Huntsman Raw'!$B$38:$K$38,0)
),"")</f>
        <v>66</v>
      </c>
      <c r="K84">
        <f>IFERROR(
INDEX('Huntsman Raw'!$B$41:$K$100,
MATCH(TRIM($A84),'Huntsman Raw'!$M$41:$M$100,0),
MATCH(K$33,'Huntsman Raw'!$B$38:$K$38,0)
),"")</f>
        <v>12</v>
      </c>
      <c r="L84">
        <f>IFERROR(
INDEX('Huntsman Raw'!$B$41:$K$100,
MATCH(TRIM($A84),'Huntsman Raw'!$M$41:$M$100,0),
MATCH(L$33,'Huntsman Raw'!$B$38:$K$38,0)
),"")</f>
        <v>325</v>
      </c>
      <c r="M84">
        <f>IFERROR(
INDEX('Huntsman Raw'!$B$41:$K$100,
MATCH(TRIM($A84),'Huntsman Raw'!$M$41:$M$100,0),
MATCH(M$33,'Huntsman Raw'!$B$38:$K$38,0)
),"")</f>
        <v>353</v>
      </c>
      <c r="N84" s="3">
        <f>'Huntsman Debt'!D37</f>
        <v>59</v>
      </c>
      <c r="O84">
        <f>'Huntsman Debt'!E37</f>
        <v>93</v>
      </c>
      <c r="P84">
        <f>'Huntsman Debt'!F37</f>
        <v>750</v>
      </c>
      <c r="Q84">
        <f>'Huntsman Debt'!G37</f>
        <v>0</v>
      </c>
      <c r="R84">
        <f>'Huntsman Debt'!H37</f>
        <v>743</v>
      </c>
      <c r="S84" s="5">
        <f>'Huntsman Debt'!I37</f>
        <v>0</v>
      </c>
    </row>
    <row r="85" spans="1:20" x14ac:dyDescent="0.15">
      <c r="A85" t="s">
        <v>140</v>
      </c>
      <c r="C85" t="s">
        <v>386</v>
      </c>
      <c r="D85">
        <f>IFERROR(
INDEX('Huntsman Raw'!$B$41:$K$100,
MATCH(TRIM($A85),'Huntsman Raw'!$M$41:$M$100,0),
MATCH(D$33,'Huntsman Raw'!$B$38:$K$38,0)
),"")</f>
        <v>0</v>
      </c>
      <c r="E85">
        <f>IFERROR(
INDEX('Huntsman Raw'!$B$41:$K$100,
MATCH(TRIM($A85),'Huntsman Raw'!$M$41:$M$100,0),
MATCH(E$33,'Huntsman Raw'!$B$38:$K$38,0)
),"")</f>
        <v>0</v>
      </c>
      <c r="F85">
        <f>IFERROR(
INDEX('Huntsman Raw'!$B$41:$K$100,
MATCH(TRIM($A85),'Huntsman Raw'!$M$41:$M$100,0),
MATCH(F$33,'Huntsman Raw'!$B$38:$K$38,0)
),"")</f>
        <v>0</v>
      </c>
      <c r="G85">
        <f>IFERROR(
INDEX('Huntsman Raw'!$B$41:$K$100,
MATCH(TRIM($A85),'Huntsman Raw'!$M$41:$M$100,0),
MATCH(G$33,'Huntsman Raw'!$B$38:$K$38,0)
),"")</f>
        <v>0</v>
      </c>
      <c r="H85">
        <f>IFERROR(
INDEX('Huntsman Raw'!$B$41:$K$100,
MATCH(TRIM($A85),'Huntsman Raw'!$M$41:$M$100,0),
MATCH(H$33,'Huntsman Raw'!$B$38:$K$38,0)
),"")</f>
        <v>0</v>
      </c>
      <c r="I85">
        <f>IFERROR(
INDEX('Huntsman Raw'!$B$41:$K$100,
MATCH(TRIM($A85),'Huntsman Raw'!$M$41:$M$100,0),
MATCH(I$33,'Huntsman Raw'!$B$38:$K$38,0)
),"")</f>
        <v>0</v>
      </c>
      <c r="J85">
        <f>IFERROR(
INDEX('Huntsman Raw'!$B$41:$K$100,
MATCH(TRIM($A85),'Huntsman Raw'!$M$41:$M$100,0),
MATCH(J$33,'Huntsman Raw'!$B$38:$K$38,0)
),"")</f>
        <v>0</v>
      </c>
      <c r="K85">
        <f>IFERROR(
INDEX('Huntsman Raw'!$B$41:$K$100,
MATCH(TRIM($A85),'Huntsman Raw'!$M$41:$M$100,0),
MATCH(K$33,'Huntsman Raw'!$B$38:$K$38,0)
),"")</f>
        <v>0</v>
      </c>
      <c r="L85">
        <f>IFERROR(
INDEX('Huntsman Raw'!$B$41:$K$100,
MATCH(TRIM($A85),'Huntsman Raw'!$M$41:$M$100,0),
MATCH(L$33,'Huntsman Raw'!$B$38:$K$38,0)
),"")</f>
        <v>0</v>
      </c>
      <c r="M85">
        <f>IFERROR(
INDEX('Huntsman Raw'!$B$41:$K$100,
MATCH(TRIM($A85),'Huntsman Raw'!$M$41:$M$100,0),
MATCH(M$33,'Huntsman Raw'!$B$38:$K$38,0)
),"")</f>
        <v>0</v>
      </c>
      <c r="N85" s="122">
        <v>0</v>
      </c>
      <c r="O85" s="55">
        <f>$N$85</f>
        <v>0</v>
      </c>
      <c r="P85" s="55">
        <f t="shared" ref="P85:S85" si="45">$N$85</f>
        <v>0</v>
      </c>
      <c r="Q85" s="55">
        <f t="shared" si="45"/>
        <v>0</v>
      </c>
      <c r="R85" s="55">
        <f t="shared" si="45"/>
        <v>0</v>
      </c>
      <c r="S85" s="103">
        <f t="shared" si="45"/>
        <v>0</v>
      </c>
    </row>
    <row r="86" spans="1:20" x14ac:dyDescent="0.15">
      <c r="A86" t="s">
        <v>141</v>
      </c>
      <c r="C86" t="s">
        <v>238</v>
      </c>
      <c r="D86">
        <f>IFERROR(
INDEX('Huntsman Raw'!$B$41:$K$100,
MATCH(TRIM($A86),'Huntsman Raw'!$M$41:$M$100,0),
MATCH(D$33,'Huntsman Raw'!$B$38:$K$38,0)
),"")</f>
        <v>51</v>
      </c>
      <c r="E86">
        <f>IFERROR(
INDEX('Huntsman Raw'!$B$41:$K$100,
MATCH(TRIM($A86),'Huntsman Raw'!$M$41:$M$100,0),
MATCH(E$33,'Huntsman Raw'!$B$38:$K$38,0)
),"")</f>
        <v>1776</v>
      </c>
      <c r="F86">
        <f>IFERROR(
INDEX('Huntsman Raw'!$B$41:$K$100,
MATCH(TRIM($A86),'Huntsman Raw'!$M$41:$M$100,0),
MATCH(F$33,'Huntsman Raw'!$B$38:$K$38,0)
),"")</f>
        <v>103</v>
      </c>
      <c r="G86">
        <f>IFERROR(
INDEX('Huntsman Raw'!$B$41:$K$100,
MATCH(TRIM($A86),'Huntsman Raw'!$M$41:$M$100,0),
MATCH(G$33,'Huntsman Raw'!$B$38:$K$38,0)
),"")</f>
        <v>571</v>
      </c>
      <c r="H86">
        <f>IFERROR(
INDEX('Huntsman Raw'!$B$41:$K$100,
MATCH(TRIM($A86),'Huntsman Raw'!$M$41:$M$100,0),
MATCH(H$33,'Huntsman Raw'!$B$38:$K$38,0)
),"")</f>
        <v>73</v>
      </c>
      <c r="I86">
        <f>IFERROR(
INDEX('Huntsman Raw'!$B$41:$K$100,
MATCH(TRIM($A86),'Huntsman Raw'!$M$41:$M$100,0),
MATCH(I$33,'Huntsman Raw'!$B$38:$K$38,0)
),"")</f>
        <v>135</v>
      </c>
      <c r="J86">
        <f>IFERROR(
INDEX('Huntsman Raw'!$B$41:$K$100,
MATCH(TRIM($A86),'Huntsman Raw'!$M$41:$M$100,0),
MATCH(J$33,'Huntsman Raw'!$B$38:$K$38,0)
),"")</f>
        <v>262</v>
      </c>
      <c r="K86">
        <f>IFERROR(
INDEX('Huntsman Raw'!$B$41:$K$100,
MATCH(TRIM($A86),'Huntsman Raw'!$M$41:$M$100,0),
MATCH(K$33,'Huntsman Raw'!$B$38:$K$38,0)
),"")</f>
        <v>67</v>
      </c>
      <c r="L86">
        <f>IFERROR(
INDEX('Huntsman Raw'!$B$41:$K$100,
MATCH(TRIM($A86),'Huntsman Raw'!$M$41:$M$100,0),
MATCH(L$33,'Huntsman Raw'!$B$38:$K$38,0)
),"")</f>
        <v>78</v>
      </c>
      <c r="M86">
        <f>IFERROR(
INDEX('Huntsman Raw'!$B$41:$K$100,
MATCH(TRIM($A86),'Huntsman Raw'!$M$41:$M$100,0),
MATCH(M$33,'Huntsman Raw'!$B$38:$K$38,0)
),"")</f>
        <v>32</v>
      </c>
      <c r="N86" s="98">
        <f t="shared" ref="N86:S86" si="46">N$35*N$22</f>
        <v>34.434433599999998</v>
      </c>
      <c r="O86" s="39">
        <f t="shared" si="46"/>
        <v>37.017016120000001</v>
      </c>
      <c r="P86" s="39">
        <f t="shared" si="46"/>
        <v>40.052411441840007</v>
      </c>
      <c r="Q86" s="39">
        <f t="shared" si="46"/>
        <v>42.375451305466726</v>
      </c>
      <c r="R86" s="39">
        <f t="shared" si="46"/>
        <v>45.17223109162753</v>
      </c>
      <c r="S86" s="99">
        <f t="shared" si="46"/>
        <v>47.882564957125183</v>
      </c>
    </row>
    <row r="87" spans="1:20" s="48" customFormat="1" x14ac:dyDescent="0.15">
      <c r="A87" s="48" t="s">
        <v>142</v>
      </c>
      <c r="C87" s="88" t="s">
        <v>142</v>
      </c>
      <c r="D87" s="88">
        <f>IFERROR(
INDEX('Huntsman Raw'!$B$41:$K$100,
MATCH(TRIM($A87),'Huntsman Raw'!$M$41:$M$100,0),
MATCH(D$33,'Huntsman Raw'!$B$38:$K$38,0)
),"")</f>
        <v>1778</v>
      </c>
      <c r="E87" s="88">
        <f>IFERROR(
INDEX('Huntsman Raw'!$B$41:$K$100,
MATCH(TRIM($A87),'Huntsman Raw'!$M$41:$M$100,0),
MATCH(E$33,'Huntsman Raw'!$B$38:$K$38,0)
),"")</f>
        <v>3265</v>
      </c>
      <c r="F87" s="88">
        <f>IFERROR(
INDEX('Huntsman Raw'!$B$41:$K$100,
MATCH(TRIM($A87),'Huntsman Raw'!$M$41:$M$100,0),
MATCH(F$33,'Huntsman Raw'!$B$38:$K$38,0)
),"")</f>
        <v>1611</v>
      </c>
      <c r="G87" s="88">
        <f>IFERROR(
INDEX('Huntsman Raw'!$B$41:$K$100,
MATCH(TRIM($A87),'Huntsman Raw'!$M$41:$M$100,0),
MATCH(G$33,'Huntsman Raw'!$B$38:$K$38,0)
),"")</f>
        <v>2008</v>
      </c>
      <c r="H87" s="88">
        <f>IFERROR(
INDEX('Huntsman Raw'!$B$41:$K$100,
MATCH(TRIM($A87),'Huntsman Raw'!$M$41:$M$100,0),
MATCH(H$33,'Huntsman Raw'!$B$38:$K$38,0)
),"")</f>
        <v>1979</v>
      </c>
      <c r="I87" s="88">
        <f>IFERROR(
INDEX('Huntsman Raw'!$B$41:$K$100,
MATCH(TRIM($A87),'Huntsman Raw'!$M$41:$M$100,0),
MATCH(I$33,'Huntsman Raw'!$B$38:$K$38,0)
),"")</f>
        <v>2051</v>
      </c>
      <c r="J87" s="88">
        <f>IFERROR(
INDEX('Huntsman Raw'!$B$41:$K$100,
MATCH(TRIM($A87),'Huntsman Raw'!$M$41:$M$100,0),
MATCH(J$33,'Huntsman Raw'!$B$38:$K$38,0)
),"")</f>
        <v>1701</v>
      </c>
      <c r="K87" s="88">
        <f>IFERROR(
INDEX('Huntsman Raw'!$B$41:$K$100,
MATCH(TRIM($A87),'Huntsman Raw'!$M$41:$M$100,0),
MATCH(K$33,'Huntsman Raw'!$B$38:$K$38,0)
),"")</f>
        <v>1172</v>
      </c>
      <c r="L87" s="88">
        <f>IFERROR(
INDEX('Huntsman Raw'!$B$41:$K$100,
MATCH(TRIM($A87),'Huntsman Raw'!$M$41:$M$100,0),
MATCH(L$33,'Huntsman Raw'!$B$38:$K$38,0)
),"")</f>
        <v>1565</v>
      </c>
      <c r="M87" s="88">
        <f>IFERROR(
INDEX('Huntsman Raw'!$B$41:$K$100,
MATCH(TRIM($A87),'Huntsman Raw'!$M$41:$M$100,0),
MATCH(M$33,'Huntsman Raw'!$B$38:$K$38,0)
),"")</f>
        <v>1589</v>
      </c>
      <c r="N87" s="94">
        <f>SUM(N82:N86)</f>
        <v>1379.503250147945</v>
      </c>
      <c r="O87" s="89">
        <f t="shared" ref="O87:S87" si="47">SUM(O82:O86)</f>
        <v>1498.1434754083564</v>
      </c>
      <c r="P87" s="89">
        <f t="shared" si="47"/>
        <v>2240.2475513575419</v>
      </c>
      <c r="Q87" s="89">
        <f t="shared" si="47"/>
        <v>1552.5088289927501</v>
      </c>
      <c r="R87" s="89">
        <f t="shared" si="47"/>
        <v>2380.4049774020432</v>
      </c>
      <c r="S87" s="95">
        <f t="shared" si="47"/>
        <v>1728.1998359011725</v>
      </c>
    </row>
    <row r="88" spans="1:20" s="48" customFormat="1" x14ac:dyDescent="0.15">
      <c r="N88" s="96"/>
      <c r="O88" s="57"/>
      <c r="P88" s="57"/>
      <c r="Q88" s="57"/>
      <c r="R88" s="57"/>
      <c r="S88" s="97"/>
    </row>
    <row r="89" spans="1:20" x14ac:dyDescent="0.15">
      <c r="A89" t="s">
        <v>272</v>
      </c>
      <c r="C89" t="s">
        <v>273</v>
      </c>
      <c r="D89">
        <f>IFERROR(
INDEX('Huntsman Raw'!$B$41:$K$100,
MATCH(TRIM($A89),'Huntsman Raw'!$M$41:$M$100,0),
MATCH(D$33,'Huntsman Raw'!$B$38:$K$38,0)
),"")</f>
        <v>4136</v>
      </c>
      <c r="E89">
        <f>IFERROR(
INDEX('Huntsman Raw'!$B$41:$K$100,
MATCH(TRIM($A89),'Huntsman Raw'!$M$41:$M$100,0),
MATCH(E$33,'Huntsman Raw'!$B$38:$K$38,0)
),"")</f>
        <v>2258</v>
      </c>
      <c r="F89">
        <f>IFERROR(
INDEX('Huntsman Raw'!$B$41:$K$100,
MATCH(TRIM($A89),'Huntsman Raw'!$M$41:$M$100,0),
MATCH(F$33,'Huntsman Raw'!$B$38:$K$38,0)
),"")</f>
        <v>2224</v>
      </c>
      <c r="G89">
        <f>IFERROR(
INDEX('Huntsman Raw'!$B$41:$K$100,
MATCH(TRIM($A89),'Huntsman Raw'!$M$41:$M$100,0),
MATCH(G$33,'Huntsman Raw'!$B$38:$K$38,0)
),"")</f>
        <v>2177</v>
      </c>
      <c r="H89">
        <f>IFERROR(
INDEX('Huntsman Raw'!$B$41:$K$100,
MATCH(TRIM($A89),'Huntsman Raw'!$M$41:$M$100,0),
MATCH(H$33,'Huntsman Raw'!$B$38:$K$38,0)
),"")</f>
        <v>1528</v>
      </c>
      <c r="I89">
        <f>IFERROR(
INDEX('Huntsman Raw'!$B$41:$K$100,
MATCH(TRIM($A89),'Huntsman Raw'!$M$41:$M$100,0),
MATCH(I$33,'Huntsman Raw'!$B$38:$K$38,0)
),"")</f>
        <v>1538</v>
      </c>
      <c r="J89">
        <f>IFERROR(
INDEX('Huntsman Raw'!$B$41:$K$100,
MATCH(TRIM($A89),'Huntsman Raw'!$M$41:$M$100,0),
MATCH(J$33,'Huntsman Raw'!$B$38:$K$38,0)
),"")</f>
        <v>1671</v>
      </c>
      <c r="K89">
        <f>IFERROR(
INDEX('Huntsman Raw'!$B$41:$K$100,
MATCH(TRIM($A89),'Huntsman Raw'!$M$41:$M$100,0),
MATCH(K$33,'Huntsman Raw'!$B$38:$K$38,0)
),"")</f>
        <v>1676</v>
      </c>
      <c r="L89">
        <f>IFERROR(
INDEX('Huntsman Raw'!$B$41:$K$100,
MATCH(TRIM($A89),'Huntsman Raw'!$M$41:$M$100,0),
MATCH(L$33,'Huntsman Raw'!$B$38:$K$38,0)
),"")</f>
        <v>1510</v>
      </c>
      <c r="M89">
        <f>IFERROR(
INDEX('Huntsman Raw'!$B$41:$K$100,
MATCH(TRIM($A89),'Huntsman Raw'!$M$41:$M$100,0),
MATCH(M$33,'Huntsman Raw'!$B$38:$K$38,0)
),"")</f>
        <v>1658</v>
      </c>
      <c r="N89" s="98">
        <f>'Huntsman Debt'!D$38</f>
        <v>1964</v>
      </c>
      <c r="O89" s="39">
        <f>'Huntsman Debt'!E$38</f>
        <v>1930</v>
      </c>
      <c r="P89" s="39">
        <f>'Huntsman Debt'!F$38</f>
        <v>1273</v>
      </c>
      <c r="Q89" s="39">
        <f>'Huntsman Debt'!G$38</f>
        <v>2023</v>
      </c>
      <c r="R89" s="39">
        <f>'Huntsman Debt'!H$38</f>
        <v>1280</v>
      </c>
      <c r="S89" s="99">
        <f>'Huntsman Debt'!I$38</f>
        <v>2023</v>
      </c>
    </row>
    <row r="90" spans="1:20" x14ac:dyDescent="0.15">
      <c r="C90" s="41" t="s">
        <v>347</v>
      </c>
      <c r="N90" s="106">
        <f>'Huntsman Debt'!D$39</f>
        <v>-9.7222222222222214</v>
      </c>
      <c r="O90" s="40">
        <f>'Huntsman Debt'!E$39</f>
        <v>-7.4444444444444446</v>
      </c>
      <c r="P90" s="40">
        <f>'Huntsman Debt'!F$39</f>
        <v>-5.1666666666666661</v>
      </c>
      <c r="Q90" s="40">
        <f>'Huntsman Debt'!G$39</f>
        <v>-2.8888888888888888</v>
      </c>
      <c r="R90" s="40">
        <f>'Huntsman Debt'!H$39</f>
        <v>-2.1111111111111112</v>
      </c>
      <c r="S90" s="107">
        <f>'Huntsman Debt'!I$39</f>
        <v>-1.3333333333333333</v>
      </c>
      <c r="T90" t="s">
        <v>580</v>
      </c>
    </row>
    <row r="91" spans="1:20" x14ac:dyDescent="0.15">
      <c r="A91" t="s">
        <v>274</v>
      </c>
      <c r="C91" s="2" t="s">
        <v>275</v>
      </c>
      <c r="D91">
        <f>IFERROR(
INDEX('Huntsman Raw'!$B$41:$K$100,
MATCH(TRIM($A91),'Huntsman Raw'!$M$41:$M$100,0),
MATCH(D$33,'Huntsman Raw'!$B$38:$K$38,0)
),"")</f>
        <v>0</v>
      </c>
      <c r="E91">
        <f>IFERROR(
INDEX('Huntsman Raw'!$B$41:$K$100,
MATCH(TRIM($A91),'Huntsman Raw'!$M$41:$M$100,0),
MATCH(E$33,'Huntsman Raw'!$B$38:$K$38,0)
),"")</f>
        <v>0</v>
      </c>
      <c r="F91">
        <f>IFERROR(
INDEX('Huntsman Raw'!$B$41:$K$100,
MATCH(TRIM($A91),'Huntsman Raw'!$M$41:$M$100,0),
MATCH(F$33,'Huntsman Raw'!$B$38:$K$38,0)
),"")</f>
        <v>0</v>
      </c>
      <c r="G91">
        <f>IFERROR(
INDEX('Huntsman Raw'!$B$41:$K$100,
MATCH(TRIM($A91),'Huntsman Raw'!$M$41:$M$100,0),
MATCH(G$33,'Huntsman Raw'!$B$38:$K$38,0)
),"")</f>
        <v>0</v>
      </c>
      <c r="H91">
        <f>IFERROR(
INDEX('Huntsman Raw'!$B$41:$K$100,
MATCH(TRIM($A91),'Huntsman Raw'!$M$41:$M$100,0),
MATCH(H$33,'Huntsman Raw'!$B$38:$K$38,0)
),"")</f>
        <v>0</v>
      </c>
      <c r="I91">
        <f>IFERROR(
INDEX('Huntsman Raw'!$B$41:$K$100,
MATCH(TRIM($A91),'Huntsman Raw'!$M$41:$M$100,0),
MATCH(I$33,'Huntsman Raw'!$B$38:$K$38,0)
),"")</f>
        <v>0</v>
      </c>
      <c r="J91">
        <f>IFERROR(
INDEX('Huntsman Raw'!$B$41:$K$100,
MATCH(TRIM($A91),'Huntsman Raw'!$M$41:$M$100,0),
MATCH(J$33,'Huntsman Raw'!$B$38:$K$38,0)
),"")</f>
        <v>0</v>
      </c>
      <c r="K91">
        <f>IFERROR(
INDEX('Huntsman Raw'!$B$41:$K$100,
MATCH(TRIM($A91),'Huntsman Raw'!$M$41:$M$100,0),
MATCH(K$33,'Huntsman Raw'!$B$38:$K$38,0)
),"")</f>
        <v>0</v>
      </c>
      <c r="L91">
        <f>IFERROR(
INDEX('Huntsman Raw'!$B$41:$K$100,
MATCH(TRIM($A91),'Huntsman Raw'!$M$41:$M$100,0),
MATCH(L$33,'Huntsman Raw'!$B$38:$K$38,0)
),"")</f>
        <v>0</v>
      </c>
      <c r="M91">
        <f>IFERROR(
INDEX('Huntsman Raw'!$B$41:$K$100,
MATCH(TRIM($A91),'Huntsman Raw'!$M$41:$M$100,0),
MATCH(M$33,'Huntsman Raw'!$B$38:$K$38,0)
),"")</f>
        <v>0</v>
      </c>
      <c r="N91" s="122">
        <v>0</v>
      </c>
      <c r="O91" s="55">
        <f>$N$91</f>
        <v>0</v>
      </c>
      <c r="P91" s="55">
        <f>$N$91</f>
        <v>0</v>
      </c>
      <c r="Q91" s="55">
        <f>$N$91</f>
        <v>0</v>
      </c>
      <c r="R91" s="55">
        <f>$N$91</f>
        <v>0</v>
      </c>
      <c r="S91" s="103">
        <f>$N$91</f>
        <v>0</v>
      </c>
    </row>
    <row r="92" spans="1:20" x14ac:dyDescent="0.15">
      <c r="A92" t="s">
        <v>145</v>
      </c>
      <c r="C92" s="48" t="s">
        <v>276</v>
      </c>
      <c r="D92" s="48">
        <f>IFERROR(
INDEX('Huntsman Raw'!$B$41:$K$100,
MATCH(TRIM($A92),'Huntsman Raw'!$M$41:$M$100,0),
MATCH(D$33,'Huntsman Raw'!$B$38:$K$38,0)
),"")</f>
        <v>4136</v>
      </c>
      <c r="E92" s="48">
        <f>IFERROR(
INDEX('Huntsman Raw'!$B$41:$K$100,
MATCH(TRIM($A92),'Huntsman Raw'!$M$41:$M$100,0),
MATCH(E$33,'Huntsman Raw'!$B$38:$K$38,0)
),"")</f>
        <v>2258</v>
      </c>
      <c r="F92" s="48">
        <f>IFERROR(
INDEX('Huntsman Raw'!$B$41:$K$100,
MATCH(TRIM($A92),'Huntsman Raw'!$M$41:$M$100,0),
MATCH(F$33,'Huntsman Raw'!$B$38:$K$38,0)
),"")</f>
        <v>2224</v>
      </c>
      <c r="G92" s="48">
        <f>IFERROR(
INDEX('Huntsman Raw'!$B$41:$K$100,
MATCH(TRIM($A92),'Huntsman Raw'!$M$41:$M$100,0),
MATCH(G$33,'Huntsman Raw'!$B$38:$K$38,0)
),"")</f>
        <v>2177</v>
      </c>
      <c r="H92" s="48">
        <f>IFERROR(
INDEX('Huntsman Raw'!$B$41:$K$100,
MATCH(TRIM($A92),'Huntsman Raw'!$M$41:$M$100,0),
MATCH(H$33,'Huntsman Raw'!$B$38:$K$38,0)
),"")</f>
        <v>1528</v>
      </c>
      <c r="I92" s="48">
        <f>IFERROR(
INDEX('Huntsman Raw'!$B$41:$K$100,
MATCH(TRIM($A92),'Huntsman Raw'!$M$41:$M$100,0),
MATCH(I$33,'Huntsman Raw'!$B$38:$K$38,0)
),"")</f>
        <v>1538</v>
      </c>
      <c r="J92" s="48">
        <f>IFERROR(
INDEX('Huntsman Raw'!$B$41:$K$100,
MATCH(TRIM($A92),'Huntsman Raw'!$M$41:$M$100,0),
MATCH(J$33,'Huntsman Raw'!$B$38:$K$38,0)
),"")</f>
        <v>1671</v>
      </c>
      <c r="K92" s="48">
        <f>IFERROR(
INDEX('Huntsman Raw'!$B$41:$K$100,
MATCH(TRIM($A92),'Huntsman Raw'!$M$41:$M$100,0),
MATCH(K$33,'Huntsman Raw'!$B$38:$K$38,0)
),"")</f>
        <v>1676</v>
      </c>
      <c r="L92" s="48">
        <f>IFERROR(
INDEX('Huntsman Raw'!$B$41:$K$100,
MATCH(TRIM($A92),'Huntsman Raw'!$M$41:$M$100,0),
MATCH(L$33,'Huntsman Raw'!$B$38:$K$38,0)
),"")</f>
        <v>1510</v>
      </c>
      <c r="M92" s="48">
        <f>IFERROR(
INDEX('Huntsman Raw'!$B$41:$K$100,
MATCH(TRIM($A92),'Huntsman Raw'!$M$41:$M$100,0),
MATCH(M$33,'Huntsman Raw'!$B$38:$K$38,0)
),"")</f>
        <v>1658</v>
      </c>
      <c r="N92" s="96">
        <f>N$89+N$90</f>
        <v>1954.2777777777778</v>
      </c>
      <c r="O92" s="57">
        <f t="shared" ref="O92:S92" si="48">O$89+O$90</f>
        <v>1922.5555555555557</v>
      </c>
      <c r="P92" s="57">
        <f t="shared" si="48"/>
        <v>1267.8333333333333</v>
      </c>
      <c r="Q92" s="57">
        <f t="shared" si="48"/>
        <v>2020.1111111111111</v>
      </c>
      <c r="R92" s="57">
        <f t="shared" si="48"/>
        <v>1277.8888888888889</v>
      </c>
      <c r="S92" s="97">
        <f t="shared" si="48"/>
        <v>2021.6666666666667</v>
      </c>
    </row>
    <row r="93" spans="1:20" x14ac:dyDescent="0.15">
      <c r="A93" t="s">
        <v>146</v>
      </c>
      <c r="C93" t="s">
        <v>239</v>
      </c>
      <c r="D93">
        <f>IFERROR(
INDEX('Huntsman Raw'!$B$41:$K$100,
MATCH(TRIM($A93),'Huntsman Raw'!$M$41:$M$100,0),
MATCH(D$33,'Huntsman Raw'!$B$38:$K$38,0)
),"")</f>
        <v>427</v>
      </c>
      <c r="E93">
        <f>IFERROR(
INDEX('Huntsman Raw'!$B$41:$K$100,
MATCH(TRIM($A93),'Huntsman Raw'!$M$41:$M$100,0),
MATCH(E$33,'Huntsman Raw'!$B$38:$K$38,0)
),"")</f>
        <v>264</v>
      </c>
      <c r="F93">
        <f>IFERROR(
INDEX('Huntsman Raw'!$B$41:$K$100,
MATCH(TRIM($A93),'Huntsman Raw'!$M$41:$M$100,0),
MATCH(F$33,'Huntsman Raw'!$B$38:$K$38,0)
),"")</f>
        <v>296</v>
      </c>
      <c r="G93">
        <f>IFERROR(
INDEX('Huntsman Raw'!$B$41:$K$100,
MATCH(TRIM($A93),'Huntsman Raw'!$M$41:$M$100,0),
MATCH(G$33,'Huntsman Raw'!$B$38:$K$38,0)
),"")</f>
        <v>29</v>
      </c>
      <c r="H93">
        <f>IFERROR(
INDEX('Huntsman Raw'!$B$41:$K$100,
MATCH(TRIM($A93),'Huntsman Raw'!$M$41:$M$100,0),
MATCH(H$33,'Huntsman Raw'!$B$38:$K$38,0)
),"")</f>
        <v>212</v>
      </c>
      <c r="I93">
        <f>IFERROR(
INDEX('Huntsman Raw'!$B$41:$K$100,
MATCH(TRIM($A93),'Huntsman Raw'!$M$41:$M$100,0),
MATCH(I$33,'Huntsman Raw'!$B$38:$K$38,0)
),"")</f>
        <v>161</v>
      </c>
      <c r="J93">
        <f>IFERROR(
INDEX('Huntsman Raw'!$B$41:$K$100,
MATCH(TRIM($A93),'Huntsman Raw'!$M$41:$M$100,0),
MATCH(J$33,'Huntsman Raw'!$B$38:$K$38,0)
),"")</f>
        <v>250</v>
      </c>
      <c r="K93">
        <f>IFERROR(
INDEX('Huntsman Raw'!$B$41:$K$100,
MATCH(TRIM($A93),'Huntsman Raw'!$M$41:$M$100,0),
MATCH(K$33,'Huntsman Raw'!$B$38:$K$38,0)
),"")</f>
        <v>243</v>
      </c>
      <c r="L93">
        <f>IFERROR(
INDEX('Huntsman Raw'!$B$41:$K$100,
MATCH(TRIM($A93),'Huntsman Raw'!$M$41:$M$100,0),
MATCH(L$33,'Huntsman Raw'!$B$38:$K$38,0)
),"")</f>
        <v>204</v>
      </c>
      <c r="M93">
        <f>IFERROR(
INDEX('Huntsman Raw'!$B$41:$K$100,
MATCH(TRIM($A93),'Huntsman Raw'!$M$41:$M$100,0),
MATCH(M$33,'Huntsman Raw'!$B$38:$K$38,0)
),"")</f>
        <v>156</v>
      </c>
      <c r="N93" s="14">
        <f>$M$93</f>
        <v>156</v>
      </c>
      <c r="O93" s="15">
        <f t="shared" ref="O93:S93" si="49">$M$93</f>
        <v>156</v>
      </c>
      <c r="P93" s="15">
        <f t="shared" si="49"/>
        <v>156</v>
      </c>
      <c r="Q93" s="15">
        <f t="shared" si="49"/>
        <v>156</v>
      </c>
      <c r="R93" s="15">
        <f t="shared" si="49"/>
        <v>156</v>
      </c>
      <c r="S93" s="13">
        <f t="shared" si="49"/>
        <v>156</v>
      </c>
    </row>
    <row r="94" spans="1:20" x14ac:dyDescent="0.15">
      <c r="A94" t="s">
        <v>147</v>
      </c>
      <c r="C94" t="s">
        <v>277</v>
      </c>
      <c r="D94">
        <f>IFERROR(
INDEX('Huntsman Raw'!$B$41:$K$100,
MATCH(TRIM($A94),'Huntsman Raw'!$M$41:$M$100,0),
MATCH(D$33,'Huntsman Raw'!$B$38:$K$38,0)
),"")</f>
        <v>1381</v>
      </c>
      <c r="E94">
        <f>IFERROR(
INDEX('Huntsman Raw'!$B$41:$K$100,
MATCH(TRIM($A94),'Huntsman Raw'!$M$41:$M$100,0),
MATCH(E$33,'Huntsman Raw'!$B$38:$K$38,0)
),"")</f>
        <v>1086</v>
      </c>
      <c r="F94">
        <f>IFERROR(
INDEX('Huntsman Raw'!$B$41:$K$100,
MATCH(TRIM($A94),'Huntsman Raw'!$M$41:$M$100,0),
MATCH(F$33,'Huntsman Raw'!$B$38:$K$38,0)
),"")</f>
        <v>1073</v>
      </c>
      <c r="G94">
        <f>IFERROR(
INDEX('Huntsman Raw'!$B$41:$K$100,
MATCH(TRIM($A94),'Huntsman Raw'!$M$41:$M$100,0),
MATCH(G$33,'Huntsman Raw'!$B$38:$K$38,0)
),"")</f>
        <v>1282</v>
      </c>
      <c r="H94">
        <f>IFERROR(
INDEX('Huntsman Raw'!$B$41:$K$100,
MATCH(TRIM($A94),'Huntsman Raw'!$M$41:$M$100,0),
MATCH(H$33,'Huntsman Raw'!$B$38:$K$38,0)
),"")</f>
        <v>1321</v>
      </c>
      <c r="I94">
        <f>IFERROR(
INDEX('Huntsman Raw'!$B$41:$K$100,
MATCH(TRIM($A94),'Huntsman Raw'!$M$41:$M$100,0),
MATCH(I$33,'Huntsman Raw'!$B$38:$K$38,0)
),"")</f>
        <v>1083</v>
      </c>
      <c r="J94">
        <f>IFERROR(
INDEX('Huntsman Raw'!$B$41:$K$100,
MATCH(TRIM($A94),'Huntsman Raw'!$M$41:$M$100,0),
MATCH(J$33,'Huntsman Raw'!$B$38:$K$38,0)
),"")</f>
        <v>758</v>
      </c>
      <c r="K94">
        <f>IFERROR(
INDEX('Huntsman Raw'!$B$41:$K$100,
MATCH(TRIM($A94),'Huntsman Raw'!$M$41:$M$100,0),
MATCH(K$33,'Huntsman Raw'!$B$38:$K$38,0)
),"")</f>
        <v>679</v>
      </c>
      <c r="L94">
        <f>IFERROR(
INDEX('Huntsman Raw'!$B$41:$K$100,
MATCH(TRIM($A94),'Huntsman Raw'!$M$41:$M$100,0),
MATCH(L$33,'Huntsman Raw'!$B$38:$K$38,0)
),"")</f>
        <v>672</v>
      </c>
      <c r="M94">
        <f>IFERROR(
INDEX('Huntsman Raw'!$B$41:$K$100,
MATCH(TRIM($A94),'Huntsman Raw'!$M$41:$M$100,0),
MATCH(M$33,'Huntsman Raw'!$B$38:$K$38,0)
),"")</f>
        <v>655</v>
      </c>
      <c r="N94" s="98">
        <f t="shared" ref="N94:S94" si="50">N$35*N$26</f>
        <v>708.98039180000001</v>
      </c>
      <c r="O94" s="39">
        <f t="shared" si="50"/>
        <v>762.15392118500006</v>
      </c>
      <c r="P94" s="39">
        <f t="shared" si="50"/>
        <v>824.65054272217014</v>
      </c>
      <c r="Q94" s="39">
        <f t="shared" si="50"/>
        <v>872.48027420005599</v>
      </c>
      <c r="R94" s="39">
        <f t="shared" si="50"/>
        <v>930.06397229725974</v>
      </c>
      <c r="S94" s="99">
        <f t="shared" si="50"/>
        <v>985.86781063509534</v>
      </c>
    </row>
    <row r="95" spans="1:20" x14ac:dyDescent="0.15">
      <c r="A95" t="s">
        <v>148</v>
      </c>
      <c r="C95" t="s">
        <v>278</v>
      </c>
      <c r="D95">
        <f>IFERROR(
INDEX('Huntsman Raw'!$B$41:$K$100,
MATCH(TRIM($A95),'Huntsman Raw'!$M$41:$M$100,0),
MATCH(D$33,'Huntsman Raw'!$B$38:$K$38,0)
),"")</f>
        <v>216</v>
      </c>
      <c r="E95">
        <f>IFERROR(
INDEX('Huntsman Raw'!$B$41:$K$100,
MATCH(TRIM($A95),'Huntsman Raw'!$M$41:$M$100,0),
MATCH(E$33,'Huntsman Raw'!$B$38:$K$38,0)
),"")</f>
        <v>894</v>
      </c>
      <c r="F95">
        <f>IFERROR(
INDEX('Huntsman Raw'!$B$41:$K$100,
MATCH(TRIM($A95),'Huntsman Raw'!$M$41:$M$100,0),
MATCH(F$33,'Huntsman Raw'!$B$38:$K$38,0)
),"")</f>
        <v>265</v>
      </c>
      <c r="G95">
        <f>IFERROR(
INDEX('Huntsman Raw'!$B$41:$K$100,
MATCH(TRIM($A95),'Huntsman Raw'!$M$41:$M$100,0),
MATCH(G$33,'Huntsman Raw'!$B$38:$K$38,0)
),"")</f>
        <v>163</v>
      </c>
      <c r="H95">
        <f>IFERROR(
INDEX('Huntsman Raw'!$B$41:$K$100,
MATCH(TRIM($A95),'Huntsman Raw'!$M$41:$M$100,0),
MATCH(H$33,'Huntsman Raw'!$B$38:$K$38,0)
),"")</f>
        <v>174</v>
      </c>
      <c r="I95">
        <f>IFERROR(
INDEX('Huntsman Raw'!$B$41:$K$100,
MATCH(TRIM($A95),'Huntsman Raw'!$M$41:$M$100,0),
MATCH(I$33,'Huntsman Raw'!$B$38:$K$38,0)
),"")</f>
        <v>193</v>
      </c>
      <c r="J95">
        <f>IFERROR(
INDEX('Huntsman Raw'!$B$41:$K$100,
MATCH(TRIM($A95),'Huntsman Raw'!$M$41:$M$100,0),
MATCH(J$33,'Huntsman Raw'!$B$38:$K$38,0)
),"")</f>
        <v>241</v>
      </c>
      <c r="K95">
        <f>IFERROR(
INDEX('Huntsman Raw'!$B$41:$K$100,
MATCH(TRIM($A95),'Huntsman Raw'!$M$41:$M$100,0),
MATCH(K$33,'Huntsman Raw'!$B$38:$K$38,0)
),"")</f>
        <v>255</v>
      </c>
      <c r="L95">
        <f>IFERROR(
INDEX('Huntsman Raw'!$B$41:$K$100,
MATCH(TRIM($A95),'Huntsman Raw'!$M$41:$M$100,0),
MATCH(L$33,'Huntsman Raw'!$B$38:$K$38,0)
),"")</f>
        <v>231</v>
      </c>
      <c r="M95">
        <f>IFERROR(
INDEX('Huntsman Raw'!$B$41:$K$100,
MATCH(TRIM($A95),'Huntsman Raw'!$M$41:$M$100,0),
MATCH(M$33,'Huntsman Raw'!$B$38:$K$38,0)
),"")</f>
        <v>230</v>
      </c>
      <c r="N95" s="104">
        <f t="shared" ref="N95:S95" si="51">M95-N53</f>
        <v>230</v>
      </c>
      <c r="O95" s="15">
        <f t="shared" si="51"/>
        <v>230</v>
      </c>
      <c r="P95" s="15">
        <f t="shared" si="51"/>
        <v>230</v>
      </c>
      <c r="Q95" s="15">
        <f t="shared" si="51"/>
        <v>230</v>
      </c>
      <c r="R95" s="15">
        <f t="shared" si="51"/>
        <v>230</v>
      </c>
      <c r="S95" s="13">
        <f t="shared" si="51"/>
        <v>230</v>
      </c>
    </row>
    <row r="96" spans="1:20" x14ac:dyDescent="0.15">
      <c r="A96" t="s">
        <v>149</v>
      </c>
      <c r="C96" s="88" t="s">
        <v>149</v>
      </c>
      <c r="D96" s="88">
        <f>IFERROR(
INDEX('Huntsman Raw'!$B$41:$K$100,
MATCH(TRIM($A96),'Huntsman Raw'!$M$41:$M$100,0),
MATCH(D$33,'Huntsman Raw'!$B$38:$K$38,0)
),"")</f>
        <v>7938</v>
      </c>
      <c r="E96" s="88">
        <f>IFERROR(
INDEX('Huntsman Raw'!$B$41:$K$100,
MATCH(TRIM($A96),'Huntsman Raw'!$M$41:$M$100,0),
MATCH(E$33,'Huntsman Raw'!$B$38:$K$38,0)
),"")</f>
        <v>7767</v>
      </c>
      <c r="F96" s="88">
        <f>IFERROR(
INDEX('Huntsman Raw'!$B$41:$K$100,
MATCH(TRIM($A96),'Huntsman Raw'!$M$41:$M$100,0),
MATCH(F$33,'Huntsman Raw'!$B$38:$K$38,0)
),"")</f>
        <v>5469</v>
      </c>
      <c r="G96" s="88">
        <f>IFERROR(
INDEX('Huntsman Raw'!$B$41:$K$100,
MATCH(TRIM($A96),'Huntsman Raw'!$M$41:$M$100,0),
MATCH(G$33,'Huntsman Raw'!$B$38:$K$38,0)
),"")</f>
        <v>5659</v>
      </c>
      <c r="H96" s="88">
        <f>IFERROR(
INDEX('Huntsman Raw'!$B$41:$K$100,
MATCH(TRIM($A96),'Huntsman Raw'!$M$41:$M$100,0),
MATCH(H$33,'Huntsman Raw'!$B$38:$K$38,0)
),"")</f>
        <v>5214</v>
      </c>
      <c r="I96" s="88">
        <f>IFERROR(
INDEX('Huntsman Raw'!$B$41:$K$100,
MATCH(TRIM($A96),'Huntsman Raw'!$M$41:$M$100,0),
MATCH(I$33,'Huntsman Raw'!$B$38:$K$38,0)
),"")</f>
        <v>5026</v>
      </c>
      <c r="J96" s="88">
        <f>IFERROR(
INDEX('Huntsman Raw'!$B$41:$K$100,
MATCH(TRIM($A96),'Huntsman Raw'!$M$41:$M$100,0),
MATCH(J$33,'Huntsman Raw'!$B$38:$K$38,0)
),"")</f>
        <v>4621</v>
      </c>
      <c r="K96" s="88">
        <f>IFERROR(
INDEX('Huntsman Raw'!$B$41:$K$100,
MATCH(TRIM($A96),'Huntsman Raw'!$M$41:$M$100,0),
MATCH(K$33,'Huntsman Raw'!$B$38:$K$38,0)
),"")</f>
        <v>4025</v>
      </c>
      <c r="L96" s="88">
        <f>IFERROR(
INDEX('Huntsman Raw'!$B$41:$K$100,
MATCH(TRIM($A96),'Huntsman Raw'!$M$41:$M$100,0),
MATCH(L$33,'Huntsman Raw'!$B$38:$K$38,0)
),"")</f>
        <v>4182</v>
      </c>
      <c r="M96" s="88">
        <f>IFERROR(
INDEX('Huntsman Raw'!$B$41:$K$100,
MATCH(TRIM($A96),'Huntsman Raw'!$M$41:$M$100,0),
MATCH(M$33,'Huntsman Raw'!$B$38:$K$38,0)
),"")</f>
        <v>4288</v>
      </c>
      <c r="N96" s="94">
        <f>N87+N92+N93+N94+N95</f>
        <v>4428.7614197257226</v>
      </c>
      <c r="O96" s="89">
        <f t="shared" ref="O96:S96" si="52">O87+O92+O93+O94+O95</f>
        <v>4568.8529521489127</v>
      </c>
      <c r="P96" s="89">
        <f t="shared" si="52"/>
        <v>4718.7314274130449</v>
      </c>
      <c r="Q96" s="89">
        <f t="shared" si="52"/>
        <v>4831.1002143039168</v>
      </c>
      <c r="R96" s="89">
        <f t="shared" si="52"/>
        <v>4974.357838588192</v>
      </c>
      <c r="S96" s="95">
        <f t="shared" si="52"/>
        <v>5121.7343132029346</v>
      </c>
    </row>
    <row r="97" spans="1:19" x14ac:dyDescent="0.15">
      <c r="N97" s="98"/>
      <c r="O97" s="39"/>
      <c r="P97" s="39"/>
      <c r="Q97" s="39"/>
      <c r="R97" s="39"/>
      <c r="S97" s="99"/>
    </row>
    <row r="98" spans="1:19" x14ac:dyDescent="0.15">
      <c r="A98" t="s">
        <v>60</v>
      </c>
      <c r="C98" t="s">
        <v>60</v>
      </c>
      <c r="D98">
        <f>IFERROR(
INDEX('Huntsman Raw'!$B$41:$K$100,
MATCH(TRIM($A98),'Huntsman Raw'!$M$41:$M$100,0),
MATCH(D$33,'Huntsman Raw'!$B$38:$K$38,0)
),"")</f>
        <v>3</v>
      </c>
      <c r="E98">
        <f>IFERROR(
INDEX('Huntsman Raw'!$B$41:$K$100,
MATCH(TRIM($A98),'Huntsman Raw'!$M$41:$M$100,0),
MATCH(E$33,'Huntsman Raw'!$B$38:$K$38,0)
),"")</f>
        <v>3</v>
      </c>
      <c r="F98">
        <f>IFERROR(
INDEX('Huntsman Raw'!$B$41:$K$100,
MATCH(TRIM($A98),'Huntsman Raw'!$M$41:$M$100,0),
MATCH(F$33,'Huntsman Raw'!$B$38:$K$38,0)
),"")</f>
        <v>3</v>
      </c>
      <c r="G98">
        <f>IFERROR(
INDEX('Huntsman Raw'!$B$41:$K$100,
MATCH(TRIM($A98),'Huntsman Raw'!$M$41:$M$100,0),
MATCH(G$33,'Huntsman Raw'!$B$38:$K$38,0)
),"")</f>
        <v>3</v>
      </c>
      <c r="H98">
        <f>IFERROR(
INDEX('Huntsman Raw'!$B$41:$K$100,
MATCH(TRIM($A98),'Huntsman Raw'!$M$41:$M$100,0),
MATCH(H$33,'Huntsman Raw'!$B$38:$K$38,0)
),"")</f>
        <v>3</v>
      </c>
      <c r="I98">
        <f>IFERROR(
INDEX('Huntsman Raw'!$B$41:$K$100,
MATCH(TRIM($A98),'Huntsman Raw'!$M$41:$M$100,0),
MATCH(I$33,'Huntsman Raw'!$B$38:$K$38,0)
),"")</f>
        <v>3</v>
      </c>
      <c r="J98">
        <f>IFERROR(
INDEX('Huntsman Raw'!$B$41:$K$100,
MATCH(TRIM($A98),'Huntsman Raw'!$M$41:$M$100,0),
MATCH(J$33,'Huntsman Raw'!$B$38:$K$38,0)
),"")</f>
        <v>3</v>
      </c>
      <c r="K98">
        <f>IFERROR(
INDEX('Huntsman Raw'!$B$41:$K$100,
MATCH(TRIM($A98),'Huntsman Raw'!$M$41:$M$100,0),
MATCH(K$33,'Huntsman Raw'!$B$38:$K$38,0)
),"")</f>
        <v>3</v>
      </c>
      <c r="L98">
        <f>IFERROR(
INDEX('Huntsman Raw'!$B$41:$K$100,
MATCH(TRIM($A98),'Huntsman Raw'!$M$41:$M$100,0),
MATCH(L$33,'Huntsman Raw'!$B$38:$K$38,0)
),"")</f>
        <v>3</v>
      </c>
      <c r="M98">
        <f>IFERROR(
INDEX('Huntsman Raw'!$B$41:$K$100,
MATCH(TRIM($A98),'Huntsman Raw'!$M$41:$M$100,0),
MATCH(M$33,'Huntsman Raw'!$B$38:$K$38,0)
),"")</f>
        <v>3</v>
      </c>
      <c r="N98" s="100">
        <f>'Huntsman Equity Schedule'!M$26</f>
        <v>5.8</v>
      </c>
      <c r="O98" s="53">
        <f>'Huntsman Equity Schedule'!N$26</f>
        <v>5.8</v>
      </c>
      <c r="P98" s="53">
        <f>'Huntsman Equity Schedule'!O$26</f>
        <v>5.8</v>
      </c>
      <c r="Q98" s="53">
        <f>'Huntsman Equity Schedule'!P$26</f>
        <v>5.8</v>
      </c>
      <c r="R98" s="53">
        <f>'Huntsman Equity Schedule'!Q$26</f>
        <v>5.8</v>
      </c>
      <c r="S98" s="101">
        <f>'Huntsman Equity Schedule'!R$26</f>
        <v>5.8</v>
      </c>
    </row>
    <row r="99" spans="1:19" x14ac:dyDescent="0.15">
      <c r="A99" t="s">
        <v>153</v>
      </c>
      <c r="C99" t="s">
        <v>153</v>
      </c>
      <c r="D99">
        <f>IFERROR(
INDEX('Huntsman Raw'!$B$41:$K$100,
MATCH(TRIM($A99),'Huntsman Raw'!$M$41:$M$100,0),
MATCH(D$33,'Huntsman Raw'!$B$38:$K$38,0)
),"")</f>
        <v>3447</v>
      </c>
      <c r="E99">
        <f>IFERROR(
INDEX('Huntsman Raw'!$B$41:$K$100,
MATCH(TRIM($A99),'Huntsman Raw'!$M$41:$M$100,0),
MATCH(E$33,'Huntsman Raw'!$B$38:$K$38,0)
),"")</f>
        <v>3889</v>
      </c>
      <c r="F99">
        <f>IFERROR(
INDEX('Huntsman Raw'!$B$41:$K$100,
MATCH(TRIM($A99),'Huntsman Raw'!$M$41:$M$100,0),
MATCH(F$33,'Huntsman Raw'!$B$38:$K$38,0)
),"")</f>
        <v>3984</v>
      </c>
      <c r="G99">
        <f>IFERROR(
INDEX('Huntsman Raw'!$B$41:$K$100,
MATCH(TRIM($A99),'Huntsman Raw'!$M$41:$M$100,0),
MATCH(G$33,'Huntsman Raw'!$B$38:$K$38,0)
),"")</f>
        <v>4008</v>
      </c>
      <c r="H99">
        <f>IFERROR(
INDEX('Huntsman Raw'!$B$41:$K$100,
MATCH(TRIM($A99),'Huntsman Raw'!$M$41:$M$100,0),
MATCH(H$33,'Huntsman Raw'!$B$38:$K$38,0)
),"")</f>
        <v>4048</v>
      </c>
      <c r="I99">
        <f>IFERROR(
INDEX('Huntsman Raw'!$B$41:$K$100,
MATCH(TRIM($A99),'Huntsman Raw'!$M$41:$M$100,0),
MATCH(I$33,'Huntsman Raw'!$B$38:$K$38,0)
),"")</f>
        <v>4102</v>
      </c>
      <c r="J99">
        <f>IFERROR(
INDEX('Huntsman Raw'!$B$41:$K$100,
MATCH(TRIM($A99),'Huntsman Raw'!$M$41:$M$100,0),
MATCH(J$33,'Huntsman Raw'!$B$38:$K$38,0)
),"")</f>
        <v>4156</v>
      </c>
      <c r="K99">
        <f>IFERROR(
INDEX('Huntsman Raw'!$B$41:$K$100,
MATCH(TRIM($A99),'Huntsman Raw'!$M$41:$M$100,0),
MATCH(K$33,'Huntsman Raw'!$B$38:$K$38,0)
),"")</f>
        <v>4202</v>
      </c>
      <c r="L99">
        <f>IFERROR(
INDEX('Huntsman Raw'!$B$41:$K$100,
MATCH(TRIM($A99),'Huntsman Raw'!$M$41:$M$100,0),
MATCH(L$33,'Huntsman Raw'!$B$38:$K$38,0)
),"")</f>
        <v>4233</v>
      </c>
      <c r="M99">
        <f>IFERROR(
INDEX('Huntsman Raw'!$B$41:$K$100,
MATCH(TRIM($A99),'Huntsman Raw'!$M$41:$M$100,0),
MATCH(M$33,'Huntsman Raw'!$B$38:$K$38,0)
),"")</f>
        <v>4261</v>
      </c>
      <c r="N99" s="100">
        <f>'Huntsman Equity Schedule'!M27</f>
        <v>4338.2</v>
      </c>
      <c r="O99" s="53">
        <f>'Huntsman Equity Schedule'!N27</f>
        <v>4368.2</v>
      </c>
      <c r="P99" s="53">
        <f>'Huntsman Equity Schedule'!O27</f>
        <v>4398.2</v>
      </c>
      <c r="Q99" s="53">
        <f>'Huntsman Equity Schedule'!P27</f>
        <v>4428.2</v>
      </c>
      <c r="R99" s="53">
        <f>'Huntsman Equity Schedule'!Q27</f>
        <v>4458.2</v>
      </c>
      <c r="S99" s="101">
        <f>'Huntsman Equity Schedule'!R27</f>
        <v>4488.2</v>
      </c>
    </row>
    <row r="100" spans="1:19" x14ac:dyDescent="0.15">
      <c r="A100" t="s">
        <v>154</v>
      </c>
      <c r="C100" t="s">
        <v>279</v>
      </c>
      <c r="D100">
        <f>IFERROR(
INDEX('Huntsman Raw'!$B$41:$K$100,
MATCH(TRIM($A100),'Huntsman Raw'!$M$41:$M$100,0),
MATCH(D$33,'Huntsman Raw'!$B$38:$K$38,0)
),"")</f>
        <v>-325</v>
      </c>
      <c r="E100">
        <f>IFERROR(
INDEX('Huntsman Raw'!$B$41:$K$100,
MATCH(TRIM($A100),'Huntsman Raw'!$M$41:$M$100,0),
MATCH(E$33,'Huntsman Raw'!$B$38:$K$38,0)
),"")</f>
        <v>161</v>
      </c>
      <c r="F100">
        <f>IFERROR(
INDEX('Huntsman Raw'!$B$41:$K$100,
MATCH(TRIM($A100),'Huntsman Raw'!$M$41:$M$100,0),
MATCH(F$33,'Huntsman Raw'!$B$38:$K$38,0)
),"")</f>
        <v>292</v>
      </c>
      <c r="G100">
        <f>IFERROR(
INDEX('Huntsman Raw'!$B$41:$K$100,
MATCH(TRIM($A100),'Huntsman Raw'!$M$41:$M$100,0),
MATCH(G$33,'Huntsman Raw'!$B$38:$K$38,0)
),"")</f>
        <v>690</v>
      </c>
      <c r="H100">
        <f>IFERROR(
INDEX('Huntsman Raw'!$B$41:$K$100,
MATCH(TRIM($A100),'Huntsman Raw'!$M$41:$M$100,0),
MATCH(H$33,'Huntsman Raw'!$B$38:$K$38,0)
),"")</f>
        <v>1564</v>
      </c>
      <c r="I100">
        <f>IFERROR(
INDEX('Huntsman Raw'!$B$41:$K$100,
MATCH(TRIM($A100),'Huntsman Raw'!$M$41:$M$100,0),
MATCH(I$33,'Huntsman Raw'!$B$38:$K$38,0)
),"")</f>
        <v>2435</v>
      </c>
      <c r="J100">
        <f>IFERROR(
INDEX('Huntsman Raw'!$B$41:$K$100,
MATCH(TRIM($A100),'Huntsman Raw'!$M$41:$M$100,0),
MATCH(J$33,'Huntsman Raw'!$B$38:$K$38,0)
),"")</f>
        <v>2705</v>
      </c>
      <c r="K100">
        <f>IFERROR(
INDEX('Huntsman Raw'!$B$41:$K$100,
MATCH(TRIM($A100),'Huntsman Raw'!$M$41:$M$100,0),
MATCH(K$33,'Huntsman Raw'!$B$38:$K$38,0)
),"")</f>
        <v>2622</v>
      </c>
      <c r="L100">
        <f>IFERROR(
INDEX('Huntsman Raw'!$B$41:$K$100,
MATCH(TRIM($A100),'Huntsman Raw'!$M$41:$M$100,0),
MATCH(L$33,'Huntsman Raw'!$B$38:$K$38,0)
),"")</f>
        <v>2245</v>
      </c>
      <c r="M100">
        <f>IFERROR(
INDEX('Huntsman Raw'!$B$41:$K$100,
MATCH(TRIM($A100),'Huntsman Raw'!$M$41:$M$100,0),
MATCH(M$33,'Huntsman Raw'!$B$38:$K$38,0)
),"")</f>
        <v>1810</v>
      </c>
      <c r="N100" s="98">
        <f>'Huntsman Equity Schedule'!M35</f>
        <v>1643.7231432622225</v>
      </c>
      <c r="O100" s="39">
        <f>'Huntsman Equity Schedule'!N35</f>
        <v>1555.5435951324444</v>
      </c>
      <c r="P100" s="39">
        <f>'Huntsman Equity Schedule'!O35</f>
        <v>1635.6456110827592</v>
      </c>
      <c r="Q100" s="39">
        <f>'Huntsman Equity Schedule'!P35</f>
        <v>1859.7379112356243</v>
      </c>
      <c r="R100" s="39">
        <f>'Huntsman Equity Schedule'!Q35</f>
        <v>2206.1551903627255</v>
      </c>
      <c r="S100" s="99">
        <f>'Huntsman Equity Schedule'!R35</f>
        <v>2625.4273503120644</v>
      </c>
    </row>
    <row r="101" spans="1:19" x14ac:dyDescent="0.15">
      <c r="A101" t="s">
        <v>155</v>
      </c>
      <c r="C101" t="s">
        <v>280</v>
      </c>
      <c r="D101">
        <f>IFERROR(
INDEX('Huntsman Raw'!$B$41:$K$100,
MATCH(TRIM($A101),'Huntsman Raw'!$M$41:$M$100,0),
MATCH(D$33,'Huntsman Raw'!$B$38:$K$38,0)
),"")</f>
        <v>-150</v>
      </c>
      <c r="E101">
        <f>IFERROR(
INDEX('Huntsman Raw'!$B$41:$K$100,
MATCH(TRIM($A101),'Huntsman Raw'!$M$41:$M$100,0),
MATCH(E$33,'Huntsman Raw'!$B$38:$K$38,0)
),"")</f>
        <v>-150</v>
      </c>
      <c r="F101">
        <f>IFERROR(
INDEX('Huntsman Raw'!$B$41:$K$100,
MATCH(TRIM($A101),'Huntsman Raw'!$M$41:$M$100,0),
MATCH(F$33,'Huntsman Raw'!$B$38:$K$38,0)
),"")</f>
        <v>-427</v>
      </c>
      <c r="G101">
        <f>IFERROR(
INDEX('Huntsman Raw'!$B$41:$K$100,
MATCH(TRIM($A101),'Huntsman Raw'!$M$41:$M$100,0),
MATCH(G$33,'Huntsman Raw'!$B$38:$K$38,0)
),"")</f>
        <v>-635</v>
      </c>
      <c r="H101">
        <f>IFERROR(
INDEX('Huntsman Raw'!$B$41:$K$100,
MATCH(TRIM($A101),'Huntsman Raw'!$M$41:$M$100,0),
MATCH(H$33,'Huntsman Raw'!$B$38:$K$38,0)
),"")</f>
        <v>-731</v>
      </c>
      <c r="I101">
        <f>IFERROR(
INDEX('Huntsman Raw'!$B$41:$K$100,
MATCH(TRIM($A101),'Huntsman Raw'!$M$41:$M$100,0),
MATCH(I$33,'Huntsman Raw'!$B$38:$K$38,0)
),"")</f>
        <v>-934</v>
      </c>
      <c r="J101">
        <f>IFERROR(
INDEX('Huntsman Raw'!$B$41:$K$100,
MATCH(TRIM($A101),'Huntsman Raw'!$M$41:$M$100,0),
MATCH(J$33,'Huntsman Raw'!$B$38:$K$38,0)
),"")</f>
        <v>-1937</v>
      </c>
      <c r="K101">
        <f>IFERROR(
INDEX('Huntsman Raw'!$B$41:$K$100,
MATCH(TRIM($A101),'Huntsman Raw'!$M$41:$M$100,0),
MATCH(K$33,'Huntsman Raw'!$B$38:$K$38,0)
),"")</f>
        <v>-2290</v>
      </c>
      <c r="L101">
        <f>IFERROR(
INDEX('Huntsman Raw'!$B$41:$K$100,
MATCH(TRIM($A101),'Huntsman Raw'!$M$41:$M$100,0),
MATCH(L$33,'Huntsman Raw'!$B$38:$K$38,0)
),"")</f>
        <v>-2290</v>
      </c>
      <c r="M101">
        <f>IFERROR(
INDEX('Huntsman Raw'!$B$41:$K$100,
MATCH(TRIM($A101),'Huntsman Raw'!$M$41:$M$100,0),
MATCH(M$33,'Huntsman Raw'!$B$38:$K$38,0)
),"")</f>
        <v>-2290</v>
      </c>
      <c r="N101" s="100">
        <f>'Huntsman Equity Schedule'!M29</f>
        <v>-2290</v>
      </c>
      <c r="O101" s="53">
        <f>'Huntsman Equity Schedule'!N29</f>
        <v>-2290</v>
      </c>
      <c r="P101" s="53">
        <f>'Huntsman Equity Schedule'!O29</f>
        <v>-2290</v>
      </c>
      <c r="Q101" s="53">
        <f>'Huntsman Equity Schedule'!P29</f>
        <v>-2290</v>
      </c>
      <c r="R101" s="53">
        <f>'Huntsman Equity Schedule'!Q29</f>
        <v>-2290</v>
      </c>
      <c r="S101" s="101">
        <f>'Huntsman Equity Schedule'!R29</f>
        <v>-2290</v>
      </c>
    </row>
    <row r="102" spans="1:19" x14ac:dyDescent="0.15">
      <c r="A102" t="s">
        <v>158</v>
      </c>
      <c r="C102" t="s">
        <v>281</v>
      </c>
      <c r="D102">
        <f>IFERROR(
INDEX('Huntsman Raw'!$B$41:$K$100,
MATCH(TRIM($A102),'Huntsman Raw'!$M$41:$M$100,0),
MATCH(D$33,'Huntsman Raw'!$B$38:$K$38,0)
),"")</f>
        <v>-1724</v>
      </c>
      <c r="E102">
        <f>IFERROR(
INDEX('Huntsman Raw'!$B$41:$K$100,
MATCH(TRIM($A102),'Huntsman Raw'!$M$41:$M$100,0),
MATCH(E$33,'Huntsman Raw'!$B$38:$K$38,0)
),"")</f>
        <v>-1426</v>
      </c>
      <c r="F102">
        <f>IFERROR(
INDEX('Huntsman Raw'!$B$41:$K$100,
MATCH(TRIM($A102),'Huntsman Raw'!$M$41:$M$100,0),
MATCH(F$33,'Huntsman Raw'!$B$38:$K$38,0)
),"")</f>
        <v>-1368</v>
      </c>
      <c r="G102">
        <f>IFERROR(
INDEX('Huntsman Raw'!$B$41:$K$100,
MATCH(TRIM($A102),'Huntsman Raw'!$M$41:$M$100,0),
MATCH(G$33,'Huntsman Raw'!$B$38:$K$38,0)
),"")</f>
        <v>-1405</v>
      </c>
      <c r="H102">
        <f>IFERROR(
INDEX('Huntsman Raw'!$B$41:$K$100,
MATCH(TRIM($A102),'Huntsman Raw'!$M$41:$M$100,0),
MATCH(H$33,'Huntsman Raw'!$B$38:$K$38,0)
),"")</f>
        <v>-1385</v>
      </c>
      <c r="I102">
        <f>IFERROR(
INDEX('Huntsman Raw'!$B$41:$K$100,
MATCH(TRIM($A102),'Huntsman Raw'!$M$41:$M$100,0),
MATCH(I$33,'Huntsman Raw'!$B$38:$K$38,0)
),"")</f>
        <v>-1240</v>
      </c>
      <c r="J102">
        <f>IFERROR(
INDEX('Huntsman Raw'!$B$41:$K$100,
MATCH(TRIM($A102),'Huntsman Raw'!$M$41:$M$100,0),
MATCH(J$33,'Huntsman Raw'!$B$38:$K$38,0)
),"")</f>
        <v>-1328</v>
      </c>
      <c r="K102">
        <f>IFERROR(
INDEX('Huntsman Raw'!$B$41:$K$100,
MATCH(TRIM($A102),'Huntsman Raw'!$M$41:$M$100,0),
MATCH(K$33,'Huntsman Raw'!$B$38:$K$38,0)
),"")</f>
        <v>-1314</v>
      </c>
      <c r="L102">
        <f>IFERROR(
INDEX('Huntsman Raw'!$B$41:$K$100,
MATCH(TRIM($A102),'Huntsman Raw'!$M$41:$M$100,0),
MATCH(L$33,'Huntsman Raw'!$B$38:$K$38,0)
),"")</f>
        <v>-1259</v>
      </c>
      <c r="M102">
        <f>IFERROR(
INDEX('Huntsman Raw'!$B$41:$K$100,
MATCH(TRIM($A102),'Huntsman Raw'!$M$41:$M$100,0),
MATCH(M$33,'Huntsman Raw'!$B$38:$K$38,0)
),"")</f>
        <v>-1057</v>
      </c>
      <c r="N102" s="100">
        <f>'Huntsman Equity Schedule'!M37</f>
        <v>-1057</v>
      </c>
      <c r="O102" s="53">
        <f>'Huntsman Equity Schedule'!N37</f>
        <v>-1057</v>
      </c>
      <c r="P102" s="53">
        <f>'Huntsman Equity Schedule'!O37</f>
        <v>-1057</v>
      </c>
      <c r="Q102" s="53">
        <f>'Huntsman Equity Schedule'!P37</f>
        <v>-1057</v>
      </c>
      <c r="R102" s="53">
        <f>'Huntsman Equity Schedule'!Q37</f>
        <v>-1057</v>
      </c>
      <c r="S102" s="101">
        <f>'Huntsman Equity Schedule'!R37</f>
        <v>-1057</v>
      </c>
    </row>
    <row r="103" spans="1:19" s="48" customFormat="1" x14ac:dyDescent="0.15">
      <c r="A103" s="48" t="s">
        <v>159</v>
      </c>
      <c r="C103" s="88" t="s">
        <v>159</v>
      </c>
      <c r="D103" s="88">
        <f>IFERROR(
INDEX('Huntsman Raw'!$B$41:$K$100,
MATCH(TRIM($A103),'Huntsman Raw'!$M$41:$M$100,0),
MATCH(D$33,'Huntsman Raw'!$B$38:$K$38,0)
),"")</f>
        <v>1251</v>
      </c>
      <c r="E103" s="88">
        <f>IFERROR(
INDEX('Huntsman Raw'!$B$41:$K$100,
MATCH(TRIM($A103),'Huntsman Raw'!$M$41:$M$100,0),
MATCH(E$33,'Huntsman Raw'!$B$38:$K$38,0)
),"")</f>
        <v>2477</v>
      </c>
      <c r="F103" s="88">
        <f>IFERROR(
INDEX('Huntsman Raw'!$B$41:$K$100,
MATCH(TRIM($A103),'Huntsman Raw'!$M$41:$M$100,0),
MATCH(F$33,'Huntsman Raw'!$B$38:$K$38,0)
),"")</f>
        <v>2484</v>
      </c>
      <c r="G103" s="88">
        <f>IFERROR(
INDEX('Huntsman Raw'!$B$41:$K$100,
MATCH(TRIM($A103),'Huntsman Raw'!$M$41:$M$100,0),
MATCH(G$33,'Huntsman Raw'!$B$38:$K$38,0)
),"")</f>
        <v>2661</v>
      </c>
      <c r="H103" s="88">
        <f>IFERROR(
INDEX('Huntsman Raw'!$B$41:$K$100,
MATCH(TRIM($A103),'Huntsman Raw'!$M$41:$M$100,0),
MATCH(H$33,'Huntsman Raw'!$B$38:$K$38,0)
),"")</f>
        <v>3499</v>
      </c>
      <c r="I103" s="88">
        <f>IFERROR(
INDEX('Huntsman Raw'!$B$41:$K$100,
MATCH(TRIM($A103),'Huntsman Raw'!$M$41:$M$100,0),
MATCH(I$33,'Huntsman Raw'!$B$38:$K$38,0)
),"")</f>
        <v>4366</v>
      </c>
      <c r="J103" s="88">
        <f>IFERROR(
INDEX('Huntsman Raw'!$B$41:$K$100,
MATCH(TRIM($A103),'Huntsman Raw'!$M$41:$M$100,0),
MATCH(J$33,'Huntsman Raw'!$B$38:$K$38,0)
),"")</f>
        <v>3599</v>
      </c>
      <c r="K103" s="88">
        <f>IFERROR(
INDEX('Huntsman Raw'!$B$41:$K$100,
MATCH(TRIM($A103),'Huntsman Raw'!$M$41:$M$100,0),
MATCH(K$33,'Huntsman Raw'!$B$38:$K$38,0)
),"")</f>
        <v>3223</v>
      </c>
      <c r="L103" s="88">
        <f>IFERROR(
INDEX('Huntsman Raw'!$B$41:$K$100,
MATCH(TRIM($A103),'Huntsman Raw'!$M$41:$M$100,0),
MATCH(L$33,'Huntsman Raw'!$B$38:$K$38,0)
),"")</f>
        <v>2932</v>
      </c>
      <c r="M103" s="88">
        <f>IFERROR(
INDEX('Huntsman Raw'!$B$41:$K$100,
MATCH(TRIM($A103),'Huntsman Raw'!$M$41:$M$100,0),
MATCH(M$33,'Huntsman Raw'!$B$38:$K$38,0)
),"")</f>
        <v>2727</v>
      </c>
      <c r="N103" s="94">
        <f>'Huntsman Equity Schedule'!M38</f>
        <v>2640.7231432622225</v>
      </c>
      <c r="O103" s="89">
        <f>'Huntsman Equity Schedule'!N38</f>
        <v>2582.5435951324444</v>
      </c>
      <c r="P103" s="89">
        <f>'Huntsman Equity Schedule'!O38</f>
        <v>2692.6456110827594</v>
      </c>
      <c r="Q103" s="89">
        <f>'Huntsman Equity Schedule'!P38</f>
        <v>2946.7379112356243</v>
      </c>
      <c r="R103" s="89">
        <f>'Huntsman Equity Schedule'!Q38</f>
        <v>3323.155190362726</v>
      </c>
      <c r="S103" s="95">
        <f>'Huntsman Equity Schedule'!R38</f>
        <v>3772.4273503120639</v>
      </c>
    </row>
    <row r="104" spans="1:19" x14ac:dyDescent="0.15">
      <c r="N104" s="98"/>
      <c r="O104" s="39"/>
      <c r="P104" s="39"/>
      <c r="Q104" s="39"/>
      <c r="R104" s="39"/>
      <c r="S104" s="99"/>
    </row>
    <row r="105" spans="1:19" ht="14" thickBot="1" x14ac:dyDescent="0.2">
      <c r="A105" t="s">
        <v>160</v>
      </c>
      <c r="C105" s="133" t="s">
        <v>282</v>
      </c>
      <c r="D105" s="133">
        <f>IFERROR(
INDEX('Huntsman Raw'!$B$41:$K$100,
MATCH(TRIM($A105),'Huntsman Raw'!$M$41:$M$100,0),
MATCH(D$33,'Huntsman Raw'!$B$38:$K$38,0)
),"")</f>
        <v>9189</v>
      </c>
      <c r="E105" s="133">
        <f>IFERROR(
INDEX('Huntsman Raw'!$B$41:$K$100,
MATCH(TRIM($A105),'Huntsman Raw'!$M$41:$M$100,0),
MATCH(E$33,'Huntsman Raw'!$B$38:$K$38,0)
),"")</f>
        <v>10244</v>
      </c>
      <c r="F105" s="133">
        <f>IFERROR(
INDEX('Huntsman Raw'!$B$41:$K$100,
MATCH(TRIM($A105),'Huntsman Raw'!$M$41:$M$100,0),
MATCH(F$33,'Huntsman Raw'!$B$38:$K$38,0)
),"")</f>
        <v>7953</v>
      </c>
      <c r="G105" s="133">
        <f>IFERROR(
INDEX('Huntsman Raw'!$B$41:$K$100,
MATCH(TRIM($A105),'Huntsman Raw'!$M$41:$M$100,0),
MATCH(G$33,'Huntsman Raw'!$B$38:$K$38,0)
),"")</f>
        <v>8320</v>
      </c>
      <c r="H105" s="133">
        <f>IFERROR(
INDEX('Huntsman Raw'!$B$41:$K$100,
MATCH(TRIM($A105),'Huntsman Raw'!$M$41:$M$100,0),
MATCH(H$33,'Huntsman Raw'!$B$38:$K$38,0)
),"")</f>
        <v>8713</v>
      </c>
      <c r="I105" s="133">
        <f>IFERROR(
INDEX('Huntsman Raw'!$B$41:$K$100,
MATCH(TRIM($A105),'Huntsman Raw'!$M$41:$M$100,0),
MATCH(I$33,'Huntsman Raw'!$B$38:$K$38,0)
),"")</f>
        <v>9392</v>
      </c>
      <c r="J105" s="133">
        <f>IFERROR(
INDEX('Huntsman Raw'!$B$41:$K$100,
MATCH(TRIM($A105),'Huntsman Raw'!$M$41:$M$100,0),
MATCH(J$33,'Huntsman Raw'!$B$38:$K$38,0)
),"")</f>
        <v>8220</v>
      </c>
      <c r="K105" s="133">
        <f>IFERROR(
INDEX('Huntsman Raw'!$B$41:$K$100,
MATCH(TRIM($A105),'Huntsman Raw'!$M$41:$M$100,0),
MATCH(K$33,'Huntsman Raw'!$B$38:$K$38,0)
),"")</f>
        <v>7248</v>
      </c>
      <c r="L105" s="133">
        <f>IFERROR(
INDEX('Huntsman Raw'!$B$41:$K$100,
MATCH(TRIM($A105),'Huntsman Raw'!$M$41:$M$100,0),
MATCH(L$33,'Huntsman Raw'!$B$38:$K$38,0)
),"")</f>
        <v>7114</v>
      </c>
      <c r="M105" s="133">
        <f>IFERROR(
INDEX('Huntsman Raw'!$B$41:$K$100,
MATCH(TRIM($A105),'Huntsman Raw'!$M$41:$M$100,0),
MATCH(M$33,'Huntsman Raw'!$B$38:$K$38,0)
),"")</f>
        <v>7015</v>
      </c>
      <c r="N105" s="134">
        <f t="shared" ref="N105:S105" si="53">N$103+N$96</f>
        <v>7069.4845629879455</v>
      </c>
      <c r="O105" s="135">
        <f t="shared" si="53"/>
        <v>7151.396547281357</v>
      </c>
      <c r="P105" s="135">
        <f t="shared" si="53"/>
        <v>7411.3770384958043</v>
      </c>
      <c r="Q105" s="135">
        <f t="shared" si="53"/>
        <v>7777.8381255395416</v>
      </c>
      <c r="R105" s="135">
        <f t="shared" si="53"/>
        <v>8297.5130289509179</v>
      </c>
      <c r="S105" s="136">
        <f t="shared" si="53"/>
        <v>8894.1616635149985</v>
      </c>
    </row>
    <row r="106" spans="1:19" ht="14" thickTop="1" x14ac:dyDescent="0.15"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96"/>
      <c r="O106" s="57"/>
      <c r="P106" s="57"/>
      <c r="Q106" s="57"/>
      <c r="R106" s="57"/>
      <c r="S106" s="97"/>
    </row>
    <row r="107" spans="1:19" x14ac:dyDescent="0.15">
      <c r="C107" s="41" t="s">
        <v>397</v>
      </c>
      <c r="D107" s="51">
        <f>D105-D80</f>
        <v>0</v>
      </c>
      <c r="E107" s="51">
        <f t="shared" ref="E107:S107" si="54">E105-E80</f>
        <v>0</v>
      </c>
      <c r="F107" s="51">
        <f t="shared" si="54"/>
        <v>0</v>
      </c>
      <c r="G107" s="51">
        <f t="shared" si="54"/>
        <v>0</v>
      </c>
      <c r="H107" s="51">
        <f t="shared" si="54"/>
        <v>0</v>
      </c>
      <c r="I107" s="51">
        <f t="shared" si="54"/>
        <v>0</v>
      </c>
      <c r="J107" s="51">
        <f t="shared" si="54"/>
        <v>0</v>
      </c>
      <c r="K107" s="51">
        <f t="shared" si="54"/>
        <v>0</v>
      </c>
      <c r="L107" s="51">
        <f t="shared" si="54"/>
        <v>0</v>
      </c>
      <c r="M107" s="51">
        <f t="shared" si="54"/>
        <v>0</v>
      </c>
      <c r="N107" s="176">
        <f t="shared" si="54"/>
        <v>0</v>
      </c>
      <c r="O107" s="51">
        <f t="shared" si="54"/>
        <v>0</v>
      </c>
      <c r="P107" s="51">
        <f t="shared" si="54"/>
        <v>0</v>
      </c>
      <c r="Q107" s="51">
        <f t="shared" si="54"/>
        <v>0</v>
      </c>
      <c r="R107" s="51">
        <f t="shared" si="54"/>
        <v>0</v>
      </c>
      <c r="S107" s="177">
        <f t="shared" si="54"/>
        <v>0</v>
      </c>
    </row>
    <row r="108" spans="1:19" x14ac:dyDescent="0.15">
      <c r="A108" t="s">
        <v>161</v>
      </c>
      <c r="C108" t="s">
        <v>283</v>
      </c>
      <c r="D108">
        <f>IFERROR(
INDEX('Huntsman Raw'!$B$41:$K$100,
MATCH(TRIM($A108),'Huntsman Raw'!$M$41:$M$100,0),
MATCH(D$33,'Huntsman Raw'!$B$38:$K$38,0)
),"")</f>
        <v>236</v>
      </c>
      <c r="E108">
        <f>IFERROR(
INDEX('Huntsman Raw'!$B$41:$K$100,
MATCH(TRIM($A108),'Huntsman Raw'!$M$41:$M$100,0),
MATCH(E$33,'Huntsman Raw'!$B$38:$K$38,0)
),"")</f>
        <v>240</v>
      </c>
      <c r="F108">
        <f>IFERROR(
INDEX('Huntsman Raw'!$B$41:$K$100,
MATCH(TRIM($A108),'Huntsman Raw'!$M$41:$M$100,0),
MATCH(F$33,'Huntsman Raw'!$B$38:$K$38,0)
),"")</f>
        <v>233</v>
      </c>
      <c r="G108">
        <f>IFERROR(
INDEX('Huntsman Raw'!$B$41:$K$100,
MATCH(TRIM($A108),'Huntsman Raw'!$M$41:$M$100,0),
MATCH(G$33,'Huntsman Raw'!$B$38:$K$38,0)
),"")</f>
        <v>224</v>
      </c>
      <c r="H108">
        <f>IFERROR(
INDEX('Huntsman Raw'!$B$41:$K$100,
MATCH(TRIM($A108),'Huntsman Raw'!$M$41:$M$100,0),
MATCH(H$33,'Huntsman Raw'!$B$38:$K$38,0)
),"")</f>
        <v>220</v>
      </c>
      <c r="I108">
        <f>IFERROR(
INDEX('Huntsman Raw'!$B$41:$K$100,
MATCH(TRIM($A108),'Huntsman Raw'!$M$41:$M$100,0),
MATCH(I$33,'Huntsman Raw'!$B$38:$K$38,0)
),"")</f>
        <v>214</v>
      </c>
      <c r="J108">
        <f>IFERROR(
INDEX('Huntsman Raw'!$B$41:$K$100,
MATCH(TRIM($A108),'Huntsman Raw'!$M$41:$M$100,0),
MATCH(J$33,'Huntsman Raw'!$B$38:$K$38,0)
),"")</f>
        <v>184</v>
      </c>
      <c r="K108">
        <f>IFERROR(
INDEX('Huntsman Raw'!$B$41:$K$100,
MATCH(TRIM($A108),'Huntsman Raw'!$M$41:$M$100,0),
MATCH(K$33,'Huntsman Raw'!$B$38:$K$38,0)
),"")</f>
        <v>172</v>
      </c>
      <c r="L108">
        <f>IFERROR(
INDEX('Huntsman Raw'!$B$41:$K$100,
MATCH(TRIM($A108),'Huntsman Raw'!$M$41:$M$100,0),
MATCH(L$33,'Huntsman Raw'!$B$38:$K$38,0)
),"")</f>
        <v>172</v>
      </c>
      <c r="M108">
        <f>IFERROR(
INDEX('Huntsman Raw'!$B$41:$K$100,
MATCH(TRIM($A108),'Huntsman Raw'!$M$41:$M$100,0),
MATCH(M$33,'Huntsman Raw'!$B$38:$K$38,0)
),"")</f>
        <v>173</v>
      </c>
      <c r="N108" s="123">
        <f>'Huntsman Equity Schedule'!M$19</f>
        <v>174.4</v>
      </c>
      <c r="O108" s="124">
        <f>'Huntsman Equity Schedule'!N$19</f>
        <v>175.8</v>
      </c>
      <c r="P108" s="124">
        <f>'Huntsman Equity Schedule'!O$19</f>
        <v>175.8</v>
      </c>
      <c r="Q108" s="124">
        <f>'Huntsman Equity Schedule'!P$19</f>
        <v>175.8</v>
      </c>
      <c r="R108" s="124">
        <f>'Huntsman Equity Schedule'!Q$19</f>
        <v>175.8</v>
      </c>
      <c r="S108" s="125">
        <f>'Huntsman Equity Schedule'!R$19</f>
        <v>175.8</v>
      </c>
    </row>
    <row r="110" spans="1:19" ht="16" x14ac:dyDescent="0.15">
      <c r="C110" s="343" t="s">
        <v>405</v>
      </c>
      <c r="D110" s="343"/>
      <c r="E110" s="343"/>
      <c r="F110" s="343"/>
      <c r="G110" s="343"/>
      <c r="H110" s="343"/>
      <c r="I110" s="343"/>
      <c r="J110" s="343"/>
      <c r="K110" s="343"/>
      <c r="L110" s="343"/>
      <c r="M110" s="343"/>
      <c r="N110" s="343"/>
      <c r="O110" s="343"/>
      <c r="P110" s="343"/>
      <c r="Q110" s="343"/>
      <c r="R110" s="343"/>
      <c r="S110" s="343"/>
    </row>
    <row r="111" spans="1:19" x14ac:dyDescent="0.15">
      <c r="C111" s="90"/>
      <c r="D111" s="356" t="s">
        <v>399</v>
      </c>
      <c r="E111" s="356"/>
      <c r="F111" s="356"/>
      <c r="G111" s="356"/>
      <c r="H111" s="356"/>
      <c r="I111" s="356"/>
      <c r="J111" s="356"/>
      <c r="K111" s="356"/>
      <c r="L111" s="356"/>
      <c r="M111" s="356"/>
      <c r="N111" s="338" t="s">
        <v>400</v>
      </c>
      <c r="O111" s="339"/>
      <c r="P111" s="339"/>
      <c r="Q111" s="339"/>
      <c r="R111" s="339"/>
      <c r="S111" s="340"/>
    </row>
    <row r="112" spans="1:19" x14ac:dyDescent="0.15">
      <c r="C112" s="59" t="s">
        <v>86</v>
      </c>
      <c r="D112" s="60">
        <v>42735</v>
      </c>
      <c r="E112" s="60">
        <f t="shared" ref="E112:S112" si="55">EDATE(D112,12)</f>
        <v>43100</v>
      </c>
      <c r="F112" s="60">
        <f t="shared" si="55"/>
        <v>43465</v>
      </c>
      <c r="G112" s="60">
        <f t="shared" si="55"/>
        <v>43830</v>
      </c>
      <c r="H112" s="60">
        <f t="shared" si="55"/>
        <v>44196</v>
      </c>
      <c r="I112" s="60">
        <f t="shared" si="55"/>
        <v>44561</v>
      </c>
      <c r="J112" s="60">
        <f t="shared" si="55"/>
        <v>44926</v>
      </c>
      <c r="K112" s="60">
        <f t="shared" si="55"/>
        <v>45291</v>
      </c>
      <c r="L112" s="60">
        <f t="shared" si="55"/>
        <v>45657</v>
      </c>
      <c r="M112" s="60">
        <f t="shared" si="55"/>
        <v>46022</v>
      </c>
      <c r="N112" s="91">
        <f t="shared" si="55"/>
        <v>46387</v>
      </c>
      <c r="O112" s="60">
        <f t="shared" si="55"/>
        <v>46752</v>
      </c>
      <c r="P112" s="60">
        <f t="shared" si="55"/>
        <v>47118</v>
      </c>
      <c r="Q112" s="60">
        <f t="shared" si="55"/>
        <v>47483</v>
      </c>
      <c r="R112" s="60">
        <f t="shared" si="55"/>
        <v>47848</v>
      </c>
      <c r="S112" s="92">
        <f t="shared" si="55"/>
        <v>48213</v>
      </c>
    </row>
    <row r="113" spans="1:20" x14ac:dyDescent="0.15">
      <c r="C113" s="128"/>
      <c r="D113" s="129" t="s">
        <v>88</v>
      </c>
      <c r="E113" s="129" t="s">
        <v>88</v>
      </c>
      <c r="F113" s="129" t="s">
        <v>88</v>
      </c>
      <c r="G113" s="129" t="s">
        <v>88</v>
      </c>
      <c r="H113" s="129" t="s">
        <v>88</v>
      </c>
      <c r="I113" s="129" t="s">
        <v>88</v>
      </c>
      <c r="J113" s="129" t="s">
        <v>88</v>
      </c>
      <c r="K113" s="129" t="s">
        <v>88</v>
      </c>
      <c r="L113" s="129" t="s">
        <v>88</v>
      </c>
      <c r="M113" s="129" t="s">
        <v>88</v>
      </c>
      <c r="N113" s="130" t="s">
        <v>88</v>
      </c>
      <c r="O113" s="129" t="s">
        <v>88</v>
      </c>
      <c r="P113" s="129" t="s">
        <v>88</v>
      </c>
      <c r="Q113" s="129" t="s">
        <v>88</v>
      </c>
      <c r="R113" s="129" t="s">
        <v>88</v>
      </c>
      <c r="S113" s="131" t="s">
        <v>88</v>
      </c>
    </row>
    <row r="114" spans="1:20" x14ac:dyDescent="0.15">
      <c r="A114" t="s">
        <v>107</v>
      </c>
      <c r="C114" t="s">
        <v>107</v>
      </c>
      <c r="D114">
        <f>IFERROR(
INDEX('Huntsman Raw'!$B$92:$K$111,
MATCH(TRIM($A114),'Huntsman Raw'!$M$92:$M$111,0),
MATCH(D$33,'Huntsman Raw'!$B$89:$K$89,0)
),"")</f>
        <v>357</v>
      </c>
      <c r="E114">
        <f>IFERROR(
INDEX('Huntsman Raw'!$B$92:$K$111,
MATCH(TRIM($A114),'Huntsman Raw'!$M$92:$M$111,0),
MATCH(E$33,'Huntsman Raw'!$B$89:$K$89,0)
),"")</f>
        <v>741</v>
      </c>
      <c r="F114">
        <f>IFERROR(
INDEX('Huntsman Raw'!$B$92:$K$111,
MATCH(TRIM($A114),'Huntsman Raw'!$M$92:$M$111,0),
MATCH(F$33,'Huntsman Raw'!$B$89:$K$89,0)
),"")</f>
        <v>650</v>
      </c>
      <c r="G114">
        <f>IFERROR(
INDEX('Huntsman Raw'!$B$92:$K$111,
MATCH(TRIM($A114),'Huntsman Raw'!$M$92:$M$111,0),
MATCH(G$33,'Huntsman Raw'!$B$89:$K$89,0)
),"")</f>
        <v>598</v>
      </c>
      <c r="H114">
        <f>IFERROR(
INDEX('Huntsman Raw'!$B$92:$K$111,
MATCH(TRIM($A114),'Huntsman Raw'!$M$92:$M$111,0),
MATCH(H$33,'Huntsman Raw'!$B$89:$K$89,0)
),"")</f>
        <v>1066</v>
      </c>
      <c r="I114">
        <f>IFERROR(
INDEX('Huntsman Raw'!$B$92:$K$111,
MATCH(TRIM($A114),'Huntsman Raw'!$M$92:$M$111,0),
MATCH(I$33,'Huntsman Raw'!$B$89:$K$89,0)
),"")</f>
        <v>1104</v>
      </c>
      <c r="J114">
        <f>IFERROR(
INDEX('Huntsman Raw'!$B$92:$K$111,
MATCH(TRIM($A114),'Huntsman Raw'!$M$92:$M$111,0),
MATCH(J$33,'Huntsman Raw'!$B$89:$K$89,0)
),"")</f>
        <v>523</v>
      </c>
      <c r="K114">
        <f>IFERROR(
INDEX('Huntsman Raw'!$B$92:$K$111,
MATCH(TRIM($A114),'Huntsman Raw'!$M$92:$M$111,0),
MATCH(K$33,'Huntsman Raw'!$B$89:$K$89,0)
),"")</f>
        <v>153</v>
      </c>
      <c r="L114">
        <f>IFERROR(
INDEX('Huntsman Raw'!$B$92:$K$111,
MATCH(TRIM($A114),'Huntsman Raw'!$M$92:$M$111,0),
MATCH(L$33,'Huntsman Raw'!$B$89:$K$89,0)
),"")</f>
        <v>-127</v>
      </c>
      <c r="M114">
        <f>IFERROR(
INDEX('Huntsman Raw'!$B$92:$K$111,
MATCH(TRIM($A114),'Huntsman Raw'!$M$92:$M$111,0),
MATCH(M$33,'Huntsman Raw'!$B$89:$K$89,0)
),"")</f>
        <v>-227</v>
      </c>
      <c r="N114" s="98">
        <f t="shared" ref="N114:S114" si="56">N$52-N$53</f>
        <v>-20.129656737777445</v>
      </c>
      <c r="O114" s="39">
        <f t="shared" si="56"/>
        <v>59.140851870222022</v>
      </c>
      <c r="P114" s="39">
        <f t="shared" si="56"/>
        <v>227.42241595031487</v>
      </c>
      <c r="Q114" s="39">
        <f t="shared" si="56"/>
        <v>371.41270015286534</v>
      </c>
      <c r="R114" s="39">
        <f t="shared" si="56"/>
        <v>493.73767912710105</v>
      </c>
      <c r="S114" s="99">
        <f t="shared" si="56"/>
        <v>566.59255994933869</v>
      </c>
    </row>
    <row r="115" spans="1:20" x14ac:dyDescent="0.15">
      <c r="C115" s="2" t="s">
        <v>240</v>
      </c>
      <c r="D115">
        <f>'Huntsman D&amp;A'!C$36</f>
        <v>432</v>
      </c>
      <c r="E115">
        <f>'Huntsman D&amp;A'!D$36</f>
        <v>319</v>
      </c>
      <c r="F115">
        <f>'Huntsman D&amp;A'!E$36</f>
        <v>343</v>
      </c>
      <c r="G115">
        <f>'Huntsman D&amp;A'!F$36</f>
        <v>270</v>
      </c>
      <c r="H115">
        <f>'Huntsman D&amp;A'!G$36</f>
        <v>283</v>
      </c>
      <c r="I115">
        <f>'Huntsman D&amp;A'!H$36</f>
        <v>296</v>
      </c>
      <c r="J115">
        <f>'Huntsman D&amp;A'!I$36</f>
        <v>281</v>
      </c>
      <c r="K115">
        <f>'Huntsman D&amp;A'!J$36</f>
        <v>278</v>
      </c>
      <c r="L115">
        <f>'Huntsman D&amp;A'!K$36</f>
        <v>289</v>
      </c>
      <c r="M115">
        <f>'Huntsman D&amp;A'!L$36</f>
        <v>287</v>
      </c>
      <c r="N115" s="98">
        <f>'Huntsman D&amp;A'!M$36</f>
        <v>296.22576471794872</v>
      </c>
      <c r="O115" s="39">
        <f>'Huntsman D&amp;A'!N$36</f>
        <v>302.22411502497215</v>
      </c>
      <c r="P115" s="39">
        <f>'Huntsman D&amp;A'!O$36</f>
        <v>306.77272116456948</v>
      </c>
      <c r="Q115" s="39">
        <f>'Huntsman D&amp;A'!P$36</f>
        <v>311.84616209299651</v>
      </c>
      <c r="R115" s="39">
        <f>'Huntsman D&amp;A'!Q$36</f>
        <v>318.42106648449408</v>
      </c>
      <c r="S115" s="99">
        <f>'Huntsman D&amp;A'!R$36</f>
        <v>327.53536805639766</v>
      </c>
    </row>
    <row r="116" spans="1:20" x14ac:dyDescent="0.15">
      <c r="C116" s="132" t="s">
        <v>393</v>
      </c>
      <c r="D116" s="368" t="s">
        <v>394</v>
      </c>
      <c r="E116" s="368"/>
      <c r="F116" s="368"/>
      <c r="G116" s="368"/>
      <c r="H116" s="368"/>
      <c r="I116" s="368"/>
      <c r="J116" s="368"/>
      <c r="K116" s="368"/>
      <c r="L116" s="368"/>
      <c r="M116" s="368"/>
      <c r="N116" s="137">
        <f>'Huntsman Equity Schedule'!M10</f>
        <v>30</v>
      </c>
      <c r="O116" s="52">
        <f>'Huntsman Equity Schedule'!N10</f>
        <v>30</v>
      </c>
      <c r="P116" s="52">
        <f>'Huntsman Equity Schedule'!O10</f>
        <v>30</v>
      </c>
      <c r="Q116" s="52">
        <f>'Huntsman Equity Schedule'!P10</f>
        <v>30</v>
      </c>
      <c r="R116" s="52">
        <f>'Huntsman Equity Schedule'!Q10</f>
        <v>30</v>
      </c>
      <c r="S116" s="138">
        <f>'Huntsman Equity Schedule'!R10</f>
        <v>30</v>
      </c>
    </row>
    <row r="117" spans="1:20" x14ac:dyDescent="0.15">
      <c r="C117" s="2" t="s">
        <v>358</v>
      </c>
      <c r="D117" s="368" t="s">
        <v>394</v>
      </c>
      <c r="E117" s="368"/>
      <c r="F117" s="368"/>
      <c r="G117" s="368"/>
      <c r="H117" s="368"/>
      <c r="I117" s="368"/>
      <c r="J117" s="368"/>
      <c r="K117" s="368"/>
      <c r="L117" s="368"/>
      <c r="M117" s="368"/>
      <c r="N117" s="98">
        <f>'Huntsman Debt'!D$46*-1</f>
        <v>2.2777777777777786</v>
      </c>
      <c r="O117" s="39">
        <f>'Huntsman Debt'!E$46*-1</f>
        <v>2.2777777777777768</v>
      </c>
      <c r="P117" s="39">
        <f>'Huntsman Debt'!F$46*-1</f>
        <v>2.2777777777777786</v>
      </c>
      <c r="Q117" s="39">
        <f>'Huntsman Debt'!G$46*-1</f>
        <v>2.2777777777777772</v>
      </c>
      <c r="R117" s="39">
        <f>'Huntsman Debt'!H$46*-1</f>
        <v>0.77777777777777768</v>
      </c>
      <c r="S117" s="99">
        <f>'Huntsman Debt'!I$46*-1</f>
        <v>0.7777777777777779</v>
      </c>
    </row>
    <row r="118" spans="1:20" x14ac:dyDescent="0.15">
      <c r="A118" s="41" t="s">
        <v>313</v>
      </c>
      <c r="B118" s="41"/>
      <c r="C118" s="132" t="s">
        <v>313</v>
      </c>
      <c r="D118" s="12">
        <f t="shared" ref="D118:M118" si="57">D66+D67+D68+D69-D82-D83-D86</f>
        <v>1423</v>
      </c>
      <c r="E118" s="12">
        <f t="shared" si="57"/>
        <v>2284</v>
      </c>
      <c r="F118" s="12">
        <f t="shared" si="57"/>
        <v>1103</v>
      </c>
      <c r="G118" s="12">
        <f t="shared" si="57"/>
        <v>1434</v>
      </c>
      <c r="H118" s="12">
        <f t="shared" si="57"/>
        <v>589</v>
      </c>
      <c r="I118" s="12">
        <f t="shared" si="57"/>
        <v>848</v>
      </c>
      <c r="J118" s="12">
        <f t="shared" si="57"/>
        <v>856</v>
      </c>
      <c r="K118" s="12">
        <f t="shared" si="57"/>
        <v>614</v>
      </c>
      <c r="L118" s="12">
        <f t="shared" si="57"/>
        <v>545</v>
      </c>
      <c r="M118" s="12">
        <f t="shared" si="57"/>
        <v>399</v>
      </c>
      <c r="N118" s="137">
        <f>N$66+N$67+N$68+N$69-N$82-N$83-N$86</f>
        <v>477.76934290410981</v>
      </c>
      <c r="O118" s="52">
        <f t="shared" ref="O118:S118" si="58">O$66+O$67+O$68+O$69-O$82-O$83-O$86</f>
        <v>516.31855654657568</v>
      </c>
      <c r="P118" s="52">
        <f t="shared" si="58"/>
        <v>564.33926102005466</v>
      </c>
      <c r="Q118" s="52">
        <f t="shared" si="58"/>
        <v>601.63189671460077</v>
      </c>
      <c r="R118" s="52">
        <f t="shared" si="58"/>
        <v>644.65458950233631</v>
      </c>
      <c r="S118" s="138">
        <f t="shared" si="58"/>
        <v>684.73941961681408</v>
      </c>
      <c r="T118" t="s">
        <v>580</v>
      </c>
    </row>
    <row r="119" spans="1:20" x14ac:dyDescent="0.15">
      <c r="A119" t="s">
        <v>162</v>
      </c>
      <c r="C119" s="2" t="s">
        <v>460</v>
      </c>
      <c r="D119">
        <f>IFERROR(
INDEX('Huntsman Raw'!$B$92:$K$111,
MATCH(TRIM($A119),'Huntsman Raw'!$M$92:$M$111,0),
MATCH(D$33,'Huntsman Raw'!$B$89:$K$89,0)
),"")</f>
        <v>355</v>
      </c>
      <c r="E119">
        <f>IFERROR(
INDEX('Huntsman Raw'!$B$92:$K$111,
MATCH(TRIM($A119),'Huntsman Raw'!$M$92:$M$111,0),
MATCH(E$33,'Huntsman Raw'!$B$89:$K$89,0)
),"")</f>
        <v>-86</v>
      </c>
      <c r="F119">
        <f>IFERROR(
INDEX('Huntsman Raw'!$B$92:$K$111,
MATCH(TRIM($A119),'Huntsman Raw'!$M$92:$M$111,0),
MATCH(F$33,'Huntsman Raw'!$B$89:$K$89,0)
),"")</f>
        <v>-285</v>
      </c>
      <c r="G119">
        <f>IFERROR(
INDEX('Huntsman Raw'!$B$92:$K$111,
MATCH(TRIM($A119),'Huntsman Raw'!$M$92:$M$111,0),
MATCH(G$33,'Huntsman Raw'!$B$89:$K$89,0)
),"")</f>
        <v>-20</v>
      </c>
      <c r="H119">
        <f>IFERROR(
INDEX('Huntsman Raw'!$B$92:$K$111,
MATCH(TRIM($A119),'Huntsman Raw'!$M$92:$M$111,0),
MATCH(H$33,'Huntsman Raw'!$B$89:$K$89,0)
),"")</f>
        <v>-358</v>
      </c>
      <c r="I119">
        <f>IFERROR(
INDEX('Huntsman Raw'!$B$92:$K$111,
MATCH(TRIM($A119),'Huntsman Raw'!$M$92:$M$111,0),
MATCH(I$33,'Huntsman Raw'!$B$89:$K$89,0)
),"")</f>
        <v>-461</v>
      </c>
      <c r="J119">
        <f>IFERROR(
INDEX('Huntsman Raw'!$B$92:$K$111,
MATCH(TRIM($A119),'Huntsman Raw'!$M$92:$M$111,0),
MATCH(J$33,'Huntsman Raw'!$B$89:$K$89,0)
),"")</f>
        <v>-64</v>
      </c>
      <c r="K119">
        <f>IFERROR(
INDEX('Huntsman Raw'!$B$92:$K$111,
MATCH(TRIM($A119),'Huntsman Raw'!$M$92:$M$111,0),
MATCH(K$33,'Huntsman Raw'!$B$89:$K$89,0)
),"")</f>
        <v>-159</v>
      </c>
      <c r="L119">
        <f>IFERROR(
INDEX('Huntsman Raw'!$B$92:$K$111,
MATCH(TRIM($A119),'Huntsman Raw'!$M$92:$M$111,0),
MATCH(L$33,'Huntsman Raw'!$B$89:$K$89,0)
),"")</f>
        <v>-130</v>
      </c>
      <c r="M119">
        <f>IFERROR(
INDEX('Huntsman Raw'!$B$92:$K$111,
MATCH(TRIM($A119),'Huntsman Raw'!$M$92:$M$111,0),
MATCH(M$33,'Huntsman Raw'!$B$89:$K$89,0)
),"")</f>
        <v>38</v>
      </c>
      <c r="N119" s="98">
        <f>(M$118-N$118)</f>
        <v>-78.769342904109806</v>
      </c>
      <c r="O119" s="39">
        <f t="shared" ref="O119:S119" si="59">(N$118-O$118)</f>
        <v>-38.549213642465872</v>
      </c>
      <c r="P119" s="39">
        <f t="shared" si="59"/>
        <v>-48.020704473478986</v>
      </c>
      <c r="Q119" s="39">
        <f t="shared" si="59"/>
        <v>-37.292635694546107</v>
      </c>
      <c r="R119" s="39">
        <f t="shared" si="59"/>
        <v>-43.022692787735537</v>
      </c>
      <c r="S119" s="99">
        <f t="shared" si="59"/>
        <v>-40.084830114477768</v>
      </c>
    </row>
    <row r="120" spans="1:20" x14ac:dyDescent="0.15">
      <c r="C120" s="2" t="s">
        <v>396</v>
      </c>
      <c r="D120" s="367" t="s">
        <v>394</v>
      </c>
      <c r="E120" s="367"/>
      <c r="F120" s="367"/>
      <c r="G120" s="367"/>
      <c r="H120" s="367"/>
      <c r="I120" s="367"/>
      <c r="J120" s="367"/>
      <c r="K120" s="367"/>
      <c r="L120" s="367"/>
      <c r="M120" s="367"/>
      <c r="N120" s="137">
        <f t="shared" ref="N120:S120" si="60">-(N78-M78)+(N94-M94)</f>
        <v>-15.985408800000073</v>
      </c>
      <c r="O120" s="52">
        <f t="shared" si="60"/>
        <v>-16.048905659999946</v>
      </c>
      <c r="P120" s="52">
        <f t="shared" si="60"/>
        <v>-18.862813785720164</v>
      </c>
      <c r="Q120" s="52">
        <f t="shared" si="60"/>
        <v>-14.436033438251798</v>
      </c>
      <c r="R120" s="52">
        <f t="shared" si="60"/>
        <v>-17.379988671141973</v>
      </c>
      <c r="S120" s="138">
        <f t="shared" si="60"/>
        <v>-16.842789021306885</v>
      </c>
    </row>
    <row r="121" spans="1:20" x14ac:dyDescent="0.15">
      <c r="A121" t="s">
        <v>163</v>
      </c>
      <c r="C121" s="88" t="s">
        <v>284</v>
      </c>
      <c r="D121" s="88">
        <f>IFERROR(
INDEX('Huntsman Raw'!$B$92:$K$111,
MATCH(TRIM($A121),'Huntsman Raw'!$M$92:$M$111,0),
MATCH(D$33,'Huntsman Raw'!$B$89:$K$89,0)
),"")</f>
        <v>1088</v>
      </c>
      <c r="E121" s="88">
        <f>IFERROR(
INDEX('Huntsman Raw'!$B$92:$K$111,
MATCH(TRIM($A121),'Huntsman Raw'!$M$92:$M$111,0),
MATCH(E$33,'Huntsman Raw'!$B$89:$K$89,0)
),"")</f>
        <v>1219</v>
      </c>
      <c r="F121" s="88">
        <f>IFERROR(
INDEX('Huntsman Raw'!$B$92:$K$111,
MATCH(TRIM($A121),'Huntsman Raw'!$M$92:$M$111,0),
MATCH(F$33,'Huntsman Raw'!$B$89:$K$89,0)
),"")</f>
        <v>1053</v>
      </c>
      <c r="G121" s="88">
        <f>IFERROR(
INDEX('Huntsman Raw'!$B$92:$K$111,
MATCH(TRIM($A121),'Huntsman Raw'!$M$92:$M$111,0),
MATCH(G$33,'Huntsman Raw'!$B$89:$K$89,0)
),"")</f>
        <v>897</v>
      </c>
      <c r="H121" s="88">
        <f>IFERROR(
INDEX('Huntsman Raw'!$B$92:$K$111,
MATCH(TRIM($A121),'Huntsman Raw'!$M$92:$M$111,0),
MATCH(H$33,'Huntsman Raw'!$B$89:$K$89,0)
),"")</f>
        <v>253</v>
      </c>
      <c r="I121" s="88">
        <f>IFERROR(
INDEX('Huntsman Raw'!$B$92:$K$111,
MATCH(TRIM($A121),'Huntsman Raw'!$M$92:$M$111,0),
MATCH(I$33,'Huntsman Raw'!$B$89:$K$89,0)
),"")</f>
        <v>952</v>
      </c>
      <c r="J121" s="88">
        <f>IFERROR(
INDEX('Huntsman Raw'!$B$92:$K$111,
MATCH(TRIM($A121),'Huntsman Raw'!$M$92:$M$111,0),
MATCH(J$33,'Huntsman Raw'!$B$89:$K$89,0)
),"")</f>
        <v>914</v>
      </c>
      <c r="K121" s="88">
        <f>IFERROR(
INDEX('Huntsman Raw'!$B$92:$K$111,
MATCH(TRIM($A121),'Huntsman Raw'!$M$92:$M$111,0),
MATCH(K$33,'Huntsman Raw'!$B$89:$K$89,0)
),"")</f>
        <v>209</v>
      </c>
      <c r="L121" s="88">
        <f>IFERROR(
INDEX('Huntsman Raw'!$B$92:$K$111,
MATCH(TRIM($A121),'Huntsman Raw'!$M$92:$M$111,0),
MATCH(L$33,'Huntsman Raw'!$B$89:$K$89,0)
),"")</f>
        <v>263</v>
      </c>
      <c r="M121" s="88">
        <f>IFERROR(
INDEX('Huntsman Raw'!$B$92:$K$111,
MATCH(TRIM($A121),'Huntsman Raw'!$M$92:$M$111,0),
MATCH(M$33,'Huntsman Raw'!$B$89:$K$89,0)
),"")</f>
        <v>289</v>
      </c>
      <c r="N121" s="94">
        <f t="shared" ref="N121:S121" si="61">N$114+N$41+N$119+N117+N$115+N$116+N$120</f>
        <v>213.61913405383916</v>
      </c>
      <c r="O121" s="89">
        <f t="shared" si="61"/>
        <v>339.04462537050614</v>
      </c>
      <c r="P121" s="89">
        <f t="shared" si="61"/>
        <v>499.58939663346291</v>
      </c>
      <c r="Q121" s="89">
        <f t="shared" si="61"/>
        <v>663.80797089084172</v>
      </c>
      <c r="R121" s="89">
        <f t="shared" si="61"/>
        <v>782.53384193049533</v>
      </c>
      <c r="S121" s="95">
        <f t="shared" si="61"/>
        <v>867.97808664772958</v>
      </c>
    </row>
    <row r="122" spans="1:20" x14ac:dyDescent="0.15">
      <c r="N122" s="98"/>
      <c r="O122" s="39"/>
      <c r="P122" s="39"/>
      <c r="Q122" s="39"/>
      <c r="R122" s="39"/>
      <c r="S122" s="99"/>
    </row>
    <row r="123" spans="1:20" x14ac:dyDescent="0.15">
      <c r="A123" t="s">
        <v>164</v>
      </c>
      <c r="C123" s="48" t="s">
        <v>164</v>
      </c>
      <c r="D123" s="48">
        <f>IFERROR(
INDEX('Huntsman Raw'!$B$92:$K$111,
MATCH(TRIM($A123),'Huntsman Raw'!$M$92:$M$111,0),
MATCH(D$33,'Huntsman Raw'!$B$89:$K$89,0)
),"")</f>
        <v>-421</v>
      </c>
      <c r="E123" s="48">
        <f>IFERROR(
INDEX('Huntsman Raw'!$B$92:$K$111,
MATCH(TRIM($A123),'Huntsman Raw'!$M$92:$M$111,0),
MATCH(E$33,'Huntsman Raw'!$B$89:$K$89,0)
),"")</f>
        <v>-282</v>
      </c>
      <c r="F123" s="48">
        <f>IFERROR(
INDEX('Huntsman Raw'!$B$92:$K$111,
MATCH(TRIM($A123),'Huntsman Raw'!$M$92:$M$111,0),
MATCH(F$33,'Huntsman Raw'!$B$89:$K$89,0)
),"")</f>
        <v>-313</v>
      </c>
      <c r="G123" s="48">
        <f>IFERROR(
INDEX('Huntsman Raw'!$B$92:$K$111,
MATCH(TRIM($A123),'Huntsman Raw'!$M$92:$M$111,0),
MATCH(G$33,'Huntsman Raw'!$B$89:$K$89,0)
),"")</f>
        <v>-274</v>
      </c>
      <c r="H123" s="48">
        <f>IFERROR(
INDEX('Huntsman Raw'!$B$92:$K$111,
MATCH(TRIM($A123),'Huntsman Raw'!$M$92:$M$111,0),
MATCH(H$33,'Huntsman Raw'!$B$89:$K$89,0)
),"")</f>
        <v>-249</v>
      </c>
      <c r="I123" s="48">
        <f>IFERROR(
INDEX('Huntsman Raw'!$B$92:$K$111,
MATCH(TRIM($A123),'Huntsman Raw'!$M$92:$M$111,0),
MATCH(I$33,'Huntsman Raw'!$B$89:$K$89,0)
),"")</f>
        <v>-342</v>
      </c>
      <c r="J123" s="48">
        <f>IFERROR(
INDEX('Huntsman Raw'!$B$92:$K$111,
MATCH(TRIM($A123),'Huntsman Raw'!$M$92:$M$111,0),
MATCH(J$33,'Huntsman Raw'!$B$89:$K$89,0)
),"")</f>
        <v>-272</v>
      </c>
      <c r="K123" s="48">
        <f>IFERROR(
INDEX('Huntsman Raw'!$B$92:$K$111,
MATCH(TRIM($A123),'Huntsman Raw'!$M$92:$M$111,0),
MATCH(K$33,'Huntsman Raw'!$B$89:$K$89,0)
),"")</f>
        <v>-230</v>
      </c>
      <c r="L123" s="48">
        <f>IFERROR(
INDEX('Huntsman Raw'!$B$92:$K$111,
MATCH(TRIM($A123),'Huntsman Raw'!$M$92:$M$111,0),
MATCH(L$33,'Huntsman Raw'!$B$89:$K$89,0)
),"")</f>
        <v>-184</v>
      </c>
      <c r="M123" s="48">
        <f>IFERROR(
INDEX('Huntsman Raw'!$B$92:$K$111,
MATCH(TRIM($A123),'Huntsman Raw'!$M$92:$M$111,0),
MATCH(M$33,'Huntsman Raw'!$B$89:$K$89,0)
),"")</f>
        <v>-173</v>
      </c>
      <c r="N123" s="96">
        <f>'Huntsman D&amp;A'!M17</f>
        <v>-184.47018</v>
      </c>
      <c r="O123" s="57">
        <f>'Huntsman D&amp;A'!N17</f>
        <v>-198.3054435</v>
      </c>
      <c r="P123" s="57">
        <f>'Huntsman D&amp;A'!O17</f>
        <v>-214.56648986700003</v>
      </c>
      <c r="Q123" s="57">
        <f>'Huntsman D&amp;A'!P17</f>
        <v>-227.01134627928602</v>
      </c>
      <c r="R123" s="57">
        <f>'Huntsman D&amp;A'!Q17</f>
        <v>-241.9940951337189</v>
      </c>
      <c r="S123" s="97">
        <f>'Huntsman D&amp;A'!R17</f>
        <v>-256.51374084174205</v>
      </c>
    </row>
    <row r="124" spans="1:20" x14ac:dyDescent="0.15">
      <c r="A124" t="s">
        <v>165</v>
      </c>
      <c r="C124" s="2" t="s">
        <v>285</v>
      </c>
      <c r="D124">
        <f>IFERROR(
INDEX('Huntsman Raw'!$B$92:$K$111,
MATCH(TRIM($A124),'Huntsman Raw'!$M$92:$M$111,0),
MATCH(D$33,'Huntsman Raw'!$B$89:$K$89,0)
),"")</f>
        <v>0</v>
      </c>
      <c r="E124">
        <f>IFERROR(
INDEX('Huntsman Raw'!$B$92:$K$111,
MATCH(TRIM($A124),'Huntsman Raw'!$M$92:$M$111,0),
MATCH(E$33,'Huntsman Raw'!$B$89:$K$89,0)
),"")</f>
        <v>0</v>
      </c>
      <c r="F124">
        <f>IFERROR(
INDEX('Huntsman Raw'!$B$92:$K$111,
MATCH(TRIM($A124),'Huntsman Raw'!$M$92:$M$111,0),
MATCH(F$33,'Huntsman Raw'!$B$89:$K$89,0)
),"")</f>
        <v>0</v>
      </c>
      <c r="G124">
        <f>IFERROR(
INDEX('Huntsman Raw'!$B$92:$K$111,
MATCH(TRIM($A124),'Huntsman Raw'!$M$92:$M$111,0),
MATCH(G$33,'Huntsman Raw'!$B$89:$K$89,0)
),"")</f>
        <v>0</v>
      </c>
      <c r="H124">
        <f>IFERROR(
INDEX('Huntsman Raw'!$B$92:$K$111,
MATCH(TRIM($A124),'Huntsman Raw'!$M$92:$M$111,0),
MATCH(H$33,'Huntsman Raw'!$B$89:$K$89,0)
),"")</f>
        <v>0</v>
      </c>
      <c r="I124">
        <f>IFERROR(
INDEX('Huntsman Raw'!$B$92:$K$111,
MATCH(TRIM($A124),'Huntsman Raw'!$M$92:$M$111,0),
MATCH(I$33,'Huntsman Raw'!$B$89:$K$89,0)
),"")</f>
        <v>0</v>
      </c>
      <c r="J124">
        <f>IFERROR(
INDEX('Huntsman Raw'!$B$92:$K$111,
MATCH(TRIM($A124),'Huntsman Raw'!$M$92:$M$111,0),
MATCH(J$33,'Huntsman Raw'!$B$89:$K$89,0)
),"")</f>
        <v>0</v>
      </c>
      <c r="K124">
        <f>IFERROR(
INDEX('Huntsman Raw'!$B$92:$K$111,
MATCH(TRIM($A124),'Huntsman Raw'!$M$92:$M$111,0),
MATCH(K$33,'Huntsman Raw'!$B$89:$K$89,0)
),"")</f>
        <v>0</v>
      </c>
      <c r="L124">
        <f>IFERROR(
INDEX('Huntsman Raw'!$B$92:$K$111,
MATCH(TRIM($A124),'Huntsman Raw'!$M$92:$M$111,0),
MATCH(L$33,'Huntsman Raw'!$B$89:$K$89,0)
),"")</f>
        <v>0</v>
      </c>
      <c r="M124">
        <f>IFERROR(
INDEX('Huntsman Raw'!$B$92:$K$111,
MATCH(TRIM($A124),'Huntsman Raw'!$M$92:$M$111,0),
MATCH(M$33,'Huntsman Raw'!$B$89:$K$89,0)
),"")</f>
        <v>0</v>
      </c>
      <c r="N124" s="139">
        <f>$M$124</f>
        <v>0</v>
      </c>
      <c r="O124" s="15">
        <f t="shared" ref="O124:S124" si="62">$M$124</f>
        <v>0</v>
      </c>
      <c r="P124" s="15">
        <f t="shared" si="62"/>
        <v>0</v>
      </c>
      <c r="Q124" s="15">
        <f t="shared" si="62"/>
        <v>0</v>
      </c>
      <c r="R124" s="15">
        <f t="shared" si="62"/>
        <v>0</v>
      </c>
      <c r="S124" s="13">
        <f t="shared" si="62"/>
        <v>0</v>
      </c>
    </row>
    <row r="125" spans="1:20" x14ac:dyDescent="0.15">
      <c r="A125" t="s">
        <v>167</v>
      </c>
      <c r="C125" s="2" t="s">
        <v>286</v>
      </c>
      <c r="D125">
        <f>IFERROR(
INDEX('Huntsman Raw'!$B$92:$K$111,
MATCH(TRIM($A125),'Huntsman Raw'!$M$92:$M$111,0),
MATCH(D$33,'Huntsman Raw'!$B$89:$K$89,0)
),"")</f>
        <v>0</v>
      </c>
      <c r="E125">
        <f>IFERROR(
INDEX('Huntsman Raw'!$B$92:$K$111,
MATCH(TRIM($A125),'Huntsman Raw'!$M$92:$M$111,0),
MATCH(E$33,'Huntsman Raw'!$B$89:$K$89,0)
),"")</f>
        <v>0</v>
      </c>
      <c r="F125">
        <f>IFERROR(
INDEX('Huntsman Raw'!$B$92:$K$111,
MATCH(TRIM($A125),'Huntsman Raw'!$M$92:$M$111,0),
MATCH(F$33,'Huntsman Raw'!$B$89:$K$89,0)
),"")</f>
        <v>0</v>
      </c>
      <c r="G125">
        <f>IFERROR(
INDEX('Huntsman Raw'!$B$92:$K$111,
MATCH(TRIM($A125),'Huntsman Raw'!$M$92:$M$111,0),
MATCH(G$33,'Huntsman Raw'!$B$89:$K$89,0)
),"")</f>
        <v>50</v>
      </c>
      <c r="H125">
        <f>IFERROR(
INDEX('Huntsman Raw'!$B$92:$K$111,
MATCH(TRIM($A125),'Huntsman Raw'!$M$92:$M$111,0),
MATCH(H$33,'Huntsman Raw'!$B$89:$K$89,0)
),"")</f>
        <v>75</v>
      </c>
      <c r="I125">
        <f>IFERROR(
INDEX('Huntsman Raw'!$B$92:$K$111,
MATCH(TRIM($A125),'Huntsman Raw'!$M$92:$M$111,0),
MATCH(I$33,'Huntsman Raw'!$B$89:$K$89,0)
),"")</f>
        <v>0</v>
      </c>
      <c r="J125">
        <f>IFERROR(
INDEX('Huntsman Raw'!$B$92:$K$111,
MATCH(TRIM($A125),'Huntsman Raw'!$M$92:$M$111,0),
MATCH(J$33,'Huntsman Raw'!$B$89:$K$89,0)
),"")</f>
        <v>0</v>
      </c>
      <c r="K125">
        <f>IFERROR(
INDEX('Huntsman Raw'!$B$92:$K$111,
MATCH(TRIM($A125),'Huntsman Raw'!$M$92:$M$111,0),
MATCH(K$33,'Huntsman Raw'!$B$89:$K$89,0)
),"")</f>
        <v>0</v>
      </c>
      <c r="L125">
        <f>IFERROR(
INDEX('Huntsman Raw'!$B$92:$K$111,
MATCH(TRIM($A125),'Huntsman Raw'!$M$92:$M$111,0),
MATCH(L$33,'Huntsman Raw'!$B$89:$K$89,0)
),"")</f>
        <v>11</v>
      </c>
      <c r="M125">
        <f>IFERROR(
INDEX('Huntsman Raw'!$B$92:$K$111,
MATCH(TRIM($A125),'Huntsman Raw'!$M$92:$M$111,0),
MATCH(M$33,'Huntsman Raw'!$B$89:$K$89,0)
),"")</f>
        <v>0</v>
      </c>
      <c r="N125" s="139">
        <v>0</v>
      </c>
      <c r="O125" s="15">
        <f>$N$125</f>
        <v>0</v>
      </c>
      <c r="P125" s="15">
        <f t="shared" ref="P125:S125" si="63">$N$125</f>
        <v>0</v>
      </c>
      <c r="Q125" s="15">
        <f t="shared" si="63"/>
        <v>0</v>
      </c>
      <c r="R125" s="15">
        <f t="shared" si="63"/>
        <v>0</v>
      </c>
      <c r="S125" s="13">
        <f t="shared" si="63"/>
        <v>0</v>
      </c>
    </row>
    <row r="126" spans="1:20" x14ac:dyDescent="0.15">
      <c r="A126" t="s">
        <v>168</v>
      </c>
      <c r="C126" s="2" t="s">
        <v>287</v>
      </c>
      <c r="D126">
        <f>IFERROR(
INDEX('Huntsman Raw'!$B$92:$K$111,
MATCH(TRIM($A126),'Huntsman Raw'!$M$92:$M$111,0),
MATCH(D$33,'Huntsman Raw'!$B$89:$K$89,0)
),"")</f>
        <v>0</v>
      </c>
      <c r="E126">
        <f>IFERROR(
INDEX('Huntsman Raw'!$B$92:$K$111,
MATCH(TRIM($A126),'Huntsman Raw'!$M$92:$M$111,0),
MATCH(E$33,'Huntsman Raw'!$B$89:$K$89,0)
),"")</f>
        <v>-14</v>
      </c>
      <c r="F126">
        <f>IFERROR(
INDEX('Huntsman Raw'!$B$92:$K$111,
MATCH(TRIM($A126),'Huntsman Raw'!$M$92:$M$111,0),
MATCH(F$33,'Huntsman Raw'!$B$89:$K$89,0)
),"")</f>
        <v>-366</v>
      </c>
      <c r="G126">
        <f>IFERROR(
INDEX('Huntsman Raw'!$B$92:$K$111,
MATCH(TRIM($A126),'Huntsman Raw'!$M$92:$M$111,0),
MATCH(G$33,'Huntsman Raw'!$B$89:$K$89,0)
),"")</f>
        <v>0</v>
      </c>
      <c r="H126">
        <f>IFERROR(
INDEX('Huntsman Raw'!$B$92:$K$111,
MATCH(TRIM($A126),'Huntsman Raw'!$M$92:$M$111,0),
MATCH(H$33,'Huntsman Raw'!$B$89:$K$89,0)
),"")</f>
        <v>-650</v>
      </c>
      <c r="I126">
        <f>IFERROR(
INDEX('Huntsman Raw'!$B$92:$K$111,
MATCH(TRIM($A126),'Huntsman Raw'!$M$92:$M$111,0),
MATCH(I$33,'Huntsman Raw'!$B$89:$K$89,0)
),"")</f>
        <v>-245</v>
      </c>
      <c r="J126">
        <f>IFERROR(
INDEX('Huntsman Raw'!$B$92:$K$111,
MATCH(TRIM($A126),'Huntsman Raw'!$M$92:$M$111,0),
MATCH(J$33,'Huntsman Raw'!$B$89:$K$89,0)
),"")</f>
        <v>0</v>
      </c>
      <c r="K126">
        <f>IFERROR(
INDEX('Huntsman Raw'!$B$92:$K$111,
MATCH(TRIM($A126),'Huntsman Raw'!$M$92:$M$111,0),
MATCH(K$33,'Huntsman Raw'!$B$89:$K$89,0)
),"")</f>
        <v>0</v>
      </c>
      <c r="L126">
        <f>IFERROR(
INDEX('Huntsman Raw'!$B$92:$K$111,
MATCH(TRIM($A126),'Huntsman Raw'!$M$92:$M$111,0),
MATCH(L$33,'Huntsman Raw'!$B$89:$K$89,0)
),"")</f>
        <v>0</v>
      </c>
      <c r="M126">
        <f>IFERROR(
INDEX('Huntsman Raw'!$B$92:$K$111,
MATCH(TRIM($A126),'Huntsman Raw'!$M$92:$M$111,0),
MATCH(M$33,'Huntsman Raw'!$B$89:$K$89,0)
),"")</f>
        <v>0</v>
      </c>
      <c r="N126" s="14">
        <v>0</v>
      </c>
      <c r="O126" s="15">
        <v>0</v>
      </c>
      <c r="P126" s="15">
        <v>0</v>
      </c>
      <c r="Q126" s="15">
        <v>0</v>
      </c>
      <c r="R126" s="15">
        <v>0</v>
      </c>
      <c r="S126" s="13">
        <v>0</v>
      </c>
    </row>
    <row r="127" spans="1:20" x14ac:dyDescent="0.15">
      <c r="A127" t="s">
        <v>170</v>
      </c>
      <c r="C127" s="2" t="s">
        <v>288</v>
      </c>
      <c r="D127">
        <f>IFERROR(
INDEX('Huntsman Raw'!$B$92:$K$111,
MATCH(TRIM($A127),'Huntsman Raw'!$M$92:$M$111,0),
MATCH(D$33,'Huntsman Raw'!$B$89:$K$89,0)
),"")</f>
        <v>219</v>
      </c>
      <c r="E127">
        <f>IFERROR(
INDEX('Huntsman Raw'!$B$92:$K$111,
MATCH(TRIM($A127),'Huntsman Raw'!$M$92:$M$111,0),
MATCH(E$33,'Huntsman Raw'!$B$89:$K$89,0)
),"")</f>
        <v>-142</v>
      </c>
      <c r="F127">
        <f>IFERROR(
INDEX('Huntsman Raw'!$B$92:$K$111,
MATCH(TRIM($A127),'Huntsman Raw'!$M$92:$M$111,0),
MATCH(F$33,'Huntsman Raw'!$B$89:$K$89,0)
),"")</f>
        <v>-660</v>
      </c>
      <c r="G127">
        <f>IFERROR(
INDEX('Huntsman Raw'!$B$92:$K$111,
MATCH(TRIM($A127),'Huntsman Raw'!$M$92:$M$111,0),
MATCH(G$33,'Huntsman Raw'!$B$89:$K$89,0)
),"")</f>
        <v>14</v>
      </c>
      <c r="H127">
        <f>IFERROR(
INDEX('Huntsman Raw'!$B$92:$K$111,
MATCH(TRIM($A127),'Huntsman Raw'!$M$92:$M$111,0),
MATCH(H$33,'Huntsman Raw'!$B$89:$K$89,0)
),"")</f>
        <v>1712</v>
      </c>
      <c r="I127">
        <f>IFERROR(
INDEX('Huntsman Raw'!$B$92:$K$111,
MATCH(TRIM($A127),'Huntsman Raw'!$M$92:$M$111,0),
MATCH(I$33,'Huntsman Raw'!$B$89:$K$89,0)
),"")</f>
        <v>-182</v>
      </c>
      <c r="J127">
        <f>IFERROR(
INDEX('Huntsman Raw'!$B$92:$K$111,
MATCH(TRIM($A127),'Huntsman Raw'!$M$92:$M$111,0),
MATCH(J$33,'Huntsman Raw'!$B$89:$K$89,0)
),"")</f>
        <v>-7</v>
      </c>
      <c r="K127">
        <f>IFERROR(
INDEX('Huntsman Raw'!$B$92:$K$111,
MATCH(TRIM($A127),'Huntsman Raw'!$M$92:$M$111,0),
MATCH(K$33,'Huntsman Raw'!$B$89:$K$89,0)
),"")</f>
        <v>535</v>
      </c>
      <c r="L127">
        <f>IFERROR(
INDEX('Huntsman Raw'!$B$92:$K$111,
MATCH(TRIM($A127),'Huntsman Raw'!$M$92:$M$111,0),
MATCH(L$33,'Huntsman Raw'!$B$89:$K$89,0)
),"")</f>
        <v>58</v>
      </c>
      <c r="M127">
        <f>IFERROR(
INDEX('Huntsman Raw'!$B$92:$K$111,
MATCH(TRIM($A127),'Huntsman Raw'!$M$92:$M$111,0),
MATCH(M$33,'Huntsman Raw'!$B$89:$K$89,0)
),"")</f>
        <v>41</v>
      </c>
      <c r="N127" s="14">
        <v>0</v>
      </c>
      <c r="O127" s="15">
        <v>0</v>
      </c>
      <c r="P127" s="15">
        <v>0</v>
      </c>
      <c r="Q127" s="15">
        <v>0</v>
      </c>
      <c r="R127" s="15">
        <v>0</v>
      </c>
      <c r="S127" s="13">
        <v>0</v>
      </c>
    </row>
    <row r="128" spans="1:20" x14ac:dyDescent="0.15">
      <c r="A128" t="s">
        <v>171</v>
      </c>
      <c r="C128" s="88" t="s">
        <v>289</v>
      </c>
      <c r="D128" s="88">
        <f>IFERROR(
INDEX('Huntsman Raw'!$B$92:$K$111,
MATCH(TRIM($A128),'Huntsman Raw'!$M$92:$M$111,0),
MATCH(D$33,'Huntsman Raw'!$B$89:$K$89,0)
),"")</f>
        <v>-202</v>
      </c>
      <c r="E128" s="88">
        <f>IFERROR(
INDEX('Huntsman Raw'!$B$92:$K$111,
MATCH(TRIM($A128),'Huntsman Raw'!$M$92:$M$111,0),
MATCH(E$33,'Huntsman Raw'!$B$89:$K$89,0)
),"")</f>
        <v>-424</v>
      </c>
      <c r="F128" s="88">
        <f>IFERROR(
INDEX('Huntsman Raw'!$B$92:$K$111,
MATCH(TRIM($A128),'Huntsman Raw'!$M$92:$M$111,0),
MATCH(F$33,'Huntsman Raw'!$B$89:$K$89,0)
),"")</f>
        <v>-973</v>
      </c>
      <c r="G128" s="88">
        <f>IFERROR(
INDEX('Huntsman Raw'!$B$92:$K$111,
MATCH(TRIM($A128),'Huntsman Raw'!$M$92:$M$111,0),
MATCH(G$33,'Huntsman Raw'!$B$89:$K$89,0)
),"")</f>
        <v>-260</v>
      </c>
      <c r="H128" s="88">
        <f>IFERROR(
INDEX('Huntsman Raw'!$B$92:$K$111,
MATCH(TRIM($A128),'Huntsman Raw'!$M$92:$M$111,0),
MATCH(H$33,'Huntsman Raw'!$B$89:$K$89,0)
),"")</f>
        <v>1463</v>
      </c>
      <c r="I128" s="88">
        <f>IFERROR(
INDEX('Huntsman Raw'!$B$92:$K$111,
MATCH(TRIM($A128),'Huntsman Raw'!$M$92:$M$111,0),
MATCH(I$33,'Huntsman Raw'!$B$89:$K$89,0)
),"")</f>
        <v>-524</v>
      </c>
      <c r="J128" s="88">
        <f>IFERROR(
INDEX('Huntsman Raw'!$B$92:$K$111,
MATCH(TRIM($A128),'Huntsman Raw'!$M$92:$M$111,0),
MATCH(J$33,'Huntsman Raw'!$B$89:$K$89,0)
),"")</f>
        <v>-279</v>
      </c>
      <c r="K128" s="88">
        <f>IFERROR(
INDEX('Huntsman Raw'!$B$92:$K$111,
MATCH(TRIM($A128),'Huntsman Raw'!$M$92:$M$111,0),
MATCH(K$33,'Huntsman Raw'!$B$89:$K$89,0)
),"")</f>
        <v>305</v>
      </c>
      <c r="L128" s="88">
        <f>IFERROR(
INDEX('Huntsman Raw'!$B$92:$K$111,
MATCH(TRIM($A128),'Huntsman Raw'!$M$92:$M$111,0),
MATCH(L$33,'Huntsman Raw'!$B$89:$K$89,0)
),"")</f>
        <v>-126</v>
      </c>
      <c r="M128" s="88">
        <f>IFERROR(
INDEX('Huntsman Raw'!$B$92:$K$111,
MATCH(TRIM($A128),'Huntsman Raw'!$M$92:$M$111,0),
MATCH(M$33,'Huntsman Raw'!$B$89:$K$89,0)
),"")</f>
        <v>-132</v>
      </c>
      <c r="N128" s="94">
        <f>SUM(N123:N127)</f>
        <v>-184.47018</v>
      </c>
      <c r="O128" s="89">
        <f t="shared" ref="O128:S128" si="64">SUM(O123:O127)</f>
        <v>-198.3054435</v>
      </c>
      <c r="P128" s="89">
        <f t="shared" si="64"/>
        <v>-214.56648986700003</v>
      </c>
      <c r="Q128" s="89">
        <f t="shared" si="64"/>
        <v>-227.01134627928602</v>
      </c>
      <c r="R128" s="89">
        <f t="shared" si="64"/>
        <v>-241.9940951337189</v>
      </c>
      <c r="S128" s="95">
        <f t="shared" si="64"/>
        <v>-256.51374084174205</v>
      </c>
    </row>
    <row r="129" spans="1:19" x14ac:dyDescent="0.15">
      <c r="C129" s="2"/>
      <c r="N129" s="98"/>
      <c r="O129" s="39"/>
      <c r="P129" s="39"/>
      <c r="Q129" s="39"/>
      <c r="R129" s="39"/>
      <c r="S129" s="99"/>
    </row>
    <row r="130" spans="1:19" x14ac:dyDescent="0.15">
      <c r="A130" t="s">
        <v>172</v>
      </c>
      <c r="C130" s="2" t="s">
        <v>290</v>
      </c>
      <c r="D130">
        <f>IFERROR(
INDEX('Huntsman Raw'!$B$92:$K$111,
MATCH(TRIM($A130),'Huntsman Raw'!$M$92:$M$111,0),
MATCH(D$33,'Huntsman Raw'!$B$89:$K$89,0)
),"")</f>
        <v>-47</v>
      </c>
      <c r="E130">
        <f>IFERROR(
INDEX('Huntsman Raw'!$B$92:$K$111,
MATCH(TRIM($A130),'Huntsman Raw'!$M$92:$M$111,0),
MATCH(E$33,'Huntsman Raw'!$B$89:$K$89,0)
),"")</f>
        <v>-47</v>
      </c>
      <c r="F130">
        <f>IFERROR(
INDEX('Huntsman Raw'!$B$92:$K$111,
MATCH(TRIM($A130),'Huntsman Raw'!$M$92:$M$111,0),
MATCH(F$33,'Huntsman Raw'!$B$89:$K$89,0)
),"")</f>
        <v>122</v>
      </c>
      <c r="G130">
        <f>IFERROR(
INDEX('Huntsman Raw'!$B$92:$K$111,
MATCH(TRIM($A130),'Huntsman Raw'!$M$92:$M$111,0),
MATCH(G$33,'Huntsman Raw'!$B$89:$K$89,0)
),"")</f>
        <v>13</v>
      </c>
      <c r="H130">
        <f>IFERROR(
INDEX('Huntsman Raw'!$B$92:$K$111,
MATCH(TRIM($A130),'Huntsman Raw'!$M$92:$M$111,0),
MATCH(H$33,'Huntsman Raw'!$B$89:$K$89,0)
),"")</f>
        <v>-312</v>
      </c>
      <c r="I130">
        <f>IFERROR(
INDEX('Huntsman Raw'!$B$92:$K$111,
MATCH(TRIM($A130),'Huntsman Raw'!$M$92:$M$111,0),
MATCH(I$33,'Huntsman Raw'!$B$89:$K$89,0)
),"")</f>
        <v>-8</v>
      </c>
      <c r="J130">
        <f>IFERROR(
INDEX('Huntsman Raw'!$B$92:$K$111,
MATCH(TRIM($A130),'Huntsman Raw'!$M$92:$M$111,0),
MATCH(J$33,'Huntsman Raw'!$B$89:$K$89,0)
),"")</f>
        <v>219</v>
      </c>
      <c r="K130">
        <f>IFERROR(
INDEX('Huntsman Raw'!$B$92:$K$111,
MATCH(TRIM($A130),'Huntsman Raw'!$M$92:$M$111,0),
MATCH(K$33,'Huntsman Raw'!$B$89:$K$89,0)
),"")</f>
        <v>-51</v>
      </c>
      <c r="L130">
        <f>IFERROR(
INDEX('Huntsman Raw'!$B$92:$K$111,
MATCH(TRIM($A130),'Huntsman Raw'!$M$92:$M$111,0),
MATCH(L$33,'Huntsman Raw'!$B$89:$K$89,0)
),"")</f>
        <v>-169</v>
      </c>
      <c r="M130">
        <f>IFERROR(
INDEX('Huntsman Raw'!$B$92:$K$111,
MATCH(TRIM($A130),'Huntsman Raw'!$M$92:$M$111,0),
MATCH(M$33,'Huntsman Raw'!$B$89:$K$89,0)
),"")</f>
        <v>460</v>
      </c>
      <c r="N130" s="98">
        <f>'Huntsman Debt'!D43</f>
        <v>0</v>
      </c>
      <c r="O130" s="39">
        <f>'Huntsman Debt'!E43</f>
        <v>0</v>
      </c>
      <c r="P130" s="39">
        <f>'Huntsman Debt'!F43</f>
        <v>0</v>
      </c>
      <c r="Q130" s="39">
        <f>'Huntsman Debt'!G43</f>
        <v>0</v>
      </c>
      <c r="R130" s="39">
        <f>'Huntsman Debt'!H43</f>
        <v>0</v>
      </c>
      <c r="S130" s="99">
        <f>'Huntsman Debt'!I43</f>
        <v>0</v>
      </c>
    </row>
    <row r="131" spans="1:19" x14ac:dyDescent="0.15">
      <c r="A131" t="s">
        <v>173</v>
      </c>
      <c r="C131" s="2" t="s">
        <v>291</v>
      </c>
      <c r="D131">
        <f>IFERROR(
INDEX('Huntsman Raw'!$B$92:$K$111,
MATCH(TRIM($A131),'Huntsman Raw'!$M$92:$M$111,0),
MATCH(D$33,'Huntsman Raw'!$B$89:$K$89,0)
),"")</f>
        <v>-560</v>
      </c>
      <c r="E131">
        <f>IFERROR(
INDEX('Huntsman Raw'!$B$92:$K$111,
MATCH(TRIM($A131),'Huntsman Raw'!$M$92:$M$111,0),
MATCH(E$33,'Huntsman Raw'!$B$89:$K$89,0)
),"")</f>
        <v>-1327</v>
      </c>
      <c r="F131">
        <f>IFERROR(
INDEX('Huntsman Raw'!$B$92:$K$111,
MATCH(TRIM($A131),'Huntsman Raw'!$M$92:$M$111,0),
MATCH(F$33,'Huntsman Raw'!$B$89:$K$89,0)
),"")</f>
        <v>52</v>
      </c>
      <c r="G131">
        <f>IFERROR(
INDEX('Huntsman Raw'!$B$92:$K$111,
MATCH(TRIM($A131),'Huntsman Raw'!$M$92:$M$111,0),
MATCH(G$33,'Huntsman Raw'!$B$89:$K$89,0)
),"")</f>
        <v>68</v>
      </c>
      <c r="H131">
        <f>IFERROR(
INDEX('Huntsman Raw'!$B$92:$K$111,
MATCH(TRIM($A131),'Huntsman Raw'!$M$92:$M$111,0),
MATCH(H$33,'Huntsman Raw'!$B$89:$K$89,0)
),"")</f>
        <v>-365</v>
      </c>
      <c r="I131">
        <f>IFERROR(
INDEX('Huntsman Raw'!$B$92:$K$111,
MATCH(TRIM($A131),'Huntsman Raw'!$M$92:$M$111,0),
MATCH(I$33,'Huntsman Raw'!$B$89:$K$89,0)
),"")</f>
        <v>-577</v>
      </c>
      <c r="J131">
        <f>IFERROR(
INDEX('Huntsman Raw'!$B$92:$K$111,
MATCH(TRIM($A131),'Huntsman Raw'!$M$92:$M$111,0),
MATCH(J$33,'Huntsman Raw'!$B$89:$K$89,0)
),"")</f>
        <v>207</v>
      </c>
      <c r="K131">
        <f>IFERROR(
INDEX('Huntsman Raw'!$B$92:$K$111,
MATCH(TRIM($A131),'Huntsman Raw'!$M$92:$M$111,0),
MATCH(K$33,'Huntsman Raw'!$B$89:$K$89,0)
),"")</f>
        <v>-62</v>
      </c>
      <c r="L131">
        <f>IFERROR(
INDEX('Huntsman Raw'!$B$92:$K$111,
MATCH(TRIM($A131),'Huntsman Raw'!$M$92:$M$111,0),
MATCH(L$33,'Huntsman Raw'!$B$89:$K$89,0)
),"")</f>
        <v>-51</v>
      </c>
      <c r="M131">
        <f>IFERROR(
INDEX('Huntsman Raw'!$B$92:$K$111,
MATCH(TRIM($A131),'Huntsman Raw'!$M$92:$M$111,0),
MATCH(M$33,'Huntsman Raw'!$B$89:$K$89,0)
),"")</f>
        <v>132</v>
      </c>
      <c r="N131" s="98">
        <f>'Huntsman Debt'!D44</f>
        <v>0</v>
      </c>
      <c r="O131" s="39">
        <f>'Huntsman Debt'!E44</f>
        <v>0</v>
      </c>
      <c r="P131" s="39">
        <f>'Huntsman Debt'!F44</f>
        <v>0</v>
      </c>
      <c r="Q131" s="39">
        <f>'Huntsman Debt'!G44</f>
        <v>0</v>
      </c>
      <c r="R131" s="39">
        <f>'Huntsman Debt'!H44</f>
        <v>0</v>
      </c>
      <c r="S131" s="99">
        <f>'Huntsman Debt'!I44</f>
        <v>0</v>
      </c>
    </row>
    <row r="132" spans="1:19" x14ac:dyDescent="0.15">
      <c r="A132" t="s">
        <v>174</v>
      </c>
      <c r="C132" s="2" t="s">
        <v>292</v>
      </c>
      <c r="D132">
        <f>IFERROR(
INDEX('Huntsman Raw'!$B$92:$K$111,
MATCH(TRIM($A132),'Huntsman Raw'!$M$92:$M$111,0),
MATCH(D$33,'Huntsman Raw'!$B$89:$K$89,0)
),"")</f>
        <v>-2</v>
      </c>
      <c r="E132">
        <f>IFERROR(
INDEX('Huntsman Raw'!$B$92:$K$111,
MATCH(TRIM($A132),'Huntsman Raw'!$M$92:$M$111,0),
MATCH(E$33,'Huntsman Raw'!$B$89:$K$89,0)
),"")</f>
        <v>1035</v>
      </c>
      <c r="F132">
        <f>IFERROR(
INDEX('Huntsman Raw'!$B$92:$K$111,
MATCH(TRIM($A132),'Huntsman Raw'!$M$92:$M$111,0),
MATCH(F$33,'Huntsman Raw'!$B$89:$K$89,0)
),"")</f>
        <v>-246</v>
      </c>
      <c r="G132">
        <f>IFERROR(
INDEX('Huntsman Raw'!$B$92:$K$111,
MATCH(TRIM($A132),'Huntsman Raw'!$M$92:$M$111,0),
MATCH(G$33,'Huntsman Raw'!$B$89:$K$89,0)
),"")</f>
        <v>-218</v>
      </c>
      <c r="H132">
        <f>IFERROR(
INDEX('Huntsman Raw'!$B$92:$K$111,
MATCH(TRIM($A132),'Huntsman Raw'!$M$92:$M$111,0),
MATCH(H$33,'Huntsman Raw'!$B$89:$K$89,0)
),"")</f>
        <v>-101</v>
      </c>
      <c r="I132">
        <f>IFERROR(
INDEX('Huntsman Raw'!$B$92:$K$111,
MATCH(TRIM($A132),'Huntsman Raw'!$M$92:$M$111,0),
MATCH(I$33,'Huntsman Raw'!$B$89:$K$89,0)
),"")</f>
        <v>-197</v>
      </c>
      <c r="J132">
        <f>IFERROR(
INDEX('Huntsman Raw'!$B$92:$K$111,
MATCH(TRIM($A132),'Huntsman Raw'!$M$92:$M$111,0),
MATCH(J$33,'Huntsman Raw'!$B$89:$K$89,0)
),"")</f>
        <v>-1013</v>
      </c>
      <c r="K132">
        <f>IFERROR(
INDEX('Huntsman Raw'!$B$92:$K$111,
MATCH(TRIM($A132),'Huntsman Raw'!$M$92:$M$111,0),
MATCH(K$33,'Huntsman Raw'!$B$89:$K$89,0)
),"")</f>
        <v>-354</v>
      </c>
      <c r="L132">
        <f>IFERROR(
INDEX('Huntsman Raw'!$B$92:$K$111,
MATCH(TRIM($A132),'Huntsman Raw'!$M$92:$M$111,0),
MATCH(L$33,'Huntsman Raw'!$B$89:$K$89,0)
),"")</f>
        <v>-9</v>
      </c>
      <c r="M132">
        <f>IFERROR(
INDEX('Huntsman Raw'!$B$92:$K$111,
MATCH(TRIM($A132),'Huntsman Raw'!$M$92:$M$111,0),
MATCH(M$33,'Huntsman Raw'!$B$89:$K$89,0)
),"")</f>
        <v>-3</v>
      </c>
      <c r="N132" s="104">
        <v>50</v>
      </c>
      <c r="O132" s="50">
        <v>0</v>
      </c>
      <c r="P132" s="50">
        <v>0</v>
      </c>
      <c r="Q132" s="50">
        <v>0</v>
      </c>
      <c r="R132" s="50">
        <v>0</v>
      </c>
      <c r="S132" s="105">
        <v>0</v>
      </c>
    </row>
    <row r="133" spans="1:19" x14ac:dyDescent="0.15">
      <c r="A133" t="s">
        <v>175</v>
      </c>
      <c r="C133" s="2" t="s">
        <v>293</v>
      </c>
      <c r="D133">
        <f>IFERROR(
INDEX('Huntsman Raw'!$B$92:$K$111,
MATCH(TRIM($A133),'Huntsman Raw'!$M$92:$M$111,0),
MATCH(D$33,'Huntsman Raw'!$B$89:$K$89,0)
),"")</f>
        <v>-120</v>
      </c>
      <c r="E133">
        <f>IFERROR(
INDEX('Huntsman Raw'!$B$92:$K$111,
MATCH(TRIM($A133),'Huntsman Raw'!$M$92:$M$111,0),
MATCH(E$33,'Huntsman Raw'!$B$89:$K$89,0)
),"")</f>
        <v>-120</v>
      </c>
      <c r="F133">
        <f>IFERROR(
INDEX('Huntsman Raw'!$B$92:$K$111,
MATCH(TRIM($A133),'Huntsman Raw'!$M$92:$M$111,0),
MATCH(F$33,'Huntsman Raw'!$B$89:$K$89,0)
),"")</f>
        <v>-156</v>
      </c>
      <c r="G133">
        <f>IFERROR(
INDEX('Huntsman Raw'!$B$92:$K$111,
MATCH(TRIM($A133),'Huntsman Raw'!$M$92:$M$111,0),
MATCH(G$33,'Huntsman Raw'!$B$89:$K$89,0)
),"")</f>
        <v>-150</v>
      </c>
      <c r="H133">
        <f>IFERROR(
INDEX('Huntsman Raw'!$B$92:$K$111,
MATCH(TRIM($A133),'Huntsman Raw'!$M$92:$M$111,0),
MATCH(H$33,'Huntsman Raw'!$B$89:$K$89,0)
),"")</f>
        <v>-144</v>
      </c>
      <c r="I133">
        <f>IFERROR(
INDEX('Huntsman Raw'!$B$92:$K$111,
MATCH(TRIM($A133),'Huntsman Raw'!$M$92:$M$111,0),
MATCH(I$33,'Huntsman Raw'!$B$89:$K$89,0)
),"")</f>
        <v>-159</v>
      </c>
      <c r="J133">
        <f>IFERROR(
INDEX('Huntsman Raw'!$B$92:$K$111,
MATCH(TRIM($A133),'Huntsman Raw'!$M$92:$M$111,0),
MATCH(J$33,'Huntsman Raw'!$B$89:$K$89,0)
),"")</f>
        <v>-171</v>
      </c>
      <c r="K133">
        <f>IFERROR(
INDEX('Huntsman Raw'!$B$92:$K$111,
MATCH(TRIM($A133),'Huntsman Raw'!$M$92:$M$111,0),
MATCH(K$33,'Huntsman Raw'!$B$89:$K$89,0)
),"")</f>
        <v>-169</v>
      </c>
      <c r="L133">
        <f>IFERROR(
INDEX('Huntsman Raw'!$B$92:$K$111,
MATCH(TRIM($A133),'Huntsman Raw'!$M$92:$M$111,0),
MATCH(L$33,'Huntsman Raw'!$B$89:$K$89,0)
),"")</f>
        <v>-174</v>
      </c>
      <c r="M133">
        <f>IFERROR(
INDEX('Huntsman Raw'!$B$92:$K$111,
MATCH(TRIM($A133),'Huntsman Raw'!$M$92:$M$111,0),
MATCH(M$33,'Huntsman Raw'!$B$89:$K$89,0)
),"")</f>
        <v>-146</v>
      </c>
      <c r="N133" s="98">
        <f>'Huntsman Equity Schedule'!M33</f>
        <v>-146.1472</v>
      </c>
      <c r="O133" s="39">
        <f>'Huntsman Equity Schedule'!N33</f>
        <v>-147.32040000000001</v>
      </c>
      <c r="P133" s="39">
        <f>'Huntsman Equity Schedule'!O33</f>
        <v>-147.32040000000001</v>
      </c>
      <c r="Q133" s="39">
        <f>'Huntsman Equity Schedule'!P33</f>
        <v>-147.32040000000001</v>
      </c>
      <c r="R133" s="39">
        <f>'Huntsman Equity Schedule'!Q33</f>
        <v>-147.32040000000001</v>
      </c>
      <c r="S133" s="99">
        <f>'Huntsman Equity Schedule'!R33</f>
        <v>-147.32040000000001</v>
      </c>
    </row>
    <row r="134" spans="1:19" x14ac:dyDescent="0.15">
      <c r="A134" t="s">
        <v>176</v>
      </c>
      <c r="C134" s="88" t="s">
        <v>294</v>
      </c>
      <c r="D134" s="88">
        <f>IFERROR(
INDEX('Huntsman Raw'!$B$92:$K$111,
MATCH(TRIM($A134),'Huntsman Raw'!$M$92:$M$111,0),
MATCH(D$33,'Huntsman Raw'!$B$89:$K$89,0)
),"")</f>
        <v>-723</v>
      </c>
      <c r="E134" s="88">
        <f>IFERROR(
INDEX('Huntsman Raw'!$B$92:$K$111,
MATCH(TRIM($A134),'Huntsman Raw'!$M$92:$M$111,0),
MATCH(E$33,'Huntsman Raw'!$B$89:$K$89,0)
),"")</f>
        <v>-519</v>
      </c>
      <c r="F134" s="88">
        <f>IFERROR(
INDEX('Huntsman Raw'!$B$92:$K$111,
MATCH(TRIM($A134),'Huntsman Raw'!$M$92:$M$111,0),
MATCH(F$33,'Huntsman Raw'!$B$89:$K$89,0)
),"")</f>
        <v>-424</v>
      </c>
      <c r="G134" s="88">
        <f>IFERROR(
INDEX('Huntsman Raw'!$B$92:$K$111,
MATCH(TRIM($A134),'Huntsman Raw'!$M$92:$M$111,0),
MATCH(G$33,'Huntsman Raw'!$B$89:$K$89,0)
),"")</f>
        <v>-450</v>
      </c>
      <c r="H134" s="88">
        <f>IFERROR(
INDEX('Huntsman Raw'!$B$92:$K$111,
MATCH(TRIM($A134),'Huntsman Raw'!$M$92:$M$111,0),
MATCH(H$33,'Huntsman Raw'!$B$89:$K$89,0)
),"")</f>
        <v>-655</v>
      </c>
      <c r="I134" s="88">
        <f>IFERROR(
INDEX('Huntsman Raw'!$B$92:$K$111,
MATCH(TRIM($A134),'Huntsman Raw'!$M$92:$M$111,0),
MATCH(I$33,'Huntsman Raw'!$B$89:$K$89,0)
),"")</f>
        <v>-977</v>
      </c>
      <c r="J134" s="88">
        <f>IFERROR(
INDEX('Huntsman Raw'!$B$92:$K$111,
MATCH(TRIM($A134),'Huntsman Raw'!$M$92:$M$111,0),
MATCH(J$33,'Huntsman Raw'!$B$89:$K$89,0)
),"")</f>
        <v>-994</v>
      </c>
      <c r="K134" s="88">
        <f>IFERROR(
INDEX('Huntsman Raw'!$B$92:$K$111,
MATCH(TRIM($A134),'Huntsman Raw'!$M$92:$M$111,0),
MATCH(K$33,'Huntsman Raw'!$B$89:$K$89,0)
),"")</f>
        <v>-620</v>
      </c>
      <c r="L134" s="88">
        <f>IFERROR(
INDEX('Huntsman Raw'!$B$92:$K$111,
MATCH(TRIM($A134),'Huntsman Raw'!$M$92:$M$111,0),
MATCH(L$33,'Huntsman Raw'!$B$89:$K$89,0)
),"")</f>
        <v>-326</v>
      </c>
      <c r="M134" s="88">
        <f>IFERROR(
INDEX('Huntsman Raw'!$B$92:$K$111,
MATCH(TRIM($A134),'Huntsman Raw'!$M$92:$M$111,0),
MATCH(M$33,'Huntsman Raw'!$B$89:$K$89,0)
),"")</f>
        <v>-76</v>
      </c>
      <c r="N134" s="94">
        <f>SUM(N$130:N$133)</f>
        <v>-96.147199999999998</v>
      </c>
      <c r="O134" s="89">
        <f t="shared" ref="O134:S134" si="65">SUM(O$130:O$133)</f>
        <v>-147.32040000000001</v>
      </c>
      <c r="P134" s="89">
        <f t="shared" si="65"/>
        <v>-147.32040000000001</v>
      </c>
      <c r="Q134" s="89">
        <f t="shared" si="65"/>
        <v>-147.32040000000001</v>
      </c>
      <c r="R134" s="89">
        <f t="shared" si="65"/>
        <v>-147.32040000000001</v>
      </c>
      <c r="S134" s="95">
        <f t="shared" si="65"/>
        <v>-147.32040000000001</v>
      </c>
    </row>
    <row r="135" spans="1:19" x14ac:dyDescent="0.15">
      <c r="N135" s="98"/>
      <c r="O135" s="39"/>
      <c r="P135" s="39"/>
      <c r="Q135" s="39"/>
      <c r="R135" s="39"/>
      <c r="S135" s="99"/>
    </row>
    <row r="136" spans="1:19" x14ac:dyDescent="0.15">
      <c r="A136" t="s">
        <v>177</v>
      </c>
      <c r="C136" t="s">
        <v>177</v>
      </c>
      <c r="D136">
        <f>IFERROR(
INDEX('Huntsman Raw'!$B$92:$K$111,
MATCH(TRIM($A136),'Huntsman Raw'!$M$92:$M$111,0),
MATCH(D$33,'Huntsman Raw'!$B$89:$K$89,0)
),"")</f>
        <v>-6</v>
      </c>
      <c r="E136">
        <f>IFERROR(
INDEX('Huntsman Raw'!$B$92:$K$111,
MATCH(TRIM($A136),'Huntsman Raw'!$M$92:$M$111,0),
MATCH(E$33,'Huntsman Raw'!$B$89:$K$89,0)
),"")</f>
        <v>18</v>
      </c>
      <c r="F136">
        <f>IFERROR(
INDEX('Huntsman Raw'!$B$92:$K$111,
MATCH(TRIM($A136),'Huntsman Raw'!$M$92:$M$111,0),
MATCH(F$33,'Huntsman Raw'!$B$89:$K$89,0)
),"")</f>
        <v>-35</v>
      </c>
      <c r="G136">
        <f>IFERROR(
INDEX('Huntsman Raw'!$B$92:$K$111,
MATCH(TRIM($A136),'Huntsman Raw'!$M$92:$M$111,0),
MATCH(G$33,'Huntsman Raw'!$B$89:$K$89,0)
),"")</f>
        <v>-2</v>
      </c>
      <c r="H136">
        <f>IFERROR(
INDEX('Huntsman Raw'!$B$92:$K$111,
MATCH(TRIM($A136),'Huntsman Raw'!$M$92:$M$111,0),
MATCH(H$33,'Huntsman Raw'!$B$89:$K$89,0)
),"")</f>
        <v>7</v>
      </c>
      <c r="I136">
        <f>IFERROR(
INDEX('Huntsman Raw'!$B$92:$K$111,
MATCH(TRIM($A136),'Huntsman Raw'!$M$92:$M$111,0),
MATCH(I$33,'Huntsman Raw'!$B$89:$K$89,0)
),"")</f>
        <v>-3</v>
      </c>
      <c r="J136">
        <f>IFERROR(
INDEX('Huntsman Raw'!$B$92:$K$111,
MATCH(TRIM($A136),'Huntsman Raw'!$M$92:$M$111,0),
MATCH(J$33,'Huntsman Raw'!$B$89:$K$89,0)
),"")</f>
        <v>-28</v>
      </c>
      <c r="K136">
        <f>IFERROR(
INDEX('Huntsman Raw'!$B$92:$K$111,
MATCH(TRIM($A136),'Huntsman Raw'!$M$92:$M$111,0),
MATCH(K$33,'Huntsman Raw'!$B$89:$K$89,0)
),"")</f>
        <v>-8</v>
      </c>
      <c r="L136">
        <f>IFERROR(
INDEX('Huntsman Raw'!$B$92:$K$111,
MATCH(TRIM($A136),'Huntsman Raw'!$M$92:$M$111,0),
MATCH(L$33,'Huntsman Raw'!$B$89:$K$89,0)
),"")</f>
        <v>-11</v>
      </c>
      <c r="M136">
        <f>IFERROR(
INDEX('Huntsman Raw'!$B$92:$K$111,
MATCH(TRIM($A136),'Huntsman Raw'!$M$92:$M$111,0),
MATCH(M$33,'Huntsman Raw'!$B$89:$K$89,0)
),"")</f>
        <v>8</v>
      </c>
      <c r="N136" s="139">
        <v>0</v>
      </c>
      <c r="O136" s="15">
        <f>$N$136</f>
        <v>0</v>
      </c>
      <c r="P136" s="15">
        <f t="shared" ref="P136:S136" si="66">$N$136</f>
        <v>0</v>
      </c>
      <c r="Q136" s="15">
        <f t="shared" si="66"/>
        <v>0</v>
      </c>
      <c r="R136" s="15">
        <f t="shared" si="66"/>
        <v>0</v>
      </c>
      <c r="S136" s="13">
        <f t="shared" si="66"/>
        <v>0</v>
      </c>
    </row>
    <row r="137" spans="1:19" x14ac:dyDescent="0.15">
      <c r="A137" t="s">
        <v>178</v>
      </c>
      <c r="C137" s="88" t="s">
        <v>178</v>
      </c>
      <c r="D137" s="88">
        <f>IFERROR(
INDEX('Huntsman Raw'!$B$92:$K$111,
MATCH(TRIM($A137),'Huntsman Raw'!$M$92:$M$111,0),
MATCH(D$33,'Huntsman Raw'!$B$89:$K$89,0)
),"")</f>
        <v>157</v>
      </c>
      <c r="E137" s="88">
        <f>IFERROR(
INDEX('Huntsman Raw'!$B$92:$K$111,
MATCH(TRIM($A137),'Huntsman Raw'!$M$92:$M$111,0),
MATCH(E$33,'Huntsman Raw'!$B$89:$K$89,0)
),"")</f>
        <v>294</v>
      </c>
      <c r="F137" s="88">
        <f>IFERROR(
INDEX('Huntsman Raw'!$B$92:$K$111,
MATCH(TRIM($A137),'Huntsman Raw'!$M$92:$M$111,0),
MATCH(F$33,'Huntsman Raw'!$B$89:$K$89,0)
),"")</f>
        <v>-379</v>
      </c>
      <c r="G137" s="88">
        <f>IFERROR(
INDEX('Huntsman Raw'!$B$92:$K$111,
MATCH(TRIM($A137),'Huntsman Raw'!$M$92:$M$111,0),
MATCH(G$33,'Huntsman Raw'!$B$89:$K$89,0)
),"")</f>
        <v>185</v>
      </c>
      <c r="H137" s="88">
        <f>IFERROR(
INDEX('Huntsman Raw'!$B$92:$K$111,
MATCH(TRIM($A137),'Huntsman Raw'!$M$92:$M$111,0),
MATCH(H$33,'Huntsman Raw'!$B$89:$K$89,0)
),"")</f>
        <v>1068</v>
      </c>
      <c r="I137" s="88">
        <f>IFERROR(
INDEX('Huntsman Raw'!$B$92:$K$111,
MATCH(TRIM($A137),'Huntsman Raw'!$M$92:$M$111,0),
MATCH(I$33,'Huntsman Raw'!$B$89:$K$89,0)
),"")</f>
        <v>-552</v>
      </c>
      <c r="J137" s="88">
        <f>IFERROR(
INDEX('Huntsman Raw'!$B$92:$K$111,
MATCH(TRIM($A137),'Huntsman Raw'!$M$92:$M$111,0),
MATCH(J$33,'Huntsman Raw'!$B$89:$K$89,0)
),"")</f>
        <v>-387</v>
      </c>
      <c r="K137" s="88">
        <f>IFERROR(
INDEX('Huntsman Raw'!$B$92:$K$111,
MATCH(TRIM($A137),'Huntsman Raw'!$M$92:$M$111,0),
MATCH(K$33,'Huntsman Raw'!$B$89:$K$89,0)
),"")</f>
        <v>-114</v>
      </c>
      <c r="L137" s="88">
        <f>IFERROR(
INDEX('Huntsman Raw'!$B$92:$K$111,
MATCH(TRIM($A137),'Huntsman Raw'!$M$92:$M$111,0),
MATCH(L$33,'Huntsman Raw'!$B$89:$K$89,0)
),"")</f>
        <v>-200</v>
      </c>
      <c r="M137" s="88">
        <f>IFERROR(
INDEX('Huntsman Raw'!$B$92:$K$111,
MATCH(TRIM($A137),'Huntsman Raw'!$M$92:$M$111,0),
MATCH(M$33,'Huntsman Raw'!$B$89:$K$89,0)
),"")</f>
        <v>89</v>
      </c>
      <c r="N137" s="94">
        <f t="shared" ref="N137:S137" si="67">N121+N128+N134+N136</f>
        <v>-66.998245946160836</v>
      </c>
      <c r="O137" s="89">
        <f t="shared" si="67"/>
        <v>-6.5812181294938625</v>
      </c>
      <c r="P137" s="89">
        <f t="shared" si="67"/>
        <v>137.70250676646288</v>
      </c>
      <c r="Q137" s="89">
        <f t="shared" si="67"/>
        <v>289.47622461155566</v>
      </c>
      <c r="R137" s="89">
        <f t="shared" si="67"/>
        <v>393.21934679677639</v>
      </c>
      <c r="S137" s="95">
        <f t="shared" si="67"/>
        <v>464.14394580598747</v>
      </c>
    </row>
    <row r="138" spans="1:19" x14ac:dyDescent="0.15">
      <c r="A138" t="s">
        <v>179</v>
      </c>
      <c r="C138" t="s">
        <v>295</v>
      </c>
      <c r="D138">
        <f>IFERROR(
INDEX('Huntsman Raw'!$B$92:$K$111,
MATCH(TRIM($A138),'Huntsman Raw'!$M$92:$M$111,0),
MATCH(D$33,'Huntsman Raw'!$B$89:$K$89,0)
),"")</f>
        <v>257</v>
      </c>
      <c r="E138">
        <f>IFERROR(
INDEX('Huntsman Raw'!$B$92:$K$111,
MATCH(TRIM($A138),'Huntsman Raw'!$M$92:$M$111,0),
MATCH(E$33,'Huntsman Raw'!$B$89:$K$89,0)
),"")</f>
        <v>414</v>
      </c>
      <c r="F138">
        <f>IFERROR(
INDEX('Huntsman Raw'!$B$92:$K$111,
MATCH(TRIM($A138),'Huntsman Raw'!$M$92:$M$111,0),
MATCH(F$33,'Huntsman Raw'!$B$89:$K$89,0)
),"")</f>
        <v>719</v>
      </c>
      <c r="G138">
        <f>IFERROR(
INDEX('Huntsman Raw'!$B$92:$K$111,
MATCH(TRIM($A138),'Huntsman Raw'!$M$92:$M$111,0),
MATCH(G$33,'Huntsman Raw'!$B$89:$K$89,0)
),"")</f>
        <v>340</v>
      </c>
      <c r="H138">
        <f>IFERROR(
INDEX('Huntsman Raw'!$B$92:$K$111,
MATCH(TRIM($A138),'Huntsman Raw'!$M$92:$M$111,0),
MATCH(H$33,'Huntsman Raw'!$B$89:$K$89,0)
),"")</f>
        <v>525</v>
      </c>
      <c r="I138">
        <f>IFERROR(
INDEX('Huntsman Raw'!$B$92:$K$111,
MATCH(TRIM($A138),'Huntsman Raw'!$M$92:$M$111,0),
MATCH(I$33,'Huntsman Raw'!$B$89:$K$89,0)
),"")</f>
        <v>1593</v>
      </c>
      <c r="J138">
        <f>IFERROR(
INDEX('Huntsman Raw'!$B$92:$K$111,
MATCH(TRIM($A138),'Huntsman Raw'!$M$92:$M$111,0),
MATCH(J$33,'Huntsman Raw'!$B$89:$K$89,0)
),"")</f>
        <v>1041</v>
      </c>
      <c r="K138">
        <f>IFERROR(
INDEX('Huntsman Raw'!$B$92:$K$111,
MATCH(TRIM($A138),'Huntsman Raw'!$M$92:$M$111,0),
MATCH(K$33,'Huntsman Raw'!$B$89:$K$89,0)
),"")</f>
        <v>654</v>
      </c>
      <c r="L138">
        <f>IFERROR(
INDEX('Huntsman Raw'!$B$92:$K$111,
MATCH(TRIM($A138),'Huntsman Raw'!$M$92:$M$111,0),
MATCH(L$33,'Huntsman Raw'!$B$89:$K$89,0)
),"")</f>
        <v>540</v>
      </c>
      <c r="M138">
        <f>IFERROR(
INDEX('Huntsman Raw'!$B$92:$K$111,
MATCH(TRIM($A138),'Huntsman Raw'!$M$92:$M$111,0),
MATCH(M$33,'Huntsman Raw'!$B$89:$K$89,0)
),"")</f>
        <v>340</v>
      </c>
      <c r="N138" s="3">
        <f>M139</f>
        <v>429</v>
      </c>
      <c r="O138" s="39">
        <f t="shared" ref="O138:S138" si="68">N139</f>
        <v>362.00175405383914</v>
      </c>
      <c r="P138" s="39">
        <f t="shared" si="68"/>
        <v>355.42053592434524</v>
      </c>
      <c r="Q138" s="39">
        <f t="shared" si="68"/>
        <v>493.12304269080812</v>
      </c>
      <c r="R138" s="39">
        <f t="shared" si="68"/>
        <v>782.59926730236384</v>
      </c>
      <c r="S138" s="99">
        <f t="shared" si="68"/>
        <v>1175.8186140991402</v>
      </c>
    </row>
    <row r="139" spans="1:19" ht="14" thickBot="1" x14ac:dyDescent="0.2">
      <c r="A139" t="s">
        <v>180</v>
      </c>
      <c r="C139" s="133" t="s">
        <v>296</v>
      </c>
      <c r="D139" s="133">
        <f>IFERROR(
INDEX('Huntsman Raw'!$B$92:$K$111,
MATCH(TRIM($A139),'Huntsman Raw'!$M$92:$M$111,0),
MATCH(D$33,'Huntsman Raw'!$B$89:$K$89,0)
),"")</f>
        <v>414</v>
      </c>
      <c r="E139" s="133">
        <f>IFERROR(
INDEX('Huntsman Raw'!$B$92:$K$111,
MATCH(TRIM($A139),'Huntsman Raw'!$M$92:$M$111,0),
MATCH(E$33,'Huntsman Raw'!$B$89:$K$89,0)
),"")</f>
        <v>708</v>
      </c>
      <c r="F139" s="133">
        <f>IFERROR(
INDEX('Huntsman Raw'!$B$92:$K$111,
MATCH(TRIM($A139),'Huntsman Raw'!$M$92:$M$111,0),
MATCH(F$33,'Huntsman Raw'!$B$89:$K$89,0)
),"")</f>
        <v>340</v>
      </c>
      <c r="G139" s="133">
        <f>IFERROR(
INDEX('Huntsman Raw'!$B$92:$K$111,
MATCH(TRIM($A139),'Huntsman Raw'!$M$92:$M$111,0),
MATCH(G$33,'Huntsman Raw'!$B$89:$K$89,0)
),"")</f>
        <v>525</v>
      </c>
      <c r="H139" s="133">
        <f>IFERROR(
INDEX('Huntsman Raw'!$B$92:$K$111,
MATCH(TRIM($A139),'Huntsman Raw'!$M$92:$M$111,0),
MATCH(H$33,'Huntsman Raw'!$B$89:$K$89,0)
),"")</f>
        <v>1593</v>
      </c>
      <c r="I139" s="133">
        <f>IFERROR(
INDEX('Huntsman Raw'!$B$92:$K$111,
MATCH(TRIM($A139),'Huntsman Raw'!$M$92:$M$111,0),
MATCH(I$33,'Huntsman Raw'!$B$89:$K$89,0)
),"")</f>
        <v>1041</v>
      </c>
      <c r="J139" s="133">
        <f>IFERROR(
INDEX('Huntsman Raw'!$B$92:$K$111,
MATCH(TRIM($A139),'Huntsman Raw'!$M$92:$M$111,0),
MATCH(J$33,'Huntsman Raw'!$B$89:$K$89,0)
),"")</f>
        <v>654</v>
      </c>
      <c r="K139" s="133">
        <f>IFERROR(
INDEX('Huntsman Raw'!$B$92:$K$111,
MATCH(TRIM($A139),'Huntsman Raw'!$M$92:$M$111,0),
MATCH(K$33,'Huntsman Raw'!$B$89:$K$89,0)
),"")</f>
        <v>540</v>
      </c>
      <c r="L139" s="133">
        <f>IFERROR(
INDEX('Huntsman Raw'!$B$92:$K$111,
MATCH(TRIM($A139),'Huntsman Raw'!$M$92:$M$111,0),
MATCH(L$33,'Huntsman Raw'!$B$89:$K$89,0)
),"")</f>
        <v>340</v>
      </c>
      <c r="M139" s="133">
        <f>IFERROR(
INDEX('Huntsman Raw'!$B$92:$K$111,
MATCH(TRIM($A139),'Huntsman Raw'!$M$92:$M$111,0),
MATCH(M$33,'Huntsman Raw'!$B$89:$K$89,0)
),"")</f>
        <v>429</v>
      </c>
      <c r="N139" s="134">
        <f>N$138+N$137</f>
        <v>362.00175405383914</v>
      </c>
      <c r="O139" s="135">
        <f t="shared" ref="O139:S139" si="69">O$138+O$137</f>
        <v>355.42053592434524</v>
      </c>
      <c r="P139" s="135">
        <f t="shared" si="69"/>
        <v>493.12304269080812</v>
      </c>
      <c r="Q139" s="135">
        <f t="shared" si="69"/>
        <v>782.59926730236384</v>
      </c>
      <c r="R139" s="135">
        <f t="shared" si="69"/>
        <v>1175.8186140991402</v>
      </c>
      <c r="S139" s="136">
        <f t="shared" si="69"/>
        <v>1639.9625599051276</v>
      </c>
    </row>
    <row r="140" spans="1:19" ht="14" thickTop="1" x14ac:dyDescent="0.15">
      <c r="D140" t="str">
        <f>IFERROR(
INDEX('Huntsman Raw'!$B$92:$K$111,
MATCH(TRIM($A140),'Huntsman Raw'!$M$92:$M$111,0),
MATCH(D$33,'Huntsman Raw'!$B$89:$K$89,0)
),"")</f>
        <v/>
      </c>
      <c r="E140" t="str">
        <f>IFERROR(
INDEX('Huntsman Raw'!$B$92:$K$111,
MATCH(TRIM($A140),'Huntsman Raw'!$M$92:$M$111,0),
MATCH(E$33,'Huntsman Raw'!$B$89:$K$89,0)
),"")</f>
        <v/>
      </c>
      <c r="F140" t="str">
        <f>IFERROR(
INDEX('Huntsman Raw'!$B$92:$K$111,
MATCH(TRIM($A140),'Huntsman Raw'!$M$92:$M$111,0),
MATCH(F$33,'Huntsman Raw'!$B$89:$K$89,0)
),"")</f>
        <v/>
      </c>
      <c r="G140" t="str">
        <f>IFERROR(
INDEX('Huntsman Raw'!$B$92:$K$111,
MATCH(TRIM($A140),'Huntsman Raw'!$M$92:$M$111,0),
MATCH(G$33,'Huntsman Raw'!$B$89:$K$89,0)
),"")</f>
        <v/>
      </c>
      <c r="H140" t="str">
        <f>IFERROR(
INDEX('Huntsman Raw'!$B$92:$K$111,
MATCH(TRIM($A140),'Huntsman Raw'!$M$92:$M$111,0),
MATCH(H$33,'Huntsman Raw'!$B$89:$K$89,0)
),"")</f>
        <v/>
      </c>
      <c r="I140" t="str">
        <f>IFERROR(
INDEX('Huntsman Raw'!$B$92:$K$111,
MATCH(TRIM($A140),'Huntsman Raw'!$M$92:$M$111,0),
MATCH(I$33,'Huntsman Raw'!$B$89:$K$89,0)
),"")</f>
        <v/>
      </c>
      <c r="J140" t="str">
        <f>IFERROR(
INDEX('Huntsman Raw'!$B$92:$K$111,
MATCH(TRIM($A140),'Huntsman Raw'!$M$92:$M$111,0),
MATCH(J$33,'Huntsman Raw'!$B$89:$K$89,0)
),"")</f>
        <v/>
      </c>
      <c r="K140" t="str">
        <f>IFERROR(
INDEX('Huntsman Raw'!$B$92:$K$111,
MATCH(TRIM($A140),'Huntsman Raw'!$M$92:$M$111,0),
MATCH(K$33,'Huntsman Raw'!$B$89:$K$89,0)
),"")</f>
        <v/>
      </c>
      <c r="L140" t="str">
        <f>IFERROR(
INDEX('Huntsman Raw'!$B$92:$K$111,
MATCH(TRIM($A140),'Huntsman Raw'!$M$92:$M$111,0),
MATCH(L$33,'Huntsman Raw'!$B$89:$K$89,0)
),"")</f>
        <v/>
      </c>
      <c r="M140" t="str">
        <f>IFERROR(
INDEX('Huntsman Raw'!$B$92:$K$111,
MATCH(TRIM($A140),'Huntsman Raw'!$M$92:$M$111,0),
MATCH(M$33,'Huntsman Raw'!$B$89:$K$89,0)
),"")</f>
        <v/>
      </c>
      <c r="N140" s="3"/>
      <c r="S140" s="5"/>
    </row>
    <row r="141" spans="1:19" x14ac:dyDescent="0.15">
      <c r="A141" t="s">
        <v>187</v>
      </c>
      <c r="C141" t="s">
        <v>187</v>
      </c>
      <c r="D141" cm="1">
        <f t="array" ref="D141">IFERROR(INDEX('Huntsman Raw'!$B$119:$K$165, MATCH(TRIM($A142),'Huntsman Raw'!$M$119:$M$165,0) - 1, MATCH(D$33,'Huntsman Raw'!$B$116:$K$116,0)),"")</f>
        <v>890</v>
      </c>
      <c r="E141" cm="1">
        <f t="array" ref="E141">IFERROR(INDEX('Huntsman Raw'!$B$119:$K$165, MATCH(TRIM($A142),'Huntsman Raw'!$M$119:$M$165,0) - 1, MATCH(E$33,'Huntsman Raw'!$B$116:$K$116,0)),"")</f>
        <v>902</v>
      </c>
      <c r="F141" cm="1">
        <f t="array" ref="F141">IFERROR(INDEX('Huntsman Raw'!$B$119:$K$165, MATCH(TRIM($A142),'Huntsman Raw'!$M$119:$M$165,0) - 1, MATCH(F$33,'Huntsman Raw'!$B$116:$K$116,0)),"")</f>
        <v>1044</v>
      </c>
      <c r="G141" cm="1">
        <f t="array" ref="G141">IFERROR(INDEX('Huntsman Raw'!$B$119:$K$165, MATCH(TRIM($A142),'Huntsman Raw'!$M$119:$M$165,0) - 1, MATCH(G$33,'Huntsman Raw'!$B$116:$K$116,0)),"")</f>
        <v>472</v>
      </c>
      <c r="H141" cm="1">
        <f t="array" ref="H141">IFERROR(INDEX('Huntsman Raw'!$B$119:$K$165, MATCH(TRIM($A142),'Huntsman Raw'!$M$119:$M$165,0) - 1, MATCH(H$33,'Huntsman Raw'!$B$116:$K$116,0)),"")</f>
        <v>239</v>
      </c>
      <c r="I141" cm="1">
        <f t="array" ref="I141">IFERROR(INDEX('Huntsman Raw'!$B$119:$K$165, MATCH(TRIM($A142),'Huntsman Raw'!$M$119:$M$165,0) - 1, MATCH(I$33,'Huntsman Raw'!$B$116:$K$116,0)),"")</f>
        <v>812</v>
      </c>
      <c r="J141" cm="1">
        <f t="array" ref="J141">IFERROR(INDEX('Huntsman Raw'!$B$119:$K$165, MATCH(TRIM($A142),'Huntsman Raw'!$M$119:$M$165,0) - 1, MATCH(J$33,'Huntsman Raw'!$B$116:$K$116,0)),"")</f>
        <v>883</v>
      </c>
      <c r="K141" cm="1">
        <f t="array" ref="K141">IFERROR(INDEX('Huntsman Raw'!$B$119:$K$165, MATCH(TRIM($A142),'Huntsman Raw'!$M$119:$M$165,0) - 1, MATCH(K$33,'Huntsman Raw'!$B$116:$K$116,0)),"")</f>
        <v>142</v>
      </c>
      <c r="L141" cm="1">
        <f t="array" ref="L141">IFERROR(INDEX('Huntsman Raw'!$B$119:$K$165, MATCH(TRIM($A142),'Huntsman Raw'!$M$119:$M$165,0) - 1, MATCH(L$33,'Huntsman Raw'!$B$116:$K$116,0)),"")</f>
        <v>115</v>
      </c>
      <c r="M141" cm="1">
        <f t="array" ref="M141">IFERROR(INDEX('Huntsman Raw'!$B$119:$K$165, MATCH(TRIM($A142),'Huntsman Raw'!$M$119:$M$165,0) - 1, MATCH(M$33,'Huntsman Raw'!$B$116:$K$116,0)),"")</f>
        <v>-45</v>
      </c>
      <c r="N141" s="98">
        <f>N$45</f>
        <v>55.34105400000044</v>
      </c>
      <c r="O141" s="39">
        <f t="shared" ref="O141:S141" si="70">O$45</f>
        <v>158.64435479999975</v>
      </c>
      <c r="P141" s="39">
        <f t="shared" si="70"/>
        <v>379.06746543170084</v>
      </c>
      <c r="Q141" s="39">
        <f t="shared" si="70"/>
        <v>567.52836569821466</v>
      </c>
      <c r="R141" s="39">
        <f t="shared" si="70"/>
        <v>725.98228540115633</v>
      </c>
      <c r="S141" s="99">
        <f t="shared" si="70"/>
        <v>820.84397069357419</v>
      </c>
    </row>
    <row r="142" spans="1:19" x14ac:dyDescent="0.15">
      <c r="A142" t="s">
        <v>188</v>
      </c>
      <c r="C142" s="48" t="s">
        <v>188</v>
      </c>
      <c r="D142" s="48">
        <f>IFERROR(
INDEX('Huntsman Raw'!$B$119:$K$165,
MATCH(TRIM($A142),'Huntsman Raw'!$M$119:$M$165,0),
MATCH(D$33,'Huntsman Raw'!$B$116:$K$116,0)
),"")</f>
        <v>1322</v>
      </c>
      <c r="E142" s="48">
        <f>IFERROR(
INDEX('Huntsman Raw'!$B$119:$K$165,
MATCH(TRIM($A142),'Huntsman Raw'!$M$119:$M$165,0),
MATCH(E$33,'Huntsman Raw'!$B$116:$K$116,0)
),"")</f>
        <v>1221</v>
      </c>
      <c r="F142" s="48">
        <f>IFERROR(
INDEX('Huntsman Raw'!$B$119:$K$165,
MATCH(TRIM($A142),'Huntsman Raw'!$M$119:$M$165,0),
MATCH(F$33,'Huntsman Raw'!$B$116:$K$116,0)
),"")</f>
        <v>1387</v>
      </c>
      <c r="G142" s="48">
        <f>IFERROR(
INDEX('Huntsman Raw'!$B$119:$K$165,
MATCH(TRIM($A142),'Huntsman Raw'!$M$119:$M$165,0),
MATCH(G$33,'Huntsman Raw'!$B$116:$K$116,0)
),"")</f>
        <v>742</v>
      </c>
      <c r="H142" s="48">
        <f>IFERROR(
INDEX('Huntsman Raw'!$B$119:$K$165,
MATCH(TRIM($A142),'Huntsman Raw'!$M$119:$M$165,0),
MATCH(H$33,'Huntsman Raw'!$B$116:$K$116,0)
),"")</f>
        <v>522</v>
      </c>
      <c r="I142" s="48">
        <f>IFERROR(
INDEX('Huntsman Raw'!$B$119:$K$165,
MATCH(TRIM($A142),'Huntsman Raw'!$M$119:$M$165,0),
MATCH(I$33,'Huntsman Raw'!$B$116:$K$116,0)
),"")</f>
        <v>1108</v>
      </c>
      <c r="J142" s="48">
        <f>IFERROR(
INDEX('Huntsman Raw'!$B$119:$K$165,
MATCH(TRIM($A142),'Huntsman Raw'!$M$119:$M$165,0),
MATCH(J$33,'Huntsman Raw'!$B$116:$K$116,0)
),"")</f>
        <v>1164</v>
      </c>
      <c r="K142" s="48">
        <f>IFERROR(
INDEX('Huntsman Raw'!$B$119:$K$165,
MATCH(TRIM($A142),'Huntsman Raw'!$M$119:$M$165,0),
MATCH(K$33,'Huntsman Raw'!$B$116:$K$116,0)
),"")</f>
        <v>420</v>
      </c>
      <c r="L142" s="48">
        <f>IFERROR(
INDEX('Huntsman Raw'!$B$119:$K$165,
MATCH(TRIM($A142),'Huntsman Raw'!$M$119:$M$165,0),
MATCH(L$33,'Huntsman Raw'!$B$116:$K$116,0)
),"")</f>
        <v>404</v>
      </c>
      <c r="M142" s="48">
        <f>IFERROR(
INDEX('Huntsman Raw'!$B$119:$K$165,
MATCH(TRIM($A142),'Huntsman Raw'!$M$119:$M$165,0),
MATCH(M$33,'Huntsman Raw'!$B$116:$K$116,0)
),"")</f>
        <v>242</v>
      </c>
      <c r="N142" s="96">
        <f t="shared" ref="N142:S142" si="71">N$45+N$115</f>
        <v>351.56681871794916</v>
      </c>
      <c r="O142" s="57">
        <f t="shared" si="71"/>
        <v>460.8684698249719</v>
      </c>
      <c r="P142" s="57">
        <f t="shared" si="71"/>
        <v>685.84018659627031</v>
      </c>
      <c r="Q142" s="57">
        <f t="shared" si="71"/>
        <v>879.37452779121122</v>
      </c>
      <c r="R142" s="57">
        <f t="shared" si="71"/>
        <v>1044.4033518856504</v>
      </c>
      <c r="S142" s="97">
        <f t="shared" si="71"/>
        <v>1148.3793387499718</v>
      </c>
    </row>
    <row r="143" spans="1:19" x14ac:dyDescent="0.15">
      <c r="A143" t="s">
        <v>198</v>
      </c>
      <c r="C143" t="s">
        <v>198</v>
      </c>
      <c r="D143">
        <f>IFERROR(
INDEX('Huntsman Raw'!$B$119:$K$165,
MATCH(TRIM($A143),'Huntsman Raw'!$M$119:$M$165,0),
MATCH(D$33,'Huntsman Raw'!$B$116:$K$116,0)
),"")</f>
        <v>3998</v>
      </c>
      <c r="E143">
        <f>IFERROR(
INDEX('Huntsman Raw'!$B$119:$K$165,
MATCH(TRIM($A143),'Huntsman Raw'!$M$119:$M$165,0),
MATCH(E$33,'Huntsman Raw'!$B$116:$K$116,0)
),"")</f>
        <v>2722</v>
      </c>
      <c r="F143">
        <f>IFERROR(
INDEX('Huntsman Raw'!$B$119:$K$165,
MATCH(TRIM($A143),'Huntsman Raw'!$M$119:$M$165,0),
MATCH(F$33,'Huntsman Raw'!$B$116:$K$116,0)
),"")</f>
        <v>2245</v>
      </c>
      <c r="G143">
        <f>IFERROR(
INDEX('Huntsman Raw'!$B$119:$K$165,
MATCH(TRIM($A143),'Huntsman Raw'!$M$119:$M$165,0),
MATCH(G$33,'Huntsman Raw'!$B$116:$K$116,0)
),"")</f>
        <v>2027</v>
      </c>
      <c r="H143">
        <f>IFERROR(
INDEX('Huntsman Raw'!$B$119:$K$165,
MATCH(TRIM($A143),'Huntsman Raw'!$M$119:$M$165,0),
MATCH(H$33,'Huntsman Raw'!$B$116:$K$116,0)
),"")</f>
        <v>702</v>
      </c>
      <c r="I143">
        <f>IFERROR(
INDEX('Huntsman Raw'!$B$119:$K$165,
MATCH(TRIM($A143),'Huntsman Raw'!$M$119:$M$165,0),
MATCH(I$33,'Huntsman Raw'!$B$116:$K$116,0)
),"")</f>
        <v>702</v>
      </c>
      <c r="J143">
        <f>IFERROR(
INDEX('Huntsman Raw'!$B$119:$K$165,
MATCH(TRIM($A143),'Huntsman Raw'!$M$119:$M$165,0),
MATCH(J$33,'Huntsman Raw'!$B$116:$K$116,0)
),"")</f>
        <v>1324</v>
      </c>
      <c r="K143">
        <f>IFERROR(
INDEX('Huntsman Raw'!$B$119:$K$165,
MATCH(TRIM($A143),'Huntsman Raw'!$M$119:$M$165,0),
MATCH(K$33,'Huntsman Raw'!$B$116:$K$116,0)
),"")</f>
        <v>1403</v>
      </c>
      <c r="L143">
        <f>IFERROR(
INDEX('Huntsman Raw'!$B$119:$K$165,
MATCH(TRIM($A143),'Huntsman Raw'!$M$119:$M$165,0),
MATCH(L$33,'Huntsman Raw'!$B$116:$K$116,0)
),"")</f>
        <v>1726</v>
      </c>
      <c r="M143">
        <f>IFERROR(
INDEX('Huntsman Raw'!$B$119:$K$165,
MATCH(TRIM($A143),'Huntsman Raw'!$M$119:$M$165,0),
MATCH(M$33,'Huntsman Raw'!$B$116:$K$116,0)
),"")</f>
        <v>1812</v>
      </c>
      <c r="N143" s="98">
        <f>'Huntsman Debt'!D48</f>
        <v>1651.2760237239386</v>
      </c>
      <c r="O143" s="39">
        <f>'Huntsman Debt'!E48</f>
        <v>1660.1350196312105</v>
      </c>
      <c r="P143" s="39">
        <f>'Huntsman Debt'!F48</f>
        <v>1524.7102906425253</v>
      </c>
      <c r="Q143" s="39">
        <f>'Huntsman Debt'!G48</f>
        <v>1237.5118438087472</v>
      </c>
      <c r="R143" s="39">
        <f>'Huntsman Debt'!H48</f>
        <v>845.07027478974874</v>
      </c>
      <c r="S143" s="99">
        <f>'Huntsman Debt'!I48</f>
        <v>381.70410676153915</v>
      </c>
    </row>
    <row r="144" spans="1:19" x14ac:dyDescent="0.15">
      <c r="A144" t="s">
        <v>221</v>
      </c>
      <c r="C144" s="48" t="s">
        <v>297</v>
      </c>
      <c r="D144" s="48">
        <f>IFERROR(
INDEX('Huntsman Raw'!$B$119:$K$165,
MATCH(TRIM($A144),'Huntsman Raw'!$M$119:$M$165,0),
MATCH(D$33,'Huntsman Raw'!$B$116:$K$116,0)
),"")</f>
        <v>667</v>
      </c>
      <c r="E144" s="48">
        <f>IFERROR(
INDEX('Huntsman Raw'!$B$119:$K$165,
MATCH(TRIM($A144),'Huntsman Raw'!$M$119:$M$165,0),
MATCH(E$33,'Huntsman Raw'!$B$116:$K$116,0)
),"")</f>
        <v>937</v>
      </c>
      <c r="F144" s="48">
        <f>IFERROR(
INDEX('Huntsman Raw'!$B$119:$K$165,
MATCH(TRIM($A144),'Huntsman Raw'!$M$119:$M$165,0),
MATCH(F$33,'Huntsman Raw'!$B$116:$K$116,0)
),"")</f>
        <v>740</v>
      </c>
      <c r="G144" s="48">
        <f>IFERROR(
INDEX('Huntsman Raw'!$B$119:$K$165,
MATCH(TRIM($A144),'Huntsman Raw'!$M$119:$M$165,0),
MATCH(G$33,'Huntsman Raw'!$B$116:$K$116,0)
),"")</f>
        <v>623</v>
      </c>
      <c r="H144" s="48">
        <f>IFERROR(
INDEX('Huntsman Raw'!$B$119:$K$165,
MATCH(TRIM($A144),'Huntsman Raw'!$M$119:$M$165,0),
MATCH(H$33,'Huntsman Raw'!$B$116:$K$116,0)
),"")</f>
        <v>4</v>
      </c>
      <c r="I144" s="48">
        <f>IFERROR(
INDEX('Huntsman Raw'!$B$119:$K$165,
MATCH(TRIM($A144),'Huntsman Raw'!$M$119:$M$165,0),
MATCH(I$33,'Huntsman Raw'!$B$116:$K$116,0)
),"")</f>
        <v>610</v>
      </c>
      <c r="J144" s="48">
        <f>IFERROR(
INDEX('Huntsman Raw'!$B$119:$K$165,
MATCH(TRIM($A144),'Huntsman Raw'!$M$119:$M$165,0),
MATCH(J$33,'Huntsman Raw'!$B$116:$K$116,0)
),"")</f>
        <v>642</v>
      </c>
      <c r="K144" s="48">
        <f>IFERROR(
INDEX('Huntsman Raw'!$B$119:$K$165,
MATCH(TRIM($A144),'Huntsman Raw'!$M$119:$M$165,0),
MATCH(K$33,'Huntsman Raw'!$B$116:$K$116,0)
),"")</f>
        <v>-21</v>
      </c>
      <c r="L144" s="48">
        <f>IFERROR(
INDEX('Huntsman Raw'!$B$119:$K$165,
MATCH(TRIM($A144),'Huntsman Raw'!$M$119:$M$165,0),
MATCH(L$33,'Huntsman Raw'!$B$116:$K$116,0)
),"")</f>
        <v>79</v>
      </c>
      <c r="M144" s="48">
        <f>IFERROR(
INDEX('Huntsman Raw'!$B$119:$K$165,
MATCH(TRIM($A144),'Huntsman Raw'!$M$119:$M$165,0),
MATCH(M$33,'Huntsman Raw'!$B$116:$K$116,0)
),"")</f>
        <v>116</v>
      </c>
      <c r="N144" s="140">
        <f>N$121+N$123</f>
        <v>29.148954053839162</v>
      </c>
      <c r="O144" s="141">
        <f t="shared" ref="O144:S144" si="72">O$121+O$123</f>
        <v>140.73918187050614</v>
      </c>
      <c r="P144" s="141">
        <f t="shared" si="72"/>
        <v>285.02290676646288</v>
      </c>
      <c r="Q144" s="141">
        <f t="shared" si="72"/>
        <v>436.79662461155567</v>
      </c>
      <c r="R144" s="141">
        <f t="shared" si="72"/>
        <v>540.5397467967764</v>
      </c>
      <c r="S144" s="142">
        <f t="shared" si="72"/>
        <v>611.46434580598748</v>
      </c>
    </row>
    <row r="149" spans="15:15" x14ac:dyDescent="0.15">
      <c r="O149" s="48"/>
    </row>
  </sheetData>
  <mergeCells count="16">
    <mergeCell ref="C31:S31"/>
    <mergeCell ref="D4:M4"/>
    <mergeCell ref="N4:S4"/>
    <mergeCell ref="C3:S3"/>
    <mergeCell ref="D117:M117"/>
    <mergeCell ref="D116:M116"/>
    <mergeCell ref="D41:M41"/>
    <mergeCell ref="D32:M32"/>
    <mergeCell ref="D111:M111"/>
    <mergeCell ref="N111:S111"/>
    <mergeCell ref="D120:M120"/>
    <mergeCell ref="N32:S32"/>
    <mergeCell ref="C61:S61"/>
    <mergeCell ref="C110:S110"/>
    <mergeCell ref="D62:M62"/>
    <mergeCell ref="N62:S62"/>
  </mergeCells>
  <pageMargins left="0.7" right="0.7" top="0.75" bottom="0.75" header="0.3" footer="0.3"/>
  <ignoredErrors>
    <ignoredError sqref="D107 K107:M107 I107:J107 E107:H107 D56:M56" 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EDBC4-8047-774B-869D-0B991F48798B}">
  <sheetPr codeName="Sheet6"/>
  <dimension ref="A1:S46"/>
  <sheetViews>
    <sheetView showGridLines="0" workbookViewId="0">
      <selection activeCell="M37" sqref="M37"/>
    </sheetView>
  </sheetViews>
  <sheetFormatPr baseColWidth="10" defaultRowHeight="13" x14ac:dyDescent="0.15"/>
  <cols>
    <col min="1" max="1" width="6" customWidth="1"/>
    <col min="2" max="2" width="44.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404</v>
      </c>
    </row>
    <row r="3" spans="1:19" ht="16" x14ac:dyDescent="0.15">
      <c r="B3" s="62" t="s">
        <v>380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9" x14ac:dyDescent="0.15">
      <c r="B4" s="90"/>
      <c r="C4" s="356" t="s">
        <v>399</v>
      </c>
      <c r="D4" s="356"/>
      <c r="E4" s="356"/>
      <c r="F4" s="356"/>
      <c r="G4" s="356"/>
      <c r="H4" s="356"/>
      <c r="I4" s="356"/>
      <c r="J4" s="356"/>
      <c r="K4" s="356"/>
      <c r="L4" s="369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4">
        <v>42735</v>
      </c>
      <c r="D5" s="144">
        <f>EDATE(C5,12)</f>
        <v>43100</v>
      </c>
      <c r="E5" s="144">
        <f t="shared" ref="E5:R5" si="0">EDATE(D5,12)</f>
        <v>43465</v>
      </c>
      <c r="F5" s="144">
        <f t="shared" si="0"/>
        <v>43830</v>
      </c>
      <c r="G5" s="144">
        <f t="shared" si="0"/>
        <v>44196</v>
      </c>
      <c r="H5" s="144">
        <f t="shared" si="0"/>
        <v>44561</v>
      </c>
      <c r="I5" s="144">
        <f>EDATE(H5,12)</f>
        <v>44926</v>
      </c>
      <c r="J5" s="144">
        <f t="shared" si="0"/>
        <v>45291</v>
      </c>
      <c r="K5" s="144">
        <f t="shared" si="0"/>
        <v>45657</v>
      </c>
      <c r="L5" s="144">
        <f t="shared" si="0"/>
        <v>46022</v>
      </c>
      <c r="M5" s="148">
        <f t="shared" si="0"/>
        <v>46387</v>
      </c>
      <c r="N5" s="144">
        <f t="shared" si="0"/>
        <v>46752</v>
      </c>
      <c r="O5" s="144">
        <f t="shared" si="0"/>
        <v>47118</v>
      </c>
      <c r="P5" s="144">
        <f t="shared" si="0"/>
        <v>47483</v>
      </c>
      <c r="Q5" s="144">
        <f t="shared" si="0"/>
        <v>47848</v>
      </c>
      <c r="R5" s="149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150"/>
      <c r="N7" s="113"/>
      <c r="O7" s="113"/>
      <c r="P7" s="113"/>
      <c r="Q7" s="113"/>
      <c r="R7" s="151"/>
    </row>
    <row r="8" spans="1:19" x14ac:dyDescent="0.15">
      <c r="B8" t="s">
        <v>387</v>
      </c>
      <c r="C8" s="1"/>
      <c r="D8" s="39">
        <f>D$18-C$18</f>
        <v>4</v>
      </c>
      <c r="E8" s="39">
        <f t="shared" ref="E8:L8" si="1">E$18-D$18</f>
        <v>-7</v>
      </c>
      <c r="F8" s="39">
        <f t="shared" si="1"/>
        <v>-9</v>
      </c>
      <c r="G8" s="39">
        <f t="shared" si="1"/>
        <v>-4</v>
      </c>
      <c r="H8" s="39">
        <f t="shared" si="1"/>
        <v>-6</v>
      </c>
      <c r="I8" s="39">
        <f t="shared" si="1"/>
        <v>-30</v>
      </c>
      <c r="J8" s="39">
        <f t="shared" si="1"/>
        <v>-12</v>
      </c>
      <c r="K8" s="39">
        <f t="shared" si="1"/>
        <v>0</v>
      </c>
      <c r="L8" s="39">
        <f t="shared" si="1"/>
        <v>1</v>
      </c>
      <c r="M8" s="145">
        <v>2.8</v>
      </c>
      <c r="N8" s="189">
        <v>0</v>
      </c>
      <c r="O8" s="189">
        <v>0</v>
      </c>
      <c r="P8" s="189">
        <v>0</v>
      </c>
      <c r="Q8" s="189">
        <v>0</v>
      </c>
      <c r="R8" s="190">
        <v>0</v>
      </c>
      <c r="S8" s="39"/>
    </row>
    <row r="9" spans="1:19" x14ac:dyDescent="0.15">
      <c r="B9" t="s">
        <v>391</v>
      </c>
      <c r="C9" s="40">
        <f>'Huntsman Standalone'!D$59</f>
        <v>0.5</v>
      </c>
      <c r="D9" s="40">
        <f>'Huntsman Standalone'!E$59</f>
        <v>0.5</v>
      </c>
      <c r="E9" s="40">
        <f>'Huntsman Standalone'!F$59</f>
        <v>0.65</v>
      </c>
      <c r="F9" s="40">
        <f>'Huntsman Standalone'!G$59</f>
        <v>0.65</v>
      </c>
      <c r="G9" s="40">
        <f>'Huntsman Standalone'!H$59</f>
        <v>0.65</v>
      </c>
      <c r="H9" s="40">
        <f>'Huntsman Standalone'!I$59</f>
        <v>0.72499999999999998</v>
      </c>
      <c r="I9" s="40">
        <f>'Huntsman Standalone'!J$59</f>
        <v>0.85</v>
      </c>
      <c r="J9" s="40">
        <f>'Huntsman Standalone'!K$59</f>
        <v>0.95</v>
      </c>
      <c r="K9" s="40">
        <f>'Huntsman Standalone'!L$59</f>
        <v>1</v>
      </c>
      <c r="L9" s="40">
        <f>'Huntsman Standalone'!M$59</f>
        <v>0.83799999999999997</v>
      </c>
      <c r="M9" s="146">
        <f>$L$9</f>
        <v>0.83799999999999997</v>
      </c>
      <c r="N9" s="75">
        <f>$M$9</f>
        <v>0.83799999999999997</v>
      </c>
      <c r="O9" s="75">
        <f t="shared" ref="O9:R9" si="2">$M$9</f>
        <v>0.83799999999999997</v>
      </c>
      <c r="P9" s="75">
        <f t="shared" si="2"/>
        <v>0.83799999999999997</v>
      </c>
      <c r="Q9" s="75">
        <f t="shared" si="2"/>
        <v>0.83799999999999997</v>
      </c>
      <c r="R9" s="147">
        <f t="shared" si="2"/>
        <v>0.83799999999999997</v>
      </c>
    </row>
    <row r="10" spans="1:19" x14ac:dyDescent="0.15">
      <c r="B10" t="s">
        <v>388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80">
        <v>30</v>
      </c>
      <c r="N10" s="81">
        <f>M10</f>
        <v>30</v>
      </c>
      <c r="O10" s="81">
        <f t="shared" ref="O10:R10" si="3">N10</f>
        <v>30</v>
      </c>
      <c r="P10" s="81">
        <f t="shared" si="3"/>
        <v>30</v>
      </c>
      <c r="Q10" s="81">
        <f t="shared" si="3"/>
        <v>30</v>
      </c>
      <c r="R10" s="82">
        <f t="shared" si="3"/>
        <v>30</v>
      </c>
    </row>
    <row r="11" spans="1:19" x14ac:dyDescent="0.15">
      <c r="B11" t="s">
        <v>389</v>
      </c>
      <c r="C11" s="39"/>
      <c r="D11" s="39">
        <f>D$37-C$37</f>
        <v>298</v>
      </c>
      <c r="E11" s="39">
        <f t="shared" ref="E11:L11" si="4">E$37-D$37</f>
        <v>58</v>
      </c>
      <c r="F11" s="39">
        <f t="shared" si="4"/>
        <v>-37</v>
      </c>
      <c r="G11" s="39">
        <f t="shared" si="4"/>
        <v>20</v>
      </c>
      <c r="H11" s="39">
        <f t="shared" si="4"/>
        <v>145</v>
      </c>
      <c r="I11" s="39">
        <f t="shared" si="4"/>
        <v>-88</v>
      </c>
      <c r="J11" s="39">
        <f t="shared" si="4"/>
        <v>14</v>
      </c>
      <c r="K11" s="39">
        <f t="shared" si="4"/>
        <v>55</v>
      </c>
      <c r="L11" s="39">
        <f t="shared" si="4"/>
        <v>202</v>
      </c>
      <c r="M11" s="80">
        <v>0</v>
      </c>
      <c r="N11" s="81">
        <f>$M$11</f>
        <v>0</v>
      </c>
      <c r="O11" s="81">
        <f t="shared" ref="O11:R11" si="5">$M$11</f>
        <v>0</v>
      </c>
      <c r="P11" s="81">
        <f t="shared" si="5"/>
        <v>0</v>
      </c>
      <c r="Q11" s="81">
        <f t="shared" si="5"/>
        <v>0</v>
      </c>
      <c r="R11" s="82">
        <f t="shared" si="5"/>
        <v>0</v>
      </c>
    </row>
    <row r="12" spans="1:19" x14ac:dyDescent="0.15">
      <c r="B12" t="s">
        <v>395</v>
      </c>
      <c r="C12" s="39"/>
      <c r="D12" s="39">
        <f t="shared" ref="D12:L12" si="6">D$35-D$31-D$32-D$33</f>
        <v>369</v>
      </c>
      <c r="E12" s="39">
        <f t="shared" si="6"/>
        <v>218</v>
      </c>
      <c r="F12" s="39">
        <f t="shared" si="6"/>
        <v>286</v>
      </c>
      <c r="G12" s="39">
        <f t="shared" si="6"/>
        <v>495</v>
      </c>
      <c r="H12" s="39">
        <f t="shared" si="6"/>
        <v>803</v>
      </c>
      <c r="I12" s="39">
        <f t="shared" si="6"/>
        <v>804</v>
      </c>
      <c r="J12" s="39">
        <f t="shared" si="6"/>
        <v>436</v>
      </c>
      <c r="K12" s="39">
        <f t="shared" si="6"/>
        <v>138</v>
      </c>
      <c r="L12" s="39">
        <f t="shared" si="6"/>
        <v>-75</v>
      </c>
      <c r="M12" s="80">
        <v>0</v>
      </c>
      <c r="N12" s="81">
        <f>$M$12</f>
        <v>0</v>
      </c>
      <c r="O12" s="81">
        <f t="shared" ref="O12:R12" si="7">$M$12</f>
        <v>0</v>
      </c>
      <c r="P12" s="81">
        <f t="shared" si="7"/>
        <v>0</v>
      </c>
      <c r="Q12" s="81">
        <f t="shared" si="7"/>
        <v>0</v>
      </c>
      <c r="R12" s="82">
        <f t="shared" si="7"/>
        <v>0</v>
      </c>
    </row>
    <row r="13" spans="1:19" s="39" customFormat="1" x14ac:dyDescent="0.15">
      <c r="B13" s="39" t="s">
        <v>426</v>
      </c>
      <c r="C13" s="39">
        <f>'Huntsman Standalone'!D$56</f>
        <v>4</v>
      </c>
      <c r="D13" s="39">
        <f>'Huntsman Standalone'!E$56</f>
        <v>6</v>
      </c>
      <c r="E13" s="39">
        <f>'Huntsman Standalone'!F$56</f>
        <v>4</v>
      </c>
      <c r="F13" s="39">
        <f>'Huntsman Standalone'!G$56</f>
        <v>2</v>
      </c>
      <c r="G13" s="39">
        <f>'Huntsman Standalone'!H$56</f>
        <v>1</v>
      </c>
      <c r="H13" s="39">
        <f>'Huntsman Standalone'!I$56</f>
        <v>2</v>
      </c>
      <c r="I13" s="39">
        <f>'Huntsman Standalone'!J$56</f>
        <v>2</v>
      </c>
      <c r="J13" s="39">
        <f>'Huntsman Standalone'!K$56</f>
        <v>0</v>
      </c>
      <c r="K13" s="39">
        <f>'Huntsman Standalone'!L$56</f>
        <v>0</v>
      </c>
      <c r="L13" s="39">
        <f>'Huntsman Standalone'!M$56</f>
        <v>0</v>
      </c>
      <c r="M13" s="80">
        <f>AVERAGE($C$13:$L$13)</f>
        <v>2.1</v>
      </c>
      <c r="N13" s="81">
        <f t="shared" ref="N13:R13" si="8">AVERAGE($C$13:$L$13)</f>
        <v>2.1</v>
      </c>
      <c r="O13" s="81">
        <f t="shared" si="8"/>
        <v>2.1</v>
      </c>
      <c r="P13" s="81">
        <f t="shared" si="8"/>
        <v>2.1</v>
      </c>
      <c r="Q13" s="81">
        <f t="shared" si="8"/>
        <v>2.1</v>
      </c>
      <c r="R13" s="82">
        <f t="shared" si="8"/>
        <v>2.1</v>
      </c>
    </row>
    <row r="14" spans="1:19" x14ac:dyDescent="0.15">
      <c r="C14" s="1"/>
      <c r="D14" s="1"/>
      <c r="E14" s="1"/>
      <c r="F14" s="1"/>
      <c r="G14" s="1"/>
      <c r="H14" s="1"/>
      <c r="I14" s="1"/>
      <c r="J14" s="1"/>
      <c r="K14" s="1"/>
      <c r="L14" s="1"/>
      <c r="M14" s="98"/>
      <c r="N14" s="39"/>
      <c r="O14" s="39"/>
      <c r="P14" s="39"/>
      <c r="Q14" s="39"/>
      <c r="R14" s="99"/>
    </row>
    <row r="15" spans="1:19" x14ac:dyDescent="0.15">
      <c r="B15" s="59" t="s">
        <v>406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152"/>
      <c r="N15" s="153"/>
      <c r="O15" s="153"/>
      <c r="P15" s="153"/>
      <c r="Q15" s="153"/>
      <c r="R15" s="154"/>
    </row>
    <row r="16" spans="1:19" x14ac:dyDescent="0.15">
      <c r="B16" t="s">
        <v>381</v>
      </c>
      <c r="D16" s="39">
        <f t="shared" ref="D16:L16" si="9">C$18</f>
        <v>236</v>
      </c>
      <c r="E16" s="39">
        <f t="shared" si="9"/>
        <v>240</v>
      </c>
      <c r="F16" s="39">
        <f t="shared" si="9"/>
        <v>233</v>
      </c>
      <c r="G16" s="39">
        <f t="shared" si="9"/>
        <v>224</v>
      </c>
      <c r="H16" s="39">
        <f t="shared" si="9"/>
        <v>220</v>
      </c>
      <c r="I16" s="39">
        <f t="shared" si="9"/>
        <v>214</v>
      </c>
      <c r="J16" s="39">
        <f t="shared" si="9"/>
        <v>184</v>
      </c>
      <c r="K16" s="39">
        <f t="shared" si="9"/>
        <v>172</v>
      </c>
      <c r="L16" s="39">
        <f t="shared" si="9"/>
        <v>172</v>
      </c>
      <c r="M16" s="98">
        <f>L18</f>
        <v>173</v>
      </c>
      <c r="N16" s="39">
        <f t="shared" ref="N16:R16" si="10">M18</f>
        <v>175.8</v>
      </c>
      <c r="O16" s="39">
        <f t="shared" si="10"/>
        <v>175.8</v>
      </c>
      <c r="P16" s="39">
        <f t="shared" si="10"/>
        <v>175.8</v>
      </c>
      <c r="Q16" s="39">
        <f t="shared" si="10"/>
        <v>175.8</v>
      </c>
      <c r="R16" s="99">
        <f t="shared" si="10"/>
        <v>175.8</v>
      </c>
    </row>
    <row r="17" spans="2:19" x14ac:dyDescent="0.15">
      <c r="B17" t="s">
        <v>390</v>
      </c>
      <c r="D17" s="56">
        <f>D$8</f>
        <v>4</v>
      </c>
      <c r="E17" s="56">
        <f t="shared" ref="E17:L17" si="11">E$8</f>
        <v>-7</v>
      </c>
      <c r="F17" s="56">
        <f t="shared" si="11"/>
        <v>-9</v>
      </c>
      <c r="G17" s="56">
        <f t="shared" si="11"/>
        <v>-4</v>
      </c>
      <c r="H17" s="56">
        <f t="shared" si="11"/>
        <v>-6</v>
      </c>
      <c r="I17" s="56">
        <f t="shared" si="11"/>
        <v>-30</v>
      </c>
      <c r="J17" s="56">
        <f t="shared" si="11"/>
        <v>-12</v>
      </c>
      <c r="K17" s="56">
        <f t="shared" si="11"/>
        <v>0</v>
      </c>
      <c r="L17" s="56">
        <f t="shared" si="11"/>
        <v>1</v>
      </c>
      <c r="M17" s="155">
        <f t="shared" ref="M17:R17" si="12">M8</f>
        <v>2.8</v>
      </c>
      <c r="N17" s="56">
        <f t="shared" si="12"/>
        <v>0</v>
      </c>
      <c r="O17" s="56">
        <f t="shared" si="12"/>
        <v>0</v>
      </c>
      <c r="P17" s="56">
        <f t="shared" si="12"/>
        <v>0</v>
      </c>
      <c r="Q17" s="56">
        <f t="shared" si="12"/>
        <v>0</v>
      </c>
      <c r="R17" s="156">
        <f t="shared" si="12"/>
        <v>0</v>
      </c>
    </row>
    <row r="18" spans="2:19" x14ac:dyDescent="0.15">
      <c r="B18" t="s">
        <v>382</v>
      </c>
      <c r="C18" s="39">
        <f>'Huntsman Standalone'!D$108</f>
        <v>236</v>
      </c>
      <c r="D18" s="39">
        <f>'Huntsman Standalone'!E$108</f>
        <v>240</v>
      </c>
      <c r="E18" s="39">
        <f>'Huntsman Standalone'!F$108</f>
        <v>233</v>
      </c>
      <c r="F18" s="39">
        <f>'Huntsman Standalone'!G$108</f>
        <v>224</v>
      </c>
      <c r="G18" s="39">
        <f>'Huntsman Standalone'!H$108</f>
        <v>220</v>
      </c>
      <c r="H18" s="39">
        <f>'Huntsman Standalone'!I$108</f>
        <v>214</v>
      </c>
      <c r="I18" s="39">
        <f>'Huntsman Standalone'!J$108</f>
        <v>184</v>
      </c>
      <c r="J18" s="39">
        <f>'Huntsman Standalone'!K$108</f>
        <v>172</v>
      </c>
      <c r="K18" s="39">
        <f>'Huntsman Standalone'!L$108</f>
        <v>172</v>
      </c>
      <c r="L18" s="39">
        <f>'Huntsman Standalone'!M$108</f>
        <v>173</v>
      </c>
      <c r="M18" s="98">
        <f>M$16+M$17</f>
        <v>175.8</v>
      </c>
      <c r="N18" s="39">
        <f t="shared" ref="N18:R18" si="13">N$16+N$17</f>
        <v>175.8</v>
      </c>
      <c r="O18" s="39">
        <f t="shared" si="13"/>
        <v>175.8</v>
      </c>
      <c r="P18" s="39">
        <f t="shared" si="13"/>
        <v>175.8</v>
      </c>
      <c r="Q18" s="39">
        <f t="shared" si="13"/>
        <v>175.8</v>
      </c>
      <c r="R18" s="99">
        <f t="shared" si="13"/>
        <v>175.8</v>
      </c>
    </row>
    <row r="19" spans="2:19" x14ac:dyDescent="0.15">
      <c r="B19" s="48" t="s">
        <v>427</v>
      </c>
      <c r="C19" s="57">
        <f>'Huntsman Standalone'!D$57</f>
        <v>240</v>
      </c>
      <c r="D19" s="57">
        <f>'Huntsman Standalone'!E$57</f>
        <v>244</v>
      </c>
      <c r="E19" s="57">
        <f>'Huntsman Standalone'!F$57</f>
        <v>242</v>
      </c>
      <c r="F19" s="57">
        <f>'Huntsman Standalone'!G$57</f>
        <v>231</v>
      </c>
      <c r="G19" s="57">
        <f>'Huntsman Standalone'!H$57</f>
        <v>222</v>
      </c>
      <c r="H19" s="57">
        <f>'Huntsman Standalone'!I$57</f>
        <v>221</v>
      </c>
      <c r="I19" s="57">
        <f>'Huntsman Standalone'!J$57</f>
        <v>203</v>
      </c>
      <c r="J19" s="57">
        <f>'Huntsman Standalone'!K$57</f>
        <v>177</v>
      </c>
      <c r="K19" s="57">
        <f>'Huntsman Standalone'!L$57</f>
        <v>172</v>
      </c>
      <c r="L19" s="57">
        <f>'Huntsman Standalone'!M$57</f>
        <v>173</v>
      </c>
      <c r="M19" s="96">
        <f>AVERAGE(M$16,M$18)</f>
        <v>174.4</v>
      </c>
      <c r="N19" s="57">
        <f t="shared" ref="N19:R19" si="14">AVERAGE(N$16,N$18)</f>
        <v>175.8</v>
      </c>
      <c r="O19" s="57">
        <f t="shared" si="14"/>
        <v>175.8</v>
      </c>
      <c r="P19" s="57">
        <f t="shared" si="14"/>
        <v>175.8</v>
      </c>
      <c r="Q19" s="57">
        <f t="shared" si="14"/>
        <v>175.8</v>
      </c>
      <c r="R19" s="97">
        <f t="shared" si="14"/>
        <v>175.8</v>
      </c>
    </row>
    <row r="20" spans="2:19" x14ac:dyDescent="0.15">
      <c r="B20" t="s">
        <v>425</v>
      </c>
      <c r="C20" s="39">
        <f>C13</f>
        <v>4</v>
      </c>
      <c r="D20" s="39">
        <f t="shared" ref="D20:R20" si="15">D13</f>
        <v>6</v>
      </c>
      <c r="E20" s="39">
        <f t="shared" si="15"/>
        <v>4</v>
      </c>
      <c r="F20" s="39">
        <f t="shared" si="15"/>
        <v>2</v>
      </c>
      <c r="G20" s="39">
        <f t="shared" si="15"/>
        <v>1</v>
      </c>
      <c r="H20" s="39">
        <f t="shared" si="15"/>
        <v>2</v>
      </c>
      <c r="I20" s="39">
        <f t="shared" si="15"/>
        <v>2</v>
      </c>
      <c r="J20" s="39">
        <f t="shared" si="15"/>
        <v>0</v>
      </c>
      <c r="K20" s="39">
        <f t="shared" si="15"/>
        <v>0</v>
      </c>
      <c r="L20" s="39">
        <f t="shared" si="15"/>
        <v>0</v>
      </c>
      <c r="M20" s="98">
        <f t="shared" si="15"/>
        <v>2.1</v>
      </c>
      <c r="N20" s="39">
        <f t="shared" si="15"/>
        <v>2.1</v>
      </c>
      <c r="O20" s="39">
        <f t="shared" si="15"/>
        <v>2.1</v>
      </c>
      <c r="P20" s="39">
        <f t="shared" si="15"/>
        <v>2.1</v>
      </c>
      <c r="Q20" s="39">
        <f t="shared" si="15"/>
        <v>2.1</v>
      </c>
      <c r="R20" s="99">
        <f t="shared" si="15"/>
        <v>2.1</v>
      </c>
    </row>
    <row r="21" spans="2:19" x14ac:dyDescent="0.15">
      <c r="B21" s="48" t="s">
        <v>383</v>
      </c>
      <c r="C21" s="57">
        <f t="shared" ref="C21:R21" si="16">SUM(C$19:C$20)</f>
        <v>244</v>
      </c>
      <c r="D21" s="57">
        <f t="shared" si="16"/>
        <v>250</v>
      </c>
      <c r="E21" s="57">
        <f t="shared" si="16"/>
        <v>246</v>
      </c>
      <c r="F21" s="57">
        <f t="shared" si="16"/>
        <v>233</v>
      </c>
      <c r="G21" s="57">
        <f t="shared" si="16"/>
        <v>223</v>
      </c>
      <c r="H21" s="57">
        <f t="shared" si="16"/>
        <v>223</v>
      </c>
      <c r="I21" s="57">
        <f t="shared" si="16"/>
        <v>205</v>
      </c>
      <c r="J21" s="57">
        <f t="shared" si="16"/>
        <v>177</v>
      </c>
      <c r="K21" s="57">
        <f t="shared" si="16"/>
        <v>172</v>
      </c>
      <c r="L21" s="57">
        <f t="shared" si="16"/>
        <v>173</v>
      </c>
      <c r="M21" s="96">
        <f t="shared" si="16"/>
        <v>176.5</v>
      </c>
      <c r="N21" s="57">
        <f t="shared" si="16"/>
        <v>177.9</v>
      </c>
      <c r="O21" s="57">
        <f t="shared" si="16"/>
        <v>177.9</v>
      </c>
      <c r="P21" s="57">
        <f t="shared" si="16"/>
        <v>177.9</v>
      </c>
      <c r="Q21" s="57">
        <f t="shared" si="16"/>
        <v>177.9</v>
      </c>
      <c r="R21" s="97">
        <f t="shared" si="16"/>
        <v>177.9</v>
      </c>
    </row>
    <row r="22" spans="2:19" x14ac:dyDescent="0.15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98"/>
      <c r="N22" s="39"/>
      <c r="O22" s="39"/>
      <c r="P22" s="39"/>
      <c r="Q22" s="39"/>
      <c r="R22" s="99"/>
    </row>
    <row r="23" spans="2:19" x14ac:dyDescent="0.15">
      <c r="B23" t="s">
        <v>391</v>
      </c>
      <c r="C23" s="40">
        <f>C$9</f>
        <v>0.5</v>
      </c>
      <c r="D23" s="40">
        <f t="shared" ref="D23:R23" si="17">D$9</f>
        <v>0.5</v>
      </c>
      <c r="E23" s="40">
        <f t="shared" si="17"/>
        <v>0.65</v>
      </c>
      <c r="F23" s="40">
        <f t="shared" si="17"/>
        <v>0.65</v>
      </c>
      <c r="G23" s="40">
        <f t="shared" si="17"/>
        <v>0.65</v>
      </c>
      <c r="H23" s="40">
        <f t="shared" si="17"/>
        <v>0.72499999999999998</v>
      </c>
      <c r="I23" s="40">
        <f t="shared" si="17"/>
        <v>0.85</v>
      </c>
      <c r="J23" s="40">
        <f t="shared" si="17"/>
        <v>0.95</v>
      </c>
      <c r="K23" s="40">
        <f t="shared" si="17"/>
        <v>1</v>
      </c>
      <c r="L23" s="40">
        <f t="shared" si="17"/>
        <v>0.83799999999999997</v>
      </c>
      <c r="M23" s="106">
        <f t="shared" si="17"/>
        <v>0.83799999999999997</v>
      </c>
      <c r="N23" s="40">
        <f t="shared" si="17"/>
        <v>0.83799999999999997</v>
      </c>
      <c r="O23" s="40">
        <f t="shared" si="17"/>
        <v>0.83799999999999997</v>
      </c>
      <c r="P23" s="40">
        <f t="shared" si="17"/>
        <v>0.83799999999999997</v>
      </c>
      <c r="Q23" s="40">
        <f t="shared" si="17"/>
        <v>0.83799999999999997</v>
      </c>
      <c r="R23" s="107">
        <f t="shared" si="17"/>
        <v>0.83799999999999997</v>
      </c>
    </row>
    <row r="24" spans="2:19" x14ac:dyDescent="0.15">
      <c r="B24" s="48" t="s">
        <v>293</v>
      </c>
      <c r="C24" s="57">
        <f>'Huntsman Standalone'!D$134</f>
        <v>-723</v>
      </c>
      <c r="D24" s="57">
        <f>'Huntsman Standalone'!E$134</f>
        <v>-519</v>
      </c>
      <c r="E24" s="57">
        <f>'Huntsman Standalone'!F$134</f>
        <v>-424</v>
      </c>
      <c r="F24" s="57">
        <f>'Huntsman Standalone'!G$134</f>
        <v>-450</v>
      </c>
      <c r="G24" s="57">
        <f>'Huntsman Standalone'!H$134</f>
        <v>-655</v>
      </c>
      <c r="H24" s="57">
        <f>'Huntsman Standalone'!I$134</f>
        <v>-977</v>
      </c>
      <c r="I24" s="57">
        <f>'Huntsman Standalone'!J$134</f>
        <v>-994</v>
      </c>
      <c r="J24" s="57">
        <f>'Huntsman Standalone'!K$134</f>
        <v>-620</v>
      </c>
      <c r="K24" s="57">
        <f>'Huntsman Standalone'!L$134</f>
        <v>-326</v>
      </c>
      <c r="L24" s="57">
        <f>'Huntsman Standalone'!M$134</f>
        <v>-76</v>
      </c>
      <c r="M24" s="96">
        <f>M$23*M$19*-1</f>
        <v>-146.1472</v>
      </c>
      <c r="N24" s="57">
        <f t="shared" ref="N24:R24" si="18">N$23*N$19*-1</f>
        <v>-147.32040000000001</v>
      </c>
      <c r="O24" s="57">
        <f t="shared" si="18"/>
        <v>-147.32040000000001</v>
      </c>
      <c r="P24" s="57">
        <f t="shared" si="18"/>
        <v>-147.32040000000001</v>
      </c>
      <c r="Q24" s="57">
        <f t="shared" si="18"/>
        <v>-147.32040000000001</v>
      </c>
      <c r="R24" s="97">
        <f t="shared" si="18"/>
        <v>-147.32040000000001</v>
      </c>
    </row>
    <row r="25" spans="2:19" x14ac:dyDescent="0.15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98"/>
      <c r="N25" s="39"/>
      <c r="O25" s="39"/>
      <c r="P25" s="39"/>
      <c r="Q25" s="39"/>
      <c r="R25" s="99"/>
    </row>
    <row r="26" spans="2:19" x14ac:dyDescent="0.15">
      <c r="B26" t="s">
        <v>60</v>
      </c>
      <c r="C26" s="39">
        <f>'Huntsman Standalone'!D$98</f>
        <v>3</v>
      </c>
      <c r="D26" s="39">
        <f>'Huntsman Standalone'!E$98</f>
        <v>3</v>
      </c>
      <c r="E26" s="39">
        <f>'Huntsman Standalone'!F$98</f>
        <v>3</v>
      </c>
      <c r="F26" s="39">
        <f>'Huntsman Standalone'!G$98</f>
        <v>3</v>
      </c>
      <c r="G26" s="39">
        <f>'Huntsman Standalone'!H$98</f>
        <v>3</v>
      </c>
      <c r="H26" s="39">
        <f>'Huntsman Standalone'!I$98</f>
        <v>3</v>
      </c>
      <c r="I26" s="39">
        <f>'Huntsman Standalone'!J$98</f>
        <v>3</v>
      </c>
      <c r="J26" s="39">
        <f>'Huntsman Standalone'!K$98</f>
        <v>3</v>
      </c>
      <c r="K26" s="39">
        <f>'Huntsman Standalone'!L$98</f>
        <v>3</v>
      </c>
      <c r="L26" s="39">
        <f>'Huntsman Standalone'!M$98</f>
        <v>3</v>
      </c>
      <c r="M26" s="98">
        <f t="shared" ref="M26:R26" si="19">L26+$C$46*(MAX(M17,0)*$C$44+MIN(M17,0)*$C$45)</f>
        <v>5.8</v>
      </c>
      <c r="N26" s="39">
        <f t="shared" si="19"/>
        <v>5.8</v>
      </c>
      <c r="O26" s="39">
        <f t="shared" si="19"/>
        <v>5.8</v>
      </c>
      <c r="P26" s="39">
        <f t="shared" si="19"/>
        <v>5.8</v>
      </c>
      <c r="Q26" s="39">
        <f t="shared" si="19"/>
        <v>5.8</v>
      </c>
      <c r="R26" s="99">
        <f t="shared" si="19"/>
        <v>5.8</v>
      </c>
    </row>
    <row r="27" spans="2:19" x14ac:dyDescent="0.15">
      <c r="B27" t="s">
        <v>153</v>
      </c>
      <c r="C27" s="39">
        <f>'Huntsman Standalone'!D$99</f>
        <v>3447</v>
      </c>
      <c r="D27" s="39">
        <f>'Huntsman Standalone'!E$99</f>
        <v>3889</v>
      </c>
      <c r="E27" s="39">
        <f>'Huntsman Standalone'!F$99</f>
        <v>3984</v>
      </c>
      <c r="F27" s="39">
        <f>'Huntsman Standalone'!G$99</f>
        <v>4008</v>
      </c>
      <c r="G27" s="39">
        <f>'Huntsman Standalone'!H$99</f>
        <v>4048</v>
      </c>
      <c r="H27" s="39">
        <f>'Huntsman Standalone'!I$99</f>
        <v>4102</v>
      </c>
      <c r="I27" s="39">
        <f>'Huntsman Standalone'!J$99</f>
        <v>4156</v>
      </c>
      <c r="J27" s="39">
        <f>'Huntsman Standalone'!K$99</f>
        <v>4202</v>
      </c>
      <c r="K27" s="39">
        <f>'Huntsman Standalone'!L$99</f>
        <v>4233</v>
      </c>
      <c r="L27" s="39">
        <f>'Huntsman Standalone'!M$99</f>
        <v>4261</v>
      </c>
      <c r="M27" s="98">
        <f>MAX(0,L27+M28+'Huntsman Standalone'!N132-(M26-L26)-(M29-L29))</f>
        <v>4338.2</v>
      </c>
      <c r="N27" s="39">
        <f>MAX(0,M27+N28+'Huntsman Standalone'!O132-(N26-M26)-(N29-M29))</f>
        <v>4368.2</v>
      </c>
      <c r="O27" s="39">
        <f>MAX(0,N27+O28+'Huntsman Standalone'!P132-(O26-N26)-(O29-N29))</f>
        <v>4398.2</v>
      </c>
      <c r="P27" s="39">
        <f>MAX(0,O27+P28+'Huntsman Standalone'!Q132-(P26-O26)-(P29-O29))</f>
        <v>4428.2</v>
      </c>
      <c r="Q27" s="39">
        <f>MAX(0,P27+Q28+'Huntsman Standalone'!R132-(Q26-P26)-(Q29-P29))</f>
        <v>4458.2</v>
      </c>
      <c r="R27" s="99">
        <f>MAX(0,Q27+R28+'Huntsman Standalone'!S132-(R26-Q26)-(R29-Q29))</f>
        <v>4488.2</v>
      </c>
      <c r="S27" t="s">
        <v>580</v>
      </c>
    </row>
    <row r="28" spans="2:19" x14ac:dyDescent="0.15">
      <c r="B28" s="2" t="s">
        <v>392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137">
        <f t="shared" ref="M28:R28" si="20">M$10</f>
        <v>30</v>
      </c>
      <c r="N28" s="52">
        <f t="shared" si="20"/>
        <v>30</v>
      </c>
      <c r="O28" s="52">
        <f t="shared" si="20"/>
        <v>30</v>
      </c>
      <c r="P28" s="52">
        <f t="shared" si="20"/>
        <v>30</v>
      </c>
      <c r="Q28" s="52">
        <f t="shared" si="20"/>
        <v>30</v>
      </c>
      <c r="R28" s="138">
        <f t="shared" si="20"/>
        <v>30</v>
      </c>
    </row>
    <row r="29" spans="2:19" x14ac:dyDescent="0.15">
      <c r="B29" t="s">
        <v>280</v>
      </c>
      <c r="C29" s="39">
        <f>'Huntsman Standalone'!D$101</f>
        <v>-150</v>
      </c>
      <c r="D29" s="39">
        <f>'Huntsman Standalone'!E$101</f>
        <v>-150</v>
      </c>
      <c r="E29" s="39">
        <f>'Huntsman Standalone'!F$101</f>
        <v>-427</v>
      </c>
      <c r="F29" s="39">
        <f>'Huntsman Standalone'!G$101</f>
        <v>-635</v>
      </c>
      <c r="G29" s="39">
        <f>'Huntsman Standalone'!H$101</f>
        <v>-731</v>
      </c>
      <c r="H29" s="39">
        <f>'Huntsman Standalone'!I$101</f>
        <v>-934</v>
      </c>
      <c r="I29" s="39">
        <f>'Huntsman Standalone'!J$101</f>
        <v>-1937</v>
      </c>
      <c r="J29" s="39">
        <f>'Huntsman Standalone'!K$101</f>
        <v>-2290</v>
      </c>
      <c r="K29" s="39">
        <f>'Huntsman Standalone'!L$101</f>
        <v>-2290</v>
      </c>
      <c r="L29" s="39">
        <f>'Huntsman Standalone'!M$101</f>
        <v>-2290</v>
      </c>
      <c r="M29" s="98">
        <f>L29+IF(M17&gt;0,(1-$C$44)*'Huntsman Standalone'!N$133,
IF(M17&lt;0,(1-$C$45)*'Huntsman Standalone'!N$133,0))</f>
        <v>-2290</v>
      </c>
      <c r="N29" s="39">
        <f>M29+IF(N17&gt;0,(1-$C$44)*'Huntsman Standalone'!O$133,
IF(N17&lt;0,(1-$C$45)*'Huntsman Standalone'!O$133,0))</f>
        <v>-2290</v>
      </c>
      <c r="O29" s="39">
        <f>N29+IF(O17&gt;0,(1-$C$44)*'Huntsman Standalone'!P$133,
IF(O17&lt;0,(1-$C$45)*'Huntsman Standalone'!P$133,0))</f>
        <v>-2290</v>
      </c>
      <c r="P29" s="39">
        <f>O29+IF(P17&gt;0,(1-$C$44)*'Huntsman Standalone'!Q$133,
IF(P17&lt;0,(1-$C$45)*'Huntsman Standalone'!Q$133,0))</f>
        <v>-2290</v>
      </c>
      <c r="Q29" s="39">
        <f>P29+IF(Q17&gt;0,(1-$C$44)*'Huntsman Standalone'!R$133,
IF(Q17&lt;0,(1-$C$45)*'Huntsman Standalone'!R$133,0))</f>
        <v>-2290</v>
      </c>
      <c r="R29" s="99">
        <f>Q29+IF(R17&gt;0,(1-$C$44)*'Huntsman Standalone'!S$133,
IF(R17&lt;0,(1-$C$45)*'Huntsman Standalone'!S$133,0))</f>
        <v>-2290</v>
      </c>
    </row>
    <row r="30" spans="2:19" x14ac:dyDescent="0.15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98"/>
      <c r="N30" s="39"/>
      <c r="O30" s="39"/>
      <c r="P30" s="39"/>
      <c r="Q30" s="39"/>
      <c r="R30" s="99"/>
    </row>
    <row r="31" spans="2:19" x14ac:dyDescent="0.15">
      <c r="B31" t="s">
        <v>384</v>
      </c>
      <c r="C31" s="185" t="s">
        <v>373</v>
      </c>
      <c r="D31" s="39">
        <f>'Huntsman Standalone'!D$100</f>
        <v>-325</v>
      </c>
      <c r="E31" s="39">
        <f>'Huntsman Standalone'!E$100</f>
        <v>161</v>
      </c>
      <c r="F31" s="39">
        <f>'Huntsman Standalone'!F$100</f>
        <v>292</v>
      </c>
      <c r="G31" s="39">
        <f>'Huntsman Standalone'!G$100</f>
        <v>690</v>
      </c>
      <c r="H31" s="39">
        <f>'Huntsman Standalone'!H$100</f>
        <v>1564</v>
      </c>
      <c r="I31" s="39">
        <f>'Huntsman Standalone'!I$100</f>
        <v>2435</v>
      </c>
      <c r="J31" s="39">
        <f>'Huntsman Standalone'!J$100</f>
        <v>2705</v>
      </c>
      <c r="K31" s="39">
        <f>'Huntsman Standalone'!K$100</f>
        <v>2622</v>
      </c>
      <c r="L31" s="39">
        <f>'Huntsman Standalone'!L$100</f>
        <v>2245</v>
      </c>
      <c r="M31" s="98">
        <f>L$35</f>
        <v>1810</v>
      </c>
      <c r="N31" s="39">
        <f t="shared" ref="N31:R31" si="21">M$35</f>
        <v>1643.7231432622225</v>
      </c>
      <c r="O31" s="39">
        <f t="shared" si="21"/>
        <v>1555.5435951324444</v>
      </c>
      <c r="P31" s="39">
        <f t="shared" si="21"/>
        <v>1635.6456110827592</v>
      </c>
      <c r="Q31" s="39">
        <f t="shared" si="21"/>
        <v>1859.7379112356243</v>
      </c>
      <c r="R31" s="99">
        <f t="shared" si="21"/>
        <v>2206.1551903627255</v>
      </c>
    </row>
    <row r="32" spans="2:19" x14ac:dyDescent="0.15">
      <c r="B32" t="s">
        <v>107</v>
      </c>
      <c r="C32" s="39">
        <f>'Huntsman Standalone'!D$52</f>
        <v>326</v>
      </c>
      <c r="D32" s="39">
        <f>'Huntsman Standalone'!E$52</f>
        <v>636</v>
      </c>
      <c r="E32" s="39">
        <f>'Huntsman Standalone'!F$52</f>
        <v>337</v>
      </c>
      <c r="F32" s="39">
        <f>'Huntsman Standalone'!G$52</f>
        <v>562</v>
      </c>
      <c r="G32" s="39">
        <f>'Huntsman Standalone'!H$52</f>
        <v>1034</v>
      </c>
      <c r="H32" s="39">
        <f>'Huntsman Standalone'!I$52</f>
        <v>1045</v>
      </c>
      <c r="I32" s="39">
        <f>'Huntsman Standalone'!J$52</f>
        <v>460</v>
      </c>
      <c r="J32" s="39">
        <f>'Huntsman Standalone'!K$52</f>
        <v>101</v>
      </c>
      <c r="K32" s="39">
        <f>'Huntsman Standalone'!L$52</f>
        <v>-189</v>
      </c>
      <c r="L32" s="39">
        <f>'Huntsman Standalone'!M$52</f>
        <v>-284</v>
      </c>
      <c r="M32" s="98">
        <f>'Huntsman Standalone'!N$52</f>
        <v>-20.129656737777445</v>
      </c>
      <c r="N32" s="39">
        <f>'Huntsman Standalone'!O$52</f>
        <v>59.140851870222022</v>
      </c>
      <c r="O32" s="39">
        <f>'Huntsman Standalone'!P$52</f>
        <v>227.42241595031487</v>
      </c>
      <c r="P32" s="39">
        <f>'Huntsman Standalone'!Q$52</f>
        <v>371.41270015286534</v>
      </c>
      <c r="Q32" s="39">
        <f>'Huntsman Standalone'!R$52</f>
        <v>493.73767912710105</v>
      </c>
      <c r="R32" s="99">
        <f>'Huntsman Standalone'!S$52</f>
        <v>566.59255994933869</v>
      </c>
    </row>
    <row r="33" spans="2:18" x14ac:dyDescent="0.15">
      <c r="B33" t="s">
        <v>293</v>
      </c>
      <c r="C33" s="39">
        <f>C$24</f>
        <v>-723</v>
      </c>
      <c r="D33" s="39">
        <f t="shared" ref="D33:L33" si="22">D$24</f>
        <v>-519</v>
      </c>
      <c r="E33" s="39">
        <f t="shared" si="22"/>
        <v>-424</v>
      </c>
      <c r="F33" s="39">
        <f t="shared" si="22"/>
        <v>-450</v>
      </c>
      <c r="G33" s="39">
        <f t="shared" si="22"/>
        <v>-655</v>
      </c>
      <c r="H33" s="39">
        <f t="shared" si="22"/>
        <v>-977</v>
      </c>
      <c r="I33" s="39">
        <f t="shared" si="22"/>
        <v>-994</v>
      </c>
      <c r="J33" s="39">
        <f t="shared" si="22"/>
        <v>-620</v>
      </c>
      <c r="K33" s="39">
        <f t="shared" si="22"/>
        <v>-326</v>
      </c>
      <c r="L33" s="39">
        <f t="shared" si="22"/>
        <v>-76</v>
      </c>
      <c r="M33" s="98">
        <f>M$24</f>
        <v>-146.1472</v>
      </c>
      <c r="N33" s="39">
        <f t="shared" ref="N33:R33" si="23">N$24</f>
        <v>-147.32040000000001</v>
      </c>
      <c r="O33" s="39">
        <f t="shared" si="23"/>
        <v>-147.32040000000001</v>
      </c>
      <c r="P33" s="39">
        <f t="shared" si="23"/>
        <v>-147.32040000000001</v>
      </c>
      <c r="Q33" s="39">
        <f t="shared" si="23"/>
        <v>-147.32040000000001</v>
      </c>
      <c r="R33" s="99">
        <f t="shared" si="23"/>
        <v>-147.32040000000001</v>
      </c>
    </row>
    <row r="34" spans="2:18" x14ac:dyDescent="0.15">
      <c r="B34" t="s">
        <v>395</v>
      </c>
      <c r="C34" s="39"/>
      <c r="D34" s="39">
        <f>D$12</f>
        <v>369</v>
      </c>
      <c r="E34" s="39">
        <f t="shared" ref="E34:L34" si="24">E$12</f>
        <v>218</v>
      </c>
      <c r="F34" s="39">
        <f t="shared" si="24"/>
        <v>286</v>
      </c>
      <c r="G34" s="39">
        <f t="shared" si="24"/>
        <v>495</v>
      </c>
      <c r="H34" s="39">
        <f t="shared" si="24"/>
        <v>803</v>
      </c>
      <c r="I34" s="39">
        <f t="shared" si="24"/>
        <v>804</v>
      </c>
      <c r="J34" s="39">
        <f t="shared" si="24"/>
        <v>436</v>
      </c>
      <c r="K34" s="39">
        <f t="shared" si="24"/>
        <v>138</v>
      </c>
      <c r="L34" s="39">
        <f t="shared" si="24"/>
        <v>-75</v>
      </c>
      <c r="M34" s="98">
        <f>M12+MIN(0,L27+M28+'Huntsman Standalone'!N$133-(M26-L26)-(M29-L29))</f>
        <v>0</v>
      </c>
      <c r="N34" s="39">
        <f>N12+MIN(0,M27+N28+'Huntsman Standalone'!O$133-(N26-M26)-(N29-M29))</f>
        <v>0</v>
      </c>
      <c r="O34" s="39">
        <f>O12+MIN(0,N27+O28+'Huntsman Standalone'!P$133-(O26-N26)-(O29-N29))</f>
        <v>0</v>
      </c>
      <c r="P34" s="39">
        <f>P12+MIN(0,O27+P28+'Huntsman Standalone'!Q$133-(P26-O26)-(P29-O29))</f>
        <v>0</v>
      </c>
      <c r="Q34" s="39">
        <f>Q12+MIN(0,P27+Q28+'Huntsman Standalone'!R$133-(Q26-P26)-(Q29-P29))</f>
        <v>0</v>
      </c>
      <c r="R34" s="99">
        <f>R12+MIN(0,Q27+R28+'Huntsman Standalone'!S$133-(R26-Q26)-(R29-Q29))</f>
        <v>0</v>
      </c>
    </row>
    <row r="35" spans="2:18" x14ac:dyDescent="0.15">
      <c r="B35" s="88" t="s">
        <v>385</v>
      </c>
      <c r="C35" s="89">
        <f>'Huntsman Standalone'!D$100</f>
        <v>-325</v>
      </c>
      <c r="D35" s="89">
        <f>'Huntsman Standalone'!E$100</f>
        <v>161</v>
      </c>
      <c r="E35" s="89">
        <f>'Huntsman Standalone'!F$100</f>
        <v>292</v>
      </c>
      <c r="F35" s="89">
        <f>'Huntsman Standalone'!G$100</f>
        <v>690</v>
      </c>
      <c r="G35" s="89">
        <f>'Huntsman Standalone'!H$100</f>
        <v>1564</v>
      </c>
      <c r="H35" s="89">
        <f>'Huntsman Standalone'!I$100</f>
        <v>2435</v>
      </c>
      <c r="I35" s="89">
        <f>'Huntsman Standalone'!J$100</f>
        <v>2705</v>
      </c>
      <c r="J35" s="89">
        <f>'Huntsman Standalone'!K$100</f>
        <v>2622</v>
      </c>
      <c r="K35" s="89">
        <f>'Huntsman Standalone'!L$100</f>
        <v>2245</v>
      </c>
      <c r="L35" s="89">
        <f>'Huntsman Standalone'!M$100</f>
        <v>1810</v>
      </c>
      <c r="M35" s="94">
        <f>M$31+M$32+M$33+M$34</f>
        <v>1643.7231432622225</v>
      </c>
      <c r="N35" s="89">
        <f t="shared" ref="N35:R35" si="25">N$31+N$32+N$33+N$34</f>
        <v>1555.5435951324444</v>
      </c>
      <c r="O35" s="89">
        <f t="shared" si="25"/>
        <v>1635.6456110827592</v>
      </c>
      <c r="P35" s="89">
        <f t="shared" si="25"/>
        <v>1859.7379112356243</v>
      </c>
      <c r="Q35" s="89">
        <f t="shared" si="25"/>
        <v>2206.1551903627255</v>
      </c>
      <c r="R35" s="95">
        <f t="shared" si="25"/>
        <v>2625.4273503120644</v>
      </c>
    </row>
    <row r="36" spans="2:18" x14ac:dyDescent="0.15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98"/>
      <c r="N36" s="39"/>
      <c r="O36" s="39"/>
      <c r="P36" s="39"/>
      <c r="Q36" s="39"/>
      <c r="R36" s="99"/>
    </row>
    <row r="37" spans="2:18" x14ac:dyDescent="0.15">
      <c r="B37" t="s">
        <v>158</v>
      </c>
      <c r="C37" s="39">
        <f>IFERROR(
INDEX('Huntsman Raw'!$B$70:$K$90,
MATCH(TRIM($B37),'Huntsman Raw'!$M$70:$M$90,0),
MATCH(C$5,'Huntsman Raw'!$B$116:$K$116,0)
),"")</f>
        <v>-1724</v>
      </c>
      <c r="D37" s="39">
        <f>IFERROR(
INDEX('Huntsman Raw'!$B$70:$K$90,
MATCH(TRIM($B37),'Huntsman Raw'!$M$70:$M$90,0),
MATCH(D$5,'Huntsman Raw'!$B$116:$K$116,0)
),"")</f>
        <v>-1426</v>
      </c>
      <c r="E37" s="39">
        <f>IFERROR(
INDEX('Huntsman Raw'!$B$70:$K$90,
MATCH(TRIM($B37),'Huntsman Raw'!$M$70:$M$90,0),
MATCH(E$5,'Huntsman Raw'!$B$116:$K$116,0)
),"")</f>
        <v>-1368</v>
      </c>
      <c r="F37" s="39">
        <f>IFERROR(
INDEX('Huntsman Raw'!$B$70:$K$90,
MATCH(TRIM($B37),'Huntsman Raw'!$M$70:$M$90,0),
MATCH(F$5,'Huntsman Raw'!$B$116:$K$116,0)
),"")</f>
        <v>-1405</v>
      </c>
      <c r="G37" s="39">
        <f>IFERROR(
INDEX('Huntsman Raw'!$B$70:$K$90,
MATCH(TRIM($B37),'Huntsman Raw'!$M$70:$M$90,0),
MATCH(G$5,'Huntsman Raw'!$B$116:$K$116,0)
),"")</f>
        <v>-1385</v>
      </c>
      <c r="H37" s="39">
        <f>IFERROR(
INDEX('Huntsman Raw'!$B$70:$K$90,
MATCH(TRIM($B37),'Huntsman Raw'!$M$70:$M$90,0),
MATCH(H$5,'Huntsman Raw'!$B$116:$K$116,0)
),"")</f>
        <v>-1240</v>
      </c>
      <c r="I37" s="39">
        <f>IFERROR(
INDEX('Huntsman Raw'!$B$70:$K$90,
MATCH(TRIM($B37),'Huntsman Raw'!$M$70:$M$90,0),
MATCH(I$5,'Huntsman Raw'!$B$116:$K$116,0)
),"")</f>
        <v>-1328</v>
      </c>
      <c r="J37" s="39">
        <f>IFERROR(
INDEX('Huntsman Raw'!$B$70:$K$90,
MATCH(TRIM($B37),'Huntsman Raw'!$M$70:$M$90,0),
MATCH(J$5,'Huntsman Raw'!$B$116:$K$116,0)
),"")</f>
        <v>-1314</v>
      </c>
      <c r="K37" s="39">
        <f>IFERROR(
INDEX('Huntsman Raw'!$B$70:$K$90,
MATCH(TRIM($B37),'Huntsman Raw'!$M$70:$M$90,0),
MATCH(K$5,'Huntsman Raw'!$B$116:$K$116,0)
),"")</f>
        <v>-1259</v>
      </c>
      <c r="L37" s="39">
        <f>IFERROR(
INDEX('Huntsman Raw'!$B$70:$K$90,
MATCH(TRIM($B37),'Huntsman Raw'!$M$70:$M$90,0),
MATCH(L$5,'Huntsman Raw'!$B$116:$K$116,0)
),"")</f>
        <v>-1057</v>
      </c>
      <c r="M37" s="98">
        <f t="shared" ref="M37:R37" si="26">L$37+M$11</f>
        <v>-1057</v>
      </c>
      <c r="N37" s="39">
        <f t="shared" si="26"/>
        <v>-1057</v>
      </c>
      <c r="O37" s="39">
        <f t="shared" si="26"/>
        <v>-1057</v>
      </c>
      <c r="P37" s="39">
        <f t="shared" si="26"/>
        <v>-1057</v>
      </c>
      <c r="Q37" s="39">
        <f t="shared" si="26"/>
        <v>-1057</v>
      </c>
      <c r="R37" s="99">
        <f t="shared" si="26"/>
        <v>-1057</v>
      </c>
    </row>
    <row r="38" spans="2:18" ht="14" thickBot="1" x14ac:dyDescent="0.2">
      <c r="B38" s="133" t="s">
        <v>159</v>
      </c>
      <c r="C38" s="135">
        <f>IFERROR(
INDEX('Huntsman Raw'!$B$70:$K$90,
MATCH(TRIM($B38),'Huntsman Raw'!$M$70:$M$90,0),
MATCH(C$5,'Huntsman Raw'!$B$116:$K$116,0)
),"")</f>
        <v>1251</v>
      </c>
      <c r="D38" s="135">
        <f>IFERROR(
INDEX('Huntsman Raw'!$B$70:$K$90,
MATCH(TRIM($B38),'Huntsman Raw'!$M$70:$M$90,0),
MATCH(D$5,'Huntsman Raw'!$B$116:$K$116,0)
),"")</f>
        <v>2477</v>
      </c>
      <c r="E38" s="135">
        <f>IFERROR(
INDEX('Huntsman Raw'!$B$70:$K$90,
MATCH(TRIM($B38),'Huntsman Raw'!$M$70:$M$90,0),
MATCH(E$5,'Huntsman Raw'!$B$116:$K$116,0)
),"")</f>
        <v>2484</v>
      </c>
      <c r="F38" s="135">
        <f>IFERROR(
INDEX('Huntsman Raw'!$B$70:$K$90,
MATCH(TRIM($B38),'Huntsman Raw'!$M$70:$M$90,0),
MATCH(F$5,'Huntsman Raw'!$B$116:$K$116,0)
),"")</f>
        <v>2661</v>
      </c>
      <c r="G38" s="135">
        <f>IFERROR(
INDEX('Huntsman Raw'!$B$70:$K$90,
MATCH(TRIM($B38),'Huntsman Raw'!$M$70:$M$90,0),
MATCH(G$5,'Huntsman Raw'!$B$116:$K$116,0)
),"")</f>
        <v>3499</v>
      </c>
      <c r="H38" s="135">
        <f>IFERROR(
INDEX('Huntsman Raw'!$B$70:$K$90,
MATCH(TRIM($B38),'Huntsman Raw'!$M$70:$M$90,0),
MATCH(H$5,'Huntsman Raw'!$B$116:$K$116,0)
),"")</f>
        <v>4366</v>
      </c>
      <c r="I38" s="135">
        <f>IFERROR(
INDEX('Huntsman Raw'!$B$70:$K$90,
MATCH(TRIM($B38),'Huntsman Raw'!$M$70:$M$90,0),
MATCH(I$5,'Huntsman Raw'!$B$116:$K$116,0)
),"")</f>
        <v>3599</v>
      </c>
      <c r="J38" s="135">
        <f>IFERROR(
INDEX('Huntsman Raw'!$B$70:$K$90,
MATCH(TRIM($B38),'Huntsman Raw'!$M$70:$M$90,0),
MATCH(J$5,'Huntsman Raw'!$B$116:$K$116,0)
),"")</f>
        <v>3223</v>
      </c>
      <c r="K38" s="135">
        <f>IFERROR(
INDEX('Huntsman Raw'!$B$70:$K$90,
MATCH(TRIM($B38),'Huntsman Raw'!$M$70:$M$90,0),
MATCH(K$5,'Huntsman Raw'!$B$116:$K$116,0)
),"")</f>
        <v>2932</v>
      </c>
      <c r="L38" s="135">
        <f>IFERROR(
INDEX('Huntsman Raw'!$B$70:$K$90,
MATCH(TRIM($B38),'Huntsman Raw'!$M$70:$M$90,0),
MATCH(L$5,'Huntsman Raw'!$B$116:$K$116,0)
),"")</f>
        <v>2727</v>
      </c>
      <c r="M38" s="134">
        <f t="shared" ref="M38:R38" si="27">M26+M27+M29+M35+M37</f>
        <v>2640.7231432622225</v>
      </c>
      <c r="N38" s="135">
        <f t="shared" si="27"/>
        <v>2582.5435951324444</v>
      </c>
      <c r="O38" s="135">
        <f t="shared" si="27"/>
        <v>2692.6456110827594</v>
      </c>
      <c r="P38" s="135">
        <f t="shared" si="27"/>
        <v>2946.7379112356243</v>
      </c>
      <c r="Q38" s="135">
        <f t="shared" si="27"/>
        <v>3323.155190362726</v>
      </c>
      <c r="R38" s="136">
        <f t="shared" si="27"/>
        <v>3772.4273503120639</v>
      </c>
    </row>
    <row r="39" spans="2:18" ht="14" thickTop="1" x14ac:dyDescent="0.15"/>
    <row r="44" spans="2:18" x14ac:dyDescent="0.15">
      <c r="B44" s="194" t="s">
        <v>430</v>
      </c>
      <c r="C44" s="164">
        <v>1</v>
      </c>
      <c r="D44" t="s">
        <v>431</v>
      </c>
    </row>
    <row r="45" spans="2:18" x14ac:dyDescent="0.15">
      <c r="B45" s="197" t="s">
        <v>429</v>
      </c>
      <c r="C45" s="171">
        <v>1</v>
      </c>
      <c r="D45" t="s">
        <v>432</v>
      </c>
    </row>
    <row r="46" spans="2:18" x14ac:dyDescent="0.15">
      <c r="B46" s="195" t="s">
        <v>428</v>
      </c>
      <c r="C46" s="196">
        <v>1</v>
      </c>
    </row>
  </sheetData>
  <mergeCells count="2">
    <mergeCell ref="C4:L4"/>
    <mergeCell ref="M4:R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45C62-1E1C-C442-B85E-7E9C9FBE7945}">
  <sheetPr codeName="Sheet7"/>
  <dimension ref="A1:S37"/>
  <sheetViews>
    <sheetView showGridLines="0" workbookViewId="0">
      <selection activeCell="J43" sqref="J43"/>
    </sheetView>
  </sheetViews>
  <sheetFormatPr baseColWidth="10" defaultRowHeight="13" x14ac:dyDescent="0.15"/>
  <cols>
    <col min="1" max="1" width="5.33203125" customWidth="1"/>
    <col min="2" max="2" width="54.33203125" customWidth="1"/>
    <col min="13" max="13" width="10.8320312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404</v>
      </c>
    </row>
    <row r="3" spans="1:19" ht="16" x14ac:dyDescent="0.15">
      <c r="B3" s="352" t="s">
        <v>407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</row>
    <row r="4" spans="1:19" x14ac:dyDescent="0.15">
      <c r="B4" s="90"/>
      <c r="C4" s="356" t="s">
        <v>399</v>
      </c>
      <c r="D4" s="356"/>
      <c r="E4" s="356"/>
      <c r="F4" s="356"/>
      <c r="G4" s="356"/>
      <c r="H4" s="356"/>
      <c r="I4" s="356"/>
      <c r="J4" s="356"/>
      <c r="K4" s="356"/>
      <c r="L4" s="356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3">
        <v>42735</v>
      </c>
      <c r="D5" s="143">
        <f>EDATE(C5,12)</f>
        <v>43100</v>
      </c>
      <c r="E5" s="143">
        <f t="shared" ref="E5:R5" si="0">EDATE(D5,12)</f>
        <v>43465</v>
      </c>
      <c r="F5" s="143">
        <f t="shared" si="0"/>
        <v>43830</v>
      </c>
      <c r="G5" s="143">
        <f t="shared" si="0"/>
        <v>44196</v>
      </c>
      <c r="H5" s="143">
        <f t="shared" si="0"/>
        <v>44561</v>
      </c>
      <c r="I5" s="143">
        <f>EDATE(H5,12)</f>
        <v>44926</v>
      </c>
      <c r="J5" s="143">
        <f t="shared" si="0"/>
        <v>45291</v>
      </c>
      <c r="K5" s="143">
        <f t="shared" si="0"/>
        <v>45657</v>
      </c>
      <c r="L5" s="143">
        <f t="shared" si="0"/>
        <v>46022</v>
      </c>
      <c r="M5" s="158">
        <f t="shared" si="0"/>
        <v>46387</v>
      </c>
      <c r="N5" s="143">
        <f t="shared" si="0"/>
        <v>46752</v>
      </c>
      <c r="O5" s="143">
        <f t="shared" si="0"/>
        <v>47118</v>
      </c>
      <c r="P5" s="143">
        <f t="shared" si="0"/>
        <v>47483</v>
      </c>
      <c r="Q5" s="143">
        <f t="shared" si="0"/>
        <v>47848</v>
      </c>
      <c r="R5" s="161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159"/>
      <c r="N7" s="59"/>
      <c r="O7" s="59"/>
      <c r="P7" s="59"/>
      <c r="Q7" s="59"/>
      <c r="R7" s="162"/>
    </row>
    <row r="8" spans="1:19" x14ac:dyDescent="0.15">
      <c r="B8" t="s">
        <v>377</v>
      </c>
      <c r="C8" s="51"/>
      <c r="D8" s="52">
        <f t="shared" ref="D8:L8" si="1">D$19-D$16+D$17</f>
        <v>-1977</v>
      </c>
      <c r="E8" s="52">
        <f t="shared" si="1"/>
        <v>-187</v>
      </c>
      <c r="F8" s="52">
        <f t="shared" si="1"/>
        <v>-1399</v>
      </c>
      <c r="G8" s="52">
        <f t="shared" si="1"/>
        <v>145</v>
      </c>
      <c r="H8" s="52">
        <f t="shared" si="1"/>
        <v>-107</v>
      </c>
      <c r="I8" s="52">
        <f t="shared" si="1"/>
        <v>-581</v>
      </c>
      <c r="J8" s="52">
        <f t="shared" si="1"/>
        <v>17</v>
      </c>
      <c r="K8" s="52">
        <f t="shared" si="1"/>
        <v>-31</v>
      </c>
      <c r="L8" s="52">
        <f t="shared" si="1"/>
        <v>102</v>
      </c>
      <c r="M8" s="77">
        <v>0</v>
      </c>
      <c r="N8" s="78">
        <v>0</v>
      </c>
      <c r="O8" s="78">
        <v>0</v>
      </c>
      <c r="P8" s="78">
        <v>0</v>
      </c>
      <c r="Q8" s="78">
        <v>0</v>
      </c>
      <c r="R8" s="79">
        <v>0</v>
      </c>
      <c r="S8" s="40"/>
    </row>
    <row r="9" spans="1:19" x14ac:dyDescent="0.15">
      <c r="B9" t="s">
        <v>376</v>
      </c>
      <c r="C9" s="1"/>
      <c r="D9" s="39">
        <f t="shared" ref="D9:L9" si="2">D$36-D$31</f>
        <v>309</v>
      </c>
      <c r="E9" s="39">
        <f t="shared" si="2"/>
        <v>343</v>
      </c>
      <c r="F9" s="39">
        <f t="shared" si="2"/>
        <v>248</v>
      </c>
      <c r="G9" s="39">
        <f t="shared" si="2"/>
        <v>283</v>
      </c>
      <c r="H9" s="39">
        <f t="shared" si="2"/>
        <v>296</v>
      </c>
      <c r="I9" s="39">
        <f t="shared" si="2"/>
        <v>237</v>
      </c>
      <c r="J9" s="39">
        <f t="shared" si="2"/>
        <v>240</v>
      </c>
      <c r="K9" s="39">
        <f t="shared" si="2"/>
        <v>246</v>
      </c>
      <c r="L9" s="39">
        <f t="shared" si="2"/>
        <v>251</v>
      </c>
      <c r="M9" s="370" t="s">
        <v>578</v>
      </c>
      <c r="N9" s="371"/>
      <c r="O9" s="371"/>
      <c r="P9" s="371"/>
      <c r="Q9" s="371"/>
      <c r="R9" s="372"/>
    </row>
    <row r="10" spans="1:19" x14ac:dyDescent="0.15">
      <c r="B10" t="s">
        <v>374</v>
      </c>
      <c r="C10" s="40"/>
      <c r="D10" s="42">
        <f t="shared" ref="D10:L10" si="3">D$9/AVERAGE(D$16,D$19)</f>
        <v>3.8963495365992057E-2</v>
      </c>
      <c r="E10" s="42">
        <f t="shared" si="3"/>
        <v>4.7998880492583267E-2</v>
      </c>
      <c r="F10" s="42">
        <f t="shared" si="3"/>
        <v>3.7312871436094186E-2</v>
      </c>
      <c r="G10" s="42">
        <f t="shared" si="3"/>
        <v>4.5056519662474127E-2</v>
      </c>
      <c r="H10" s="42">
        <f t="shared" si="3"/>
        <v>4.4879084224092182E-2</v>
      </c>
      <c r="I10" s="42">
        <f t="shared" si="3"/>
        <v>3.6136311656628804E-2</v>
      </c>
      <c r="J10" s="42">
        <f t="shared" si="3"/>
        <v>3.6767522022213714E-2</v>
      </c>
      <c r="K10" s="42">
        <f t="shared" si="3"/>
        <v>3.656633221850613E-2</v>
      </c>
      <c r="L10" s="42">
        <f t="shared" si="3"/>
        <v>3.6159331556579993E-2</v>
      </c>
      <c r="M10" s="66">
        <f>MEDIAN(J$10:L$10)</f>
        <v>3.656633221850613E-2</v>
      </c>
      <c r="N10" s="67">
        <f t="shared" ref="N10:R10" si="4">MEDIAN(K$10:M$10)</f>
        <v>3.656633221850613E-2</v>
      </c>
      <c r="O10" s="67">
        <f t="shared" si="4"/>
        <v>3.656633221850613E-2</v>
      </c>
      <c r="P10" s="67">
        <f t="shared" si="4"/>
        <v>3.656633221850613E-2</v>
      </c>
      <c r="Q10" s="67">
        <f t="shared" si="4"/>
        <v>3.656633221850613E-2</v>
      </c>
      <c r="R10" s="68">
        <f t="shared" si="4"/>
        <v>3.656633221850613E-2</v>
      </c>
      <c r="S10" s="40"/>
    </row>
    <row r="11" spans="1:19" x14ac:dyDescent="0.15">
      <c r="B11" t="s">
        <v>365</v>
      </c>
      <c r="C11" s="40"/>
      <c r="D11" s="39">
        <f>D25-D22+D23</f>
        <v>890</v>
      </c>
      <c r="E11" s="39">
        <f t="shared" ref="E11:L11" si="5">E25-E22+E23</f>
        <v>183</v>
      </c>
      <c r="F11" s="39">
        <f t="shared" si="5"/>
        <v>1088</v>
      </c>
      <c r="G11" s="39">
        <f t="shared" si="5"/>
        <v>60</v>
      </c>
      <c r="H11" s="39">
        <f t="shared" si="5"/>
        <v>90</v>
      </c>
      <c r="I11" s="39">
        <f t="shared" si="5"/>
        <v>318</v>
      </c>
      <c r="J11" s="39">
        <f t="shared" si="5"/>
        <v>-16</v>
      </c>
      <c r="K11" s="39">
        <f t="shared" si="5"/>
        <v>226</v>
      </c>
      <c r="L11" s="39">
        <f t="shared" si="5"/>
        <v>-48</v>
      </c>
      <c r="M11" s="80">
        <v>0</v>
      </c>
      <c r="N11" s="81">
        <v>0</v>
      </c>
      <c r="O11" s="81">
        <v>0</v>
      </c>
      <c r="P11" s="81">
        <v>0</v>
      </c>
      <c r="Q11" s="81">
        <v>0</v>
      </c>
      <c r="R11" s="82">
        <v>0</v>
      </c>
      <c r="S11" s="40"/>
    </row>
    <row r="12" spans="1:19" x14ac:dyDescent="0.15">
      <c r="B12" t="s">
        <v>378</v>
      </c>
      <c r="C12" s="51"/>
      <c r="D12" s="52">
        <f>MAX(D$30-D$32,0)</f>
        <v>10</v>
      </c>
      <c r="E12" s="52">
        <f t="shared" ref="E12:L12" si="6">MAX(E$30-E$32,0)</f>
        <v>0</v>
      </c>
      <c r="F12" s="52">
        <f t="shared" si="6"/>
        <v>22</v>
      </c>
      <c r="G12" s="52">
        <f t="shared" si="6"/>
        <v>0</v>
      </c>
      <c r="H12" s="52">
        <f t="shared" si="6"/>
        <v>0</v>
      </c>
      <c r="I12" s="52">
        <f t="shared" si="6"/>
        <v>44</v>
      </c>
      <c r="J12" s="52">
        <f t="shared" si="6"/>
        <v>38</v>
      </c>
      <c r="K12" s="52">
        <f t="shared" si="6"/>
        <v>43</v>
      </c>
      <c r="L12" s="52">
        <f t="shared" si="6"/>
        <v>36</v>
      </c>
      <c r="M12" s="146">
        <v>34</v>
      </c>
      <c r="N12" s="75">
        <v>33</v>
      </c>
      <c r="O12" s="75">
        <v>30</v>
      </c>
      <c r="P12" s="75">
        <v>27</v>
      </c>
      <c r="Q12" s="75">
        <v>25</v>
      </c>
      <c r="R12" s="147">
        <v>25</v>
      </c>
      <c r="S12" s="40" t="s">
        <v>379</v>
      </c>
    </row>
    <row r="13" spans="1:19" x14ac:dyDescent="0.15">
      <c r="B13" t="s">
        <v>301</v>
      </c>
      <c r="C13" s="42">
        <f>'Huntsman Standalone'!D123/'Huntsman Standalone'!D35</f>
        <v>-4.3595319457388426E-2</v>
      </c>
      <c r="D13" s="42">
        <f>'Huntsman Standalone'!E123/'Huntsman Standalone'!E35</f>
        <v>-3.3740129217516152E-2</v>
      </c>
      <c r="E13" s="42">
        <f>'Huntsman Standalone'!F123/'Huntsman Standalone'!F35</f>
        <v>-3.3372427764153959E-2</v>
      </c>
      <c r="F13" s="42">
        <f>'Huntsman Standalone'!G123/'Huntsman Standalone'!G35</f>
        <v>-4.0311902309842579E-2</v>
      </c>
      <c r="G13" s="42">
        <f>'Huntsman Standalone'!H123/'Huntsman Standalone'!H35</f>
        <v>-4.1375872382851446E-2</v>
      </c>
      <c r="H13" s="42">
        <f>'Huntsman Standalone'!I123/'Huntsman Standalone'!I35</f>
        <v>-4.0459008635987226E-2</v>
      </c>
      <c r="I13" s="42">
        <f>'Huntsman Standalone'!J123/'Huntsman Standalone'!J35</f>
        <v>-3.3902530225601399E-2</v>
      </c>
      <c r="J13" s="42">
        <f>'Huntsman Standalone'!K123/'Huntsman Standalone'!K35</f>
        <v>-3.7637047946326295E-2</v>
      </c>
      <c r="K13" s="42">
        <f>'Huntsman Standalone'!L123/'Huntsman Standalone'!L35</f>
        <v>-3.0483764082173626E-2</v>
      </c>
      <c r="L13" s="42">
        <f>'Huntsman Standalone'!M123/'Huntsman Standalone'!M35</f>
        <v>-3.044166813302833E-2</v>
      </c>
      <c r="M13" s="69">
        <v>-0.03</v>
      </c>
      <c r="N13" s="70">
        <f>M13</f>
        <v>-0.03</v>
      </c>
      <c r="O13" s="70">
        <f t="shared" ref="O13:R13" si="7">N13</f>
        <v>-0.03</v>
      </c>
      <c r="P13" s="70">
        <f t="shared" si="7"/>
        <v>-0.03</v>
      </c>
      <c r="Q13" s="70">
        <f t="shared" si="7"/>
        <v>-0.03</v>
      </c>
      <c r="R13" s="71">
        <f t="shared" si="7"/>
        <v>-0.03</v>
      </c>
    </row>
    <row r="14" spans="1:19" x14ac:dyDescent="0.15"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106"/>
      <c r="N14" s="40"/>
      <c r="O14" s="40"/>
      <c r="P14" s="40"/>
      <c r="Q14" s="40"/>
      <c r="R14" s="107"/>
      <c r="S14" s="40"/>
    </row>
    <row r="15" spans="1:19" x14ac:dyDescent="0.15">
      <c r="B15" s="59" t="s">
        <v>360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60"/>
      <c r="N15" s="157"/>
      <c r="O15" s="157"/>
      <c r="P15" s="157"/>
      <c r="Q15" s="157"/>
      <c r="R15" s="163"/>
      <c r="S15" s="40"/>
    </row>
    <row r="16" spans="1:19" x14ac:dyDescent="0.15">
      <c r="B16" t="s">
        <v>361</v>
      </c>
      <c r="C16" s="16" t="s">
        <v>373</v>
      </c>
      <c r="D16" s="39">
        <f>'Huntsman Standalone'!D$72</f>
        <v>8778</v>
      </c>
      <c r="E16" s="39">
        <f>'Huntsman Standalone'!E$72</f>
        <v>7083</v>
      </c>
      <c r="F16" s="39">
        <f>'Huntsman Standalone'!F$72</f>
        <v>7209</v>
      </c>
      <c r="G16" s="39">
        <f>'Huntsman Standalone'!G$72</f>
        <v>6084</v>
      </c>
      <c r="H16" s="39">
        <f>'Huntsman Standalone'!H$72</f>
        <v>6478</v>
      </c>
      <c r="I16" s="39">
        <f>'Huntsman Standalone'!I$72</f>
        <v>6713</v>
      </c>
      <c r="J16" s="39">
        <f>'Huntsman Standalone'!J$72</f>
        <v>6404</v>
      </c>
      <c r="K16" s="39">
        <f>'Huntsman Standalone'!K$72</f>
        <v>6651</v>
      </c>
      <c r="L16" s="39">
        <f>'Huntsman Standalone'!L$72</f>
        <v>6804</v>
      </c>
      <c r="M16" s="98">
        <f>L$19</f>
        <v>7079</v>
      </c>
      <c r="N16" s="39">
        <f t="shared" ref="N16:R16" si="8">M$19</f>
        <v>7263.4701800000003</v>
      </c>
      <c r="O16" s="39">
        <f t="shared" si="8"/>
        <v>7461.7756235000006</v>
      </c>
      <c r="P16" s="39">
        <f t="shared" si="8"/>
        <v>7676.3421133670008</v>
      </c>
      <c r="Q16" s="39">
        <f t="shared" si="8"/>
        <v>7903.3534596462869</v>
      </c>
      <c r="R16" s="99">
        <f t="shared" si="8"/>
        <v>8145.3475547800053</v>
      </c>
    </row>
    <row r="17" spans="2:18" x14ac:dyDescent="0.15">
      <c r="B17" s="48" t="s">
        <v>164</v>
      </c>
      <c r="C17" s="48">
        <f>'Huntsman Standalone'!D$123</f>
        <v>-421</v>
      </c>
      <c r="D17" s="57">
        <f>'Huntsman Standalone'!E$123</f>
        <v>-282</v>
      </c>
      <c r="E17" s="57">
        <f>'Huntsman Standalone'!F$123</f>
        <v>-313</v>
      </c>
      <c r="F17" s="57">
        <f>'Huntsman Standalone'!G$123</f>
        <v>-274</v>
      </c>
      <c r="G17" s="57">
        <f>'Huntsman Standalone'!H$123</f>
        <v>-249</v>
      </c>
      <c r="H17" s="57">
        <f>'Huntsman Standalone'!I$123</f>
        <v>-342</v>
      </c>
      <c r="I17" s="57">
        <f>'Huntsman Standalone'!J$123</f>
        <v>-272</v>
      </c>
      <c r="J17" s="57">
        <f>'Huntsman Standalone'!K$123</f>
        <v>-230</v>
      </c>
      <c r="K17" s="57">
        <f>'Huntsman Standalone'!L$123</f>
        <v>-184</v>
      </c>
      <c r="L17" s="57">
        <f>'Huntsman Standalone'!M$123</f>
        <v>-173</v>
      </c>
      <c r="M17" s="96">
        <f>'Huntsman Standalone'!N$35*M$13</f>
        <v>-184.47018</v>
      </c>
      <c r="N17" s="57">
        <f>'Huntsman Standalone'!O$35*N$13</f>
        <v>-198.3054435</v>
      </c>
      <c r="O17" s="57">
        <f>'Huntsman Standalone'!P$35*O$13</f>
        <v>-214.56648986700003</v>
      </c>
      <c r="P17" s="57">
        <f>'Huntsman Standalone'!Q$35*P$13</f>
        <v>-227.01134627928602</v>
      </c>
      <c r="Q17" s="57">
        <f>'Huntsman Standalone'!R$35*Q$13</f>
        <v>-241.9940951337189</v>
      </c>
      <c r="R17" s="97">
        <f>'Huntsman Standalone'!S$35*R$13</f>
        <v>-256.51374084174205</v>
      </c>
    </row>
    <row r="18" spans="2:18" x14ac:dyDescent="0.15">
      <c r="B18" s="41" t="s">
        <v>408</v>
      </c>
      <c r="C18" s="12"/>
      <c r="D18" s="52">
        <f t="shared" ref="D18:L18" si="9">D8</f>
        <v>-1977</v>
      </c>
      <c r="E18" s="52">
        <f t="shared" si="9"/>
        <v>-187</v>
      </c>
      <c r="F18" s="52">
        <f t="shared" si="9"/>
        <v>-1399</v>
      </c>
      <c r="G18" s="52">
        <f t="shared" si="9"/>
        <v>145</v>
      </c>
      <c r="H18" s="52">
        <f t="shared" si="9"/>
        <v>-107</v>
      </c>
      <c r="I18" s="52">
        <f t="shared" si="9"/>
        <v>-581</v>
      </c>
      <c r="J18" s="52">
        <f t="shared" si="9"/>
        <v>17</v>
      </c>
      <c r="K18" s="52">
        <f t="shared" si="9"/>
        <v>-31</v>
      </c>
      <c r="L18" s="52">
        <f t="shared" si="9"/>
        <v>102</v>
      </c>
      <c r="M18" s="100">
        <v>0</v>
      </c>
      <c r="N18" s="53">
        <v>0</v>
      </c>
      <c r="O18" s="53">
        <v>0</v>
      </c>
      <c r="P18" s="53">
        <v>0</v>
      </c>
      <c r="Q18" s="53">
        <v>0</v>
      </c>
      <c r="R18" s="101">
        <v>0</v>
      </c>
    </row>
    <row r="19" spans="2:18" x14ac:dyDescent="0.15">
      <c r="B19" s="88" t="s">
        <v>362</v>
      </c>
      <c r="C19" s="88">
        <f>'Huntsman Standalone'!D$72</f>
        <v>8778</v>
      </c>
      <c r="D19" s="89">
        <f>'Huntsman Standalone'!E$72</f>
        <v>7083</v>
      </c>
      <c r="E19" s="89">
        <f>'Huntsman Standalone'!F$72</f>
        <v>7209</v>
      </c>
      <c r="F19" s="89">
        <f>'Huntsman Standalone'!G$72</f>
        <v>6084</v>
      </c>
      <c r="G19" s="89">
        <f>'Huntsman Standalone'!H$72</f>
        <v>6478</v>
      </c>
      <c r="H19" s="89">
        <f>'Huntsman Standalone'!I$72</f>
        <v>6713</v>
      </c>
      <c r="I19" s="89">
        <f>'Huntsman Standalone'!J$72</f>
        <v>6404</v>
      </c>
      <c r="J19" s="89">
        <f>'Huntsman Standalone'!K$72</f>
        <v>6651</v>
      </c>
      <c r="K19" s="89">
        <f>'Huntsman Standalone'!L$72</f>
        <v>6804</v>
      </c>
      <c r="L19" s="89">
        <f>'Huntsman Standalone'!M$72</f>
        <v>7079</v>
      </c>
      <c r="M19" s="94">
        <f>M16-M17+M18</f>
        <v>7263.4701800000003</v>
      </c>
      <c r="N19" s="89">
        <f t="shared" ref="N19:R19" si="10">N16-N17+N18</f>
        <v>7461.7756235000006</v>
      </c>
      <c r="O19" s="89">
        <f t="shared" si="10"/>
        <v>7676.3421133670008</v>
      </c>
      <c r="P19" s="89">
        <f t="shared" si="10"/>
        <v>7903.3534596462869</v>
      </c>
      <c r="Q19" s="89">
        <f t="shared" si="10"/>
        <v>8145.3475547800053</v>
      </c>
      <c r="R19" s="95">
        <f t="shared" si="10"/>
        <v>8401.8612956217476</v>
      </c>
    </row>
    <row r="20" spans="2:18" x14ac:dyDescent="0.15">
      <c r="D20" s="39"/>
      <c r="E20" s="39"/>
      <c r="F20" s="39"/>
      <c r="G20" s="39"/>
      <c r="H20" s="39"/>
      <c r="I20" s="39"/>
      <c r="J20" s="39"/>
      <c r="K20" s="39"/>
      <c r="L20" s="39"/>
      <c r="M20" s="98"/>
      <c r="N20" s="39"/>
      <c r="O20" s="39"/>
      <c r="P20" s="39"/>
      <c r="Q20" s="39"/>
      <c r="R20" s="99"/>
    </row>
    <row r="21" spans="2:18" x14ac:dyDescent="0.15">
      <c r="D21" s="39"/>
      <c r="E21" s="39"/>
      <c r="F21" s="39"/>
      <c r="G21" s="39"/>
      <c r="H21" s="39"/>
      <c r="I21" s="39"/>
      <c r="J21" s="39"/>
      <c r="K21" s="39"/>
      <c r="L21" s="39"/>
      <c r="M21" s="98"/>
      <c r="N21" s="39"/>
      <c r="O21" s="39"/>
      <c r="P21" s="39"/>
      <c r="Q21" s="39"/>
      <c r="R21" s="99"/>
    </row>
    <row r="22" spans="2:18" x14ac:dyDescent="0.15">
      <c r="B22" t="s">
        <v>364</v>
      </c>
      <c r="C22" s="16" t="s">
        <v>373</v>
      </c>
      <c r="D22" s="39">
        <f>'Huntsman Standalone'!D73</f>
        <v>-4566</v>
      </c>
      <c r="E22" s="39">
        <f>'Huntsman Standalone'!E73</f>
        <v>-3985</v>
      </c>
      <c r="F22" s="39">
        <f>'Huntsman Standalone'!F73</f>
        <v>-4145</v>
      </c>
      <c r="G22" s="39">
        <f>'Huntsman Standalone'!G73</f>
        <v>-3305</v>
      </c>
      <c r="H22" s="39">
        <f>'Huntsman Standalone'!H73</f>
        <v>-3528</v>
      </c>
      <c r="I22" s="39">
        <f>'Huntsman Standalone'!I73</f>
        <v>-3734</v>
      </c>
      <c r="J22" s="39">
        <f>'Huntsman Standalone'!J73</f>
        <v>-3653</v>
      </c>
      <c r="K22" s="39">
        <f>'Huntsman Standalone'!K73</f>
        <v>-3909</v>
      </c>
      <c r="L22" s="39">
        <f>'Huntsman Standalone'!L73</f>
        <v>-3929</v>
      </c>
      <c r="M22" s="98">
        <f>L$25</f>
        <v>-4228</v>
      </c>
      <c r="N22" s="39">
        <f t="shared" ref="N22:R22" si="11">M$25</f>
        <v>-4490.2257647179486</v>
      </c>
      <c r="O22" s="39">
        <f t="shared" si="11"/>
        <v>-4759.4498797429205</v>
      </c>
      <c r="P22" s="39">
        <f t="shared" si="11"/>
        <v>-5036.2226009074902</v>
      </c>
      <c r="Q22" s="39">
        <f t="shared" si="11"/>
        <v>-5321.0687630004868</v>
      </c>
      <c r="R22" s="99">
        <f t="shared" si="11"/>
        <v>-5614.4898294849809</v>
      </c>
    </row>
    <row r="23" spans="2:18" x14ac:dyDescent="0.15">
      <c r="B23" t="s">
        <v>363</v>
      </c>
      <c r="C23">
        <f>C36*C10</f>
        <v>0</v>
      </c>
      <c r="D23" s="39">
        <f t="shared" ref="D23:L23" si="12">D9</f>
        <v>309</v>
      </c>
      <c r="E23" s="39">
        <f t="shared" si="12"/>
        <v>343</v>
      </c>
      <c r="F23" s="39">
        <f t="shared" si="12"/>
        <v>248</v>
      </c>
      <c r="G23" s="39">
        <f t="shared" si="12"/>
        <v>283</v>
      </c>
      <c r="H23" s="39">
        <f t="shared" si="12"/>
        <v>296</v>
      </c>
      <c r="I23" s="39">
        <f t="shared" si="12"/>
        <v>237</v>
      </c>
      <c r="J23" s="39">
        <f t="shared" si="12"/>
        <v>240</v>
      </c>
      <c r="K23" s="39">
        <f t="shared" si="12"/>
        <v>246</v>
      </c>
      <c r="L23" s="39">
        <f t="shared" si="12"/>
        <v>251</v>
      </c>
      <c r="M23" s="98">
        <f t="shared" ref="M23:R23" si="13">AVERAGE(M$19,M$16)*M$10</f>
        <v>262.22576471794872</v>
      </c>
      <c r="N23" s="39">
        <f t="shared" si="13"/>
        <v>269.22411502497215</v>
      </c>
      <c r="O23" s="39">
        <f t="shared" si="13"/>
        <v>276.77272116456948</v>
      </c>
      <c r="P23" s="39">
        <f t="shared" si="13"/>
        <v>284.84616209299651</v>
      </c>
      <c r="Q23" s="39">
        <f t="shared" si="13"/>
        <v>293.42106648449408</v>
      </c>
      <c r="R23" s="99">
        <f t="shared" si="13"/>
        <v>302.53536805639766</v>
      </c>
    </row>
    <row r="24" spans="2:18" x14ac:dyDescent="0.15">
      <c r="B24" t="s">
        <v>365</v>
      </c>
      <c r="D24" s="39">
        <f>D$11</f>
        <v>890</v>
      </c>
      <c r="E24" s="39">
        <f t="shared" ref="E24:L24" si="14">E$11</f>
        <v>183</v>
      </c>
      <c r="F24" s="39">
        <f t="shared" si="14"/>
        <v>1088</v>
      </c>
      <c r="G24" s="39">
        <f t="shared" si="14"/>
        <v>60</v>
      </c>
      <c r="H24" s="39">
        <f t="shared" si="14"/>
        <v>90</v>
      </c>
      <c r="I24" s="39">
        <f t="shared" si="14"/>
        <v>318</v>
      </c>
      <c r="J24" s="39">
        <f t="shared" si="14"/>
        <v>-16</v>
      </c>
      <c r="K24" s="39">
        <f t="shared" si="14"/>
        <v>226</v>
      </c>
      <c r="L24" s="39">
        <f t="shared" si="14"/>
        <v>-48</v>
      </c>
      <c r="M24" s="98">
        <f>M$11</f>
        <v>0</v>
      </c>
      <c r="N24" s="39">
        <f t="shared" ref="N24:R24" si="15">N$11</f>
        <v>0</v>
      </c>
      <c r="O24" s="39">
        <f t="shared" si="15"/>
        <v>0</v>
      </c>
      <c r="P24" s="39">
        <f t="shared" si="15"/>
        <v>0</v>
      </c>
      <c r="Q24" s="39">
        <f t="shared" si="15"/>
        <v>0</v>
      </c>
      <c r="R24" s="99">
        <f t="shared" si="15"/>
        <v>0</v>
      </c>
    </row>
    <row r="25" spans="2:18" x14ac:dyDescent="0.15">
      <c r="B25" s="88" t="s">
        <v>366</v>
      </c>
      <c r="C25" s="88">
        <f>'Huntsman Standalone'!D$73</f>
        <v>-4566</v>
      </c>
      <c r="D25" s="89">
        <f>'Huntsman Standalone'!E$73</f>
        <v>-3985</v>
      </c>
      <c r="E25" s="89">
        <f>'Huntsman Standalone'!F$73</f>
        <v>-4145</v>
      </c>
      <c r="F25" s="89">
        <f>'Huntsman Standalone'!G$73</f>
        <v>-3305</v>
      </c>
      <c r="G25" s="89">
        <f>'Huntsman Standalone'!H$73</f>
        <v>-3528</v>
      </c>
      <c r="H25" s="89">
        <f>'Huntsman Standalone'!I$73</f>
        <v>-3734</v>
      </c>
      <c r="I25" s="89">
        <f>'Huntsman Standalone'!J$73</f>
        <v>-3653</v>
      </c>
      <c r="J25" s="89">
        <f>'Huntsman Standalone'!K$73</f>
        <v>-3909</v>
      </c>
      <c r="K25" s="89">
        <f>'Huntsman Standalone'!L$73</f>
        <v>-3929</v>
      </c>
      <c r="L25" s="89">
        <f>'Huntsman Standalone'!M$73</f>
        <v>-4228</v>
      </c>
      <c r="M25" s="94">
        <f>M22-M23+M24</f>
        <v>-4490.2257647179486</v>
      </c>
      <c r="N25" s="89">
        <f t="shared" ref="N25:R25" si="16">N22-N23+N24</f>
        <v>-4759.4498797429205</v>
      </c>
      <c r="O25" s="89">
        <f t="shared" si="16"/>
        <v>-5036.2226009074902</v>
      </c>
      <c r="P25" s="89">
        <f t="shared" si="16"/>
        <v>-5321.0687630004868</v>
      </c>
      <c r="Q25" s="89">
        <f t="shared" si="16"/>
        <v>-5614.4898294849809</v>
      </c>
      <c r="R25" s="95">
        <f t="shared" si="16"/>
        <v>-5917.0251975413785</v>
      </c>
    </row>
    <row r="26" spans="2:18" x14ac:dyDescent="0.15">
      <c r="D26" s="39"/>
      <c r="E26" s="39"/>
      <c r="F26" s="39"/>
      <c r="G26" s="39"/>
      <c r="H26" s="39"/>
      <c r="I26" s="39"/>
      <c r="J26" s="39"/>
      <c r="K26" s="39"/>
      <c r="L26" s="39"/>
      <c r="M26" s="98"/>
      <c r="N26" s="39"/>
      <c r="O26" s="39"/>
      <c r="P26" s="39"/>
      <c r="Q26" s="39"/>
      <c r="R26" s="99"/>
    </row>
    <row r="27" spans="2:18" ht="14" thickBot="1" x14ac:dyDescent="0.2">
      <c r="B27" s="133" t="s">
        <v>267</v>
      </c>
      <c r="C27" s="133">
        <f t="shared" ref="C27:L27" si="17">C$19+C$25</f>
        <v>4212</v>
      </c>
      <c r="D27" s="135">
        <f t="shared" si="17"/>
        <v>3098</v>
      </c>
      <c r="E27" s="135">
        <f t="shared" si="17"/>
        <v>3064</v>
      </c>
      <c r="F27" s="135">
        <f t="shared" si="17"/>
        <v>2779</v>
      </c>
      <c r="G27" s="135">
        <f t="shared" si="17"/>
        <v>2950</v>
      </c>
      <c r="H27" s="135">
        <f t="shared" si="17"/>
        <v>2979</v>
      </c>
      <c r="I27" s="135">
        <f t="shared" si="17"/>
        <v>2751</v>
      </c>
      <c r="J27" s="135">
        <f t="shared" si="17"/>
        <v>2742</v>
      </c>
      <c r="K27" s="135">
        <f t="shared" si="17"/>
        <v>2875</v>
      </c>
      <c r="L27" s="135">
        <f t="shared" si="17"/>
        <v>2851</v>
      </c>
      <c r="M27" s="134">
        <f t="shared" ref="M27:R27" si="18">M$25+M$19</f>
        <v>2773.2444152820517</v>
      </c>
      <c r="N27" s="135">
        <f t="shared" si="18"/>
        <v>2702.3257437570801</v>
      </c>
      <c r="O27" s="135">
        <f t="shared" si="18"/>
        <v>2640.1195124595106</v>
      </c>
      <c r="P27" s="135">
        <f t="shared" si="18"/>
        <v>2582.2846966458001</v>
      </c>
      <c r="Q27" s="135">
        <f t="shared" si="18"/>
        <v>2530.8577252950245</v>
      </c>
      <c r="R27" s="136">
        <f t="shared" si="18"/>
        <v>2484.8360980803691</v>
      </c>
    </row>
    <row r="28" spans="2:18" ht="14" thickTop="1" x14ac:dyDescent="0.15">
      <c r="D28" s="39"/>
      <c r="E28" s="39"/>
      <c r="F28" s="39"/>
      <c r="G28" s="39"/>
      <c r="H28" s="39"/>
      <c r="I28" s="39"/>
      <c r="J28" s="39"/>
      <c r="K28" s="39"/>
      <c r="L28" s="39"/>
      <c r="M28" s="98"/>
      <c r="N28" s="39"/>
      <c r="O28" s="39"/>
      <c r="P28" s="39"/>
      <c r="Q28" s="39"/>
      <c r="R28" s="99"/>
    </row>
    <row r="29" spans="2:18" x14ac:dyDescent="0.15">
      <c r="B29" s="360" t="s">
        <v>409</v>
      </c>
      <c r="C29" s="360"/>
      <c r="D29" s="360"/>
      <c r="E29" s="360"/>
      <c r="F29" s="360"/>
      <c r="G29" s="360"/>
      <c r="H29" s="360"/>
      <c r="I29" s="360"/>
      <c r="J29" s="360"/>
      <c r="K29" s="360"/>
      <c r="L29" s="360"/>
      <c r="M29" s="362"/>
      <c r="N29" s="360"/>
      <c r="O29" s="360"/>
      <c r="P29" s="360"/>
      <c r="Q29" s="360"/>
      <c r="R29" s="363"/>
    </row>
    <row r="30" spans="2:18" x14ac:dyDescent="0.15">
      <c r="B30" t="s">
        <v>367</v>
      </c>
      <c r="C30" s="16" t="s">
        <v>373</v>
      </c>
      <c r="D30" s="39">
        <f>'Huntsman Standalone'!D$76</f>
        <v>66</v>
      </c>
      <c r="E30" s="39">
        <f>'Huntsman Standalone'!E$76</f>
        <v>56</v>
      </c>
      <c r="F30" s="39">
        <f>'Huntsman Standalone'!F$76</f>
        <v>219</v>
      </c>
      <c r="G30" s="39">
        <f>'Huntsman Standalone'!G$76</f>
        <v>197</v>
      </c>
      <c r="H30" s="39">
        <f>'Huntsman Standalone'!H$76</f>
        <v>453</v>
      </c>
      <c r="I30" s="39">
        <f>'Huntsman Standalone'!I$76</f>
        <v>469</v>
      </c>
      <c r="J30" s="39">
        <f>'Huntsman Standalone'!J$76</f>
        <v>425</v>
      </c>
      <c r="K30" s="39">
        <f>'Huntsman Standalone'!K$76</f>
        <v>387</v>
      </c>
      <c r="L30" s="39">
        <f>'Huntsman Standalone'!L$76</f>
        <v>344</v>
      </c>
      <c r="M30" s="98">
        <f>L$32</f>
        <v>308</v>
      </c>
      <c r="N30" s="39">
        <f t="shared" ref="N30:R30" si="19">M$32</f>
        <v>274</v>
      </c>
      <c r="O30" s="39">
        <f t="shared" si="19"/>
        <v>241</v>
      </c>
      <c r="P30" s="39">
        <f t="shared" si="19"/>
        <v>211</v>
      </c>
      <c r="Q30" s="39">
        <f t="shared" si="19"/>
        <v>184</v>
      </c>
      <c r="R30" s="99">
        <f t="shared" si="19"/>
        <v>159</v>
      </c>
    </row>
    <row r="31" spans="2:18" x14ac:dyDescent="0.15">
      <c r="B31" s="41" t="s">
        <v>368</v>
      </c>
      <c r="D31" s="39">
        <f>D$12</f>
        <v>10</v>
      </c>
      <c r="E31" s="39">
        <f t="shared" ref="E31:L31" si="20">E$12</f>
        <v>0</v>
      </c>
      <c r="F31" s="39">
        <f t="shared" si="20"/>
        <v>22</v>
      </c>
      <c r="G31" s="39">
        <f t="shared" si="20"/>
        <v>0</v>
      </c>
      <c r="H31" s="39">
        <f t="shared" si="20"/>
        <v>0</v>
      </c>
      <c r="I31" s="39">
        <f t="shared" si="20"/>
        <v>44</v>
      </c>
      <c r="J31" s="39">
        <f t="shared" si="20"/>
        <v>38</v>
      </c>
      <c r="K31" s="39">
        <f t="shared" si="20"/>
        <v>43</v>
      </c>
      <c r="L31" s="39">
        <f t="shared" si="20"/>
        <v>36</v>
      </c>
      <c r="M31" s="98">
        <f t="shared" ref="M31:R31" si="21">M12</f>
        <v>34</v>
      </c>
      <c r="N31" s="39">
        <f t="shared" si="21"/>
        <v>33</v>
      </c>
      <c r="O31" s="39">
        <f t="shared" si="21"/>
        <v>30</v>
      </c>
      <c r="P31" s="39">
        <f t="shared" si="21"/>
        <v>27</v>
      </c>
      <c r="Q31" s="39">
        <f t="shared" si="21"/>
        <v>25</v>
      </c>
      <c r="R31" s="99">
        <f t="shared" si="21"/>
        <v>25</v>
      </c>
    </row>
    <row r="32" spans="2:18" x14ac:dyDescent="0.15">
      <c r="B32" s="88" t="s">
        <v>369</v>
      </c>
      <c r="C32" s="88">
        <f>'Huntsman Standalone'!D$76</f>
        <v>66</v>
      </c>
      <c r="D32" s="89">
        <f>'Huntsman Standalone'!E$76</f>
        <v>56</v>
      </c>
      <c r="E32" s="89">
        <f>'Huntsman Standalone'!F$76</f>
        <v>219</v>
      </c>
      <c r="F32" s="89">
        <f>'Huntsman Standalone'!G$76</f>
        <v>197</v>
      </c>
      <c r="G32" s="89">
        <f>'Huntsman Standalone'!H$76</f>
        <v>453</v>
      </c>
      <c r="H32" s="89">
        <f>'Huntsman Standalone'!I$76</f>
        <v>469</v>
      </c>
      <c r="I32" s="89">
        <f>'Huntsman Standalone'!J$76</f>
        <v>425</v>
      </c>
      <c r="J32" s="89">
        <f>'Huntsman Standalone'!K$76</f>
        <v>387</v>
      </c>
      <c r="K32" s="89">
        <f>'Huntsman Standalone'!L$76</f>
        <v>344</v>
      </c>
      <c r="L32" s="89">
        <f>'Huntsman Standalone'!M$76</f>
        <v>308</v>
      </c>
      <c r="M32" s="94">
        <f>M$30-M$31</f>
        <v>274</v>
      </c>
      <c r="N32" s="89">
        <f t="shared" ref="N32:R32" si="22">N$30-N$31</f>
        <v>241</v>
      </c>
      <c r="O32" s="89">
        <f t="shared" si="22"/>
        <v>211</v>
      </c>
      <c r="P32" s="89">
        <f t="shared" si="22"/>
        <v>184</v>
      </c>
      <c r="Q32" s="89">
        <f t="shared" si="22"/>
        <v>159</v>
      </c>
      <c r="R32" s="95">
        <f t="shared" si="22"/>
        <v>134</v>
      </c>
    </row>
    <row r="33" spans="2:19" x14ac:dyDescent="0.15">
      <c r="D33" s="39"/>
      <c r="E33" s="39"/>
      <c r="F33" s="39"/>
      <c r="G33" s="39"/>
      <c r="H33" s="39"/>
      <c r="I33" s="39"/>
      <c r="J33" s="39"/>
      <c r="K33" s="39"/>
      <c r="L33" s="39"/>
      <c r="M33" s="98"/>
      <c r="N33" s="39"/>
      <c r="O33" s="39"/>
      <c r="P33" s="39"/>
      <c r="Q33" s="39"/>
      <c r="R33" s="99"/>
    </row>
    <row r="34" spans="2:19" x14ac:dyDescent="0.15">
      <c r="B34" t="s">
        <v>371</v>
      </c>
      <c r="D34" s="39">
        <f>D$23</f>
        <v>309</v>
      </c>
      <c r="E34" s="39">
        <f t="shared" ref="E34:L34" si="23">E$23</f>
        <v>343</v>
      </c>
      <c r="F34" s="39">
        <f t="shared" si="23"/>
        <v>248</v>
      </c>
      <c r="G34" s="39">
        <f t="shared" si="23"/>
        <v>283</v>
      </c>
      <c r="H34" s="39">
        <f t="shared" si="23"/>
        <v>296</v>
      </c>
      <c r="I34" s="39">
        <f t="shared" si="23"/>
        <v>237</v>
      </c>
      <c r="J34" s="39">
        <f t="shared" si="23"/>
        <v>240</v>
      </c>
      <c r="K34" s="39">
        <f t="shared" si="23"/>
        <v>246</v>
      </c>
      <c r="L34" s="39">
        <f t="shared" si="23"/>
        <v>251</v>
      </c>
      <c r="M34" s="98">
        <f>M$23</f>
        <v>262.22576471794872</v>
      </c>
      <c r="N34" s="39">
        <f t="shared" ref="N34:R34" si="24">N$23</f>
        <v>269.22411502497215</v>
      </c>
      <c r="O34" s="39">
        <f t="shared" si="24"/>
        <v>276.77272116456948</v>
      </c>
      <c r="P34" s="39">
        <f t="shared" si="24"/>
        <v>284.84616209299651</v>
      </c>
      <c r="Q34" s="39">
        <f t="shared" si="24"/>
        <v>293.42106648449408</v>
      </c>
      <c r="R34" s="99">
        <f t="shared" si="24"/>
        <v>302.53536805639766</v>
      </c>
    </row>
    <row r="35" spans="2:19" x14ac:dyDescent="0.15">
      <c r="B35" t="s">
        <v>372</v>
      </c>
      <c r="D35" s="39">
        <f>D$31</f>
        <v>10</v>
      </c>
      <c r="E35" s="39">
        <f t="shared" ref="E35:L35" si="25">E$31</f>
        <v>0</v>
      </c>
      <c r="F35" s="39">
        <f t="shared" si="25"/>
        <v>22</v>
      </c>
      <c r="G35" s="39">
        <f t="shared" si="25"/>
        <v>0</v>
      </c>
      <c r="H35" s="39">
        <f t="shared" si="25"/>
        <v>0</v>
      </c>
      <c r="I35" s="39">
        <f t="shared" si="25"/>
        <v>44</v>
      </c>
      <c r="J35" s="39">
        <f t="shared" si="25"/>
        <v>38</v>
      </c>
      <c r="K35" s="39">
        <f t="shared" si="25"/>
        <v>43</v>
      </c>
      <c r="L35" s="39">
        <f t="shared" si="25"/>
        <v>36</v>
      </c>
      <c r="M35" s="98">
        <f>M$31</f>
        <v>34</v>
      </c>
      <c r="N35" s="39">
        <f t="shared" ref="N35:R35" si="26">N$31</f>
        <v>33</v>
      </c>
      <c r="O35" s="39">
        <f t="shared" si="26"/>
        <v>30</v>
      </c>
      <c r="P35" s="39">
        <f t="shared" si="26"/>
        <v>27</v>
      </c>
      <c r="Q35" s="39">
        <f t="shared" si="26"/>
        <v>25</v>
      </c>
      <c r="R35" s="99">
        <f t="shared" si="26"/>
        <v>25</v>
      </c>
      <c r="S35" t="s">
        <v>379</v>
      </c>
    </row>
    <row r="36" spans="2:19" ht="14" thickBot="1" x14ac:dyDescent="0.2">
      <c r="B36" s="133" t="s">
        <v>370</v>
      </c>
      <c r="C36" s="133">
        <f>'Huntsman Standalone'!D142-'Huntsman Standalone'!D141</f>
        <v>432</v>
      </c>
      <c r="D36" s="135">
        <f>'Huntsman Standalone'!E142-'Huntsman Standalone'!E141</f>
        <v>319</v>
      </c>
      <c r="E36" s="135">
        <f>'Huntsman Standalone'!F142-'Huntsman Standalone'!F141</f>
        <v>343</v>
      </c>
      <c r="F36" s="135">
        <f>'Huntsman Standalone'!G142-'Huntsman Standalone'!G141</f>
        <v>270</v>
      </c>
      <c r="G36" s="135">
        <f>'Huntsman Standalone'!H142-'Huntsman Standalone'!H141</f>
        <v>283</v>
      </c>
      <c r="H36" s="135">
        <f>'Huntsman Standalone'!I142-'Huntsman Standalone'!I141</f>
        <v>296</v>
      </c>
      <c r="I36" s="135">
        <f>'Huntsman Standalone'!J142-'Huntsman Standalone'!J141</f>
        <v>281</v>
      </c>
      <c r="J36" s="135">
        <f>'Huntsman Standalone'!K142-'Huntsman Standalone'!K141</f>
        <v>278</v>
      </c>
      <c r="K36" s="135">
        <f>'Huntsman Standalone'!L142-'Huntsman Standalone'!L141</f>
        <v>289</v>
      </c>
      <c r="L36" s="135">
        <f>'Huntsman Standalone'!M142-'Huntsman Standalone'!M141</f>
        <v>287</v>
      </c>
      <c r="M36" s="134">
        <f t="shared" ref="M36:R36" si="27">M$31+M$23</f>
        <v>296.22576471794872</v>
      </c>
      <c r="N36" s="135">
        <f t="shared" si="27"/>
        <v>302.22411502497215</v>
      </c>
      <c r="O36" s="135">
        <f t="shared" si="27"/>
        <v>306.77272116456948</v>
      </c>
      <c r="P36" s="135">
        <f t="shared" si="27"/>
        <v>311.84616209299651</v>
      </c>
      <c r="Q36" s="135">
        <f t="shared" si="27"/>
        <v>318.42106648449408</v>
      </c>
      <c r="R36" s="136">
        <f t="shared" si="27"/>
        <v>327.53536805639766</v>
      </c>
    </row>
    <row r="37" spans="2:19" ht="14" thickTop="1" x14ac:dyDescent="0.15"/>
  </sheetData>
  <mergeCells count="5">
    <mergeCell ref="B29:R29"/>
    <mergeCell ref="M4:R4"/>
    <mergeCell ref="C4:L4"/>
    <mergeCell ref="B3:R3"/>
    <mergeCell ref="M9:R9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646C9-1AAC-FE44-B209-56C32457D586}">
  <sheetPr codeName="Sheet4"/>
  <dimension ref="A1:U106"/>
  <sheetViews>
    <sheetView showGridLines="0" workbookViewId="0">
      <selection activeCell="F3" sqref="F3"/>
    </sheetView>
  </sheetViews>
  <sheetFormatPr baseColWidth="10" defaultRowHeight="13" x14ac:dyDescent="0.15"/>
  <cols>
    <col min="1" max="1" width="5.5" customWidth="1"/>
    <col min="2" max="2" width="34.1640625" customWidth="1"/>
    <col min="3" max="9" width="11.5" customWidth="1"/>
    <col min="12" max="15" width="22.83203125" customWidth="1"/>
    <col min="16" max="16" width="19.5" customWidth="1"/>
    <col min="20" max="20" width="8.6640625" customWidth="1"/>
    <col min="21" max="21" width="16.33203125" hidden="1" customWidth="1"/>
  </cols>
  <sheetData>
    <row r="1" spans="1:21" x14ac:dyDescent="0.15">
      <c r="A1" s="298" t="str">
        <f>HYPERLINK("#'Table of Contents'!A1", "&lt;---------")</f>
        <v>&lt;---------</v>
      </c>
      <c r="U1" s="2" t="s">
        <v>322</v>
      </c>
    </row>
    <row r="2" spans="1:21" ht="20" x14ac:dyDescent="0.2">
      <c r="B2" s="58" t="s">
        <v>404</v>
      </c>
      <c r="U2" s="2" t="s">
        <v>330</v>
      </c>
    </row>
    <row r="3" spans="1:21" ht="18" x14ac:dyDescent="0.15">
      <c r="B3" s="62" t="s">
        <v>315</v>
      </c>
      <c r="C3" s="44"/>
      <c r="D3" s="44"/>
      <c r="E3" s="44"/>
      <c r="F3" s="44"/>
      <c r="G3" s="44"/>
      <c r="H3" s="44"/>
      <c r="I3" s="44"/>
      <c r="U3" s="2" t="s">
        <v>325</v>
      </c>
    </row>
    <row r="4" spans="1:21" x14ac:dyDescent="0.15">
      <c r="B4" s="59" t="s">
        <v>316</v>
      </c>
      <c r="C4" s="87"/>
      <c r="D4" s="59"/>
      <c r="E4" s="59"/>
      <c r="F4" s="59"/>
      <c r="G4" s="59"/>
      <c r="H4" s="59"/>
      <c r="I4" s="59"/>
      <c r="U4" s="2" t="s">
        <v>326</v>
      </c>
    </row>
    <row r="5" spans="1:21" x14ac:dyDescent="0.15">
      <c r="B5" t="s">
        <v>317</v>
      </c>
      <c r="C5" s="164">
        <v>200</v>
      </c>
      <c r="U5" s="2" t="s">
        <v>323</v>
      </c>
    </row>
    <row r="6" spans="1:21" x14ac:dyDescent="0.15">
      <c r="B6" t="s">
        <v>331</v>
      </c>
      <c r="C6" s="165">
        <v>3.7499999999999999E-2</v>
      </c>
      <c r="U6" s="45" t="s">
        <v>324</v>
      </c>
    </row>
    <row r="7" spans="1:21" x14ac:dyDescent="0.15">
      <c r="B7" t="s">
        <v>341</v>
      </c>
      <c r="C7" s="165">
        <v>2.2499999999999999E-2</v>
      </c>
    </row>
    <row r="8" spans="1:21" x14ac:dyDescent="0.15">
      <c r="B8" t="s">
        <v>332</v>
      </c>
      <c r="C8" s="165">
        <v>3.7499999999999999E-2</v>
      </c>
    </row>
    <row r="9" spans="1:21" x14ac:dyDescent="0.15">
      <c r="B9" t="s">
        <v>333</v>
      </c>
      <c r="C9" s="165">
        <v>1.6500000000000001E-2</v>
      </c>
    </row>
    <row r="10" spans="1:21" x14ac:dyDescent="0.15">
      <c r="B10" t="s">
        <v>334</v>
      </c>
      <c r="C10" s="165">
        <v>8.5000000000000006E-3</v>
      </c>
    </row>
    <row r="11" spans="1:21" x14ac:dyDescent="0.15">
      <c r="B11" t="s">
        <v>335</v>
      </c>
      <c r="C11" s="165">
        <v>1.4500000000000001E-2</v>
      </c>
    </row>
    <row r="12" spans="1:21" x14ac:dyDescent="0.15">
      <c r="B12" t="s">
        <v>336</v>
      </c>
      <c r="C12" s="171">
        <v>800</v>
      </c>
    </row>
    <row r="13" spans="1:21" x14ac:dyDescent="0.15">
      <c r="B13" t="s">
        <v>410</v>
      </c>
      <c r="C13" s="166">
        <v>1</v>
      </c>
    </row>
    <row r="14" spans="1:21" x14ac:dyDescent="0.15">
      <c r="C14" s="225"/>
    </row>
    <row r="15" spans="1:21" x14ac:dyDescent="0.15">
      <c r="B15" s="357" t="s">
        <v>423</v>
      </c>
      <c r="C15" s="357"/>
      <c r="D15" s="357"/>
      <c r="E15" s="357"/>
      <c r="F15" s="357"/>
      <c r="G15" s="175"/>
      <c r="H15" s="175"/>
      <c r="I15" s="175"/>
      <c r="J15" s="175"/>
      <c r="L15" s="373" t="s">
        <v>455</v>
      </c>
      <c r="M15" s="373"/>
      <c r="N15" s="373"/>
      <c r="O15" s="373"/>
      <c r="P15" s="373"/>
    </row>
    <row r="16" spans="1:21" s="47" customFormat="1" ht="41" customHeight="1" x14ac:dyDescent="0.15">
      <c r="B16" s="198" t="s">
        <v>63</v>
      </c>
      <c r="C16" s="198" t="s">
        <v>51</v>
      </c>
      <c r="D16" s="198" t="s">
        <v>318</v>
      </c>
      <c r="E16" s="198" t="s">
        <v>342</v>
      </c>
      <c r="F16" s="198" t="s">
        <v>343</v>
      </c>
      <c r="G16" s="198" t="s">
        <v>348</v>
      </c>
      <c r="H16" s="198" t="s">
        <v>353</v>
      </c>
      <c r="I16" s="198" t="s">
        <v>355</v>
      </c>
      <c r="J16" s="198" t="s">
        <v>453</v>
      </c>
      <c r="L16" s="178" t="s">
        <v>63</v>
      </c>
      <c r="M16" s="178" t="s">
        <v>422</v>
      </c>
      <c r="N16" s="178" t="s">
        <v>330</v>
      </c>
      <c r="O16" s="178" t="s">
        <v>325</v>
      </c>
      <c r="P16" s="178" t="s">
        <v>326</v>
      </c>
    </row>
    <row r="17" spans="2:16" x14ac:dyDescent="0.15">
      <c r="B17" t="s">
        <v>319</v>
      </c>
      <c r="C17" s="43">
        <f>C6+C9</f>
        <v>5.3999999999999999E-2</v>
      </c>
      <c r="D17">
        <v>2031</v>
      </c>
      <c r="E17">
        <v>343</v>
      </c>
      <c r="F17" t="s">
        <v>319</v>
      </c>
      <c r="G17" t="s">
        <v>349</v>
      </c>
      <c r="H17" t="s">
        <v>351</v>
      </c>
      <c r="J17">
        <v>1</v>
      </c>
    </row>
    <row r="18" spans="2:16" x14ac:dyDescent="0.15">
      <c r="B18" t="s">
        <v>320</v>
      </c>
      <c r="C18" s="43">
        <v>4.4999999999999998E-2</v>
      </c>
      <c r="D18">
        <v>2029</v>
      </c>
      <c r="E18">
        <v>750</v>
      </c>
      <c r="F18" t="s">
        <v>344</v>
      </c>
      <c r="G18" t="s">
        <v>349</v>
      </c>
      <c r="H18" t="s">
        <v>351</v>
      </c>
      <c r="I18">
        <v>6</v>
      </c>
      <c r="J18">
        <v>0</v>
      </c>
    </row>
    <row r="19" spans="2:16" x14ac:dyDescent="0.15">
      <c r="B19" t="s">
        <v>321</v>
      </c>
      <c r="C19" s="43">
        <v>2.9499999999999998E-2</v>
      </c>
      <c r="D19">
        <v>2031</v>
      </c>
      <c r="E19">
        <v>400</v>
      </c>
      <c r="F19" t="s">
        <v>344</v>
      </c>
      <c r="G19" t="s">
        <v>349</v>
      </c>
      <c r="H19" t="s">
        <v>351</v>
      </c>
      <c r="I19">
        <v>2</v>
      </c>
      <c r="J19">
        <v>0</v>
      </c>
    </row>
    <row r="20" spans="2:16" x14ac:dyDescent="0.15">
      <c r="B20" t="s">
        <v>337</v>
      </c>
      <c r="C20" s="43">
        <v>5.7000000000000002E-2</v>
      </c>
      <c r="D20">
        <v>2034</v>
      </c>
      <c r="E20">
        <v>350</v>
      </c>
      <c r="F20" t="s">
        <v>344</v>
      </c>
      <c r="G20" t="s">
        <v>349</v>
      </c>
      <c r="H20" t="s">
        <v>352</v>
      </c>
      <c r="I20">
        <v>4</v>
      </c>
      <c r="J20">
        <v>0</v>
      </c>
    </row>
    <row r="21" spans="2:16" x14ac:dyDescent="0.15">
      <c r="B21" t="s">
        <v>338</v>
      </c>
      <c r="C21" s="43">
        <f>C10+C8</f>
        <v>4.5999999999999999E-2</v>
      </c>
      <c r="D21">
        <v>2028</v>
      </c>
      <c r="E21">
        <v>93</v>
      </c>
      <c r="F21" t="s">
        <v>345</v>
      </c>
      <c r="G21" t="s">
        <v>349</v>
      </c>
      <c r="H21" t="s">
        <v>351</v>
      </c>
      <c r="I21">
        <v>0</v>
      </c>
      <c r="J21">
        <v>1</v>
      </c>
      <c r="L21" s="3"/>
      <c r="P21" s="5"/>
    </row>
    <row r="22" spans="2:16" x14ac:dyDescent="0.15">
      <c r="B22" t="s">
        <v>339</v>
      </c>
      <c r="C22" s="43">
        <f>C7+C11</f>
        <v>3.6999999999999998E-2</v>
      </c>
      <c r="D22">
        <v>2027</v>
      </c>
      <c r="E22">
        <v>59</v>
      </c>
      <c r="F22" t="s">
        <v>345</v>
      </c>
      <c r="G22" t="s">
        <v>349</v>
      </c>
      <c r="H22" t="s">
        <v>351</v>
      </c>
      <c r="I22">
        <v>0</v>
      </c>
      <c r="J22">
        <v>1</v>
      </c>
      <c r="L22" s="3"/>
      <c r="P22" s="5"/>
    </row>
    <row r="23" spans="2:16" x14ac:dyDescent="0.15">
      <c r="B23" t="s">
        <v>340</v>
      </c>
      <c r="C23" s="43">
        <v>0.05</v>
      </c>
      <c r="E23">
        <v>28</v>
      </c>
      <c r="F23" t="s">
        <v>346</v>
      </c>
      <c r="G23" t="s">
        <v>350</v>
      </c>
      <c r="H23" t="s">
        <v>351</v>
      </c>
      <c r="I23">
        <v>0</v>
      </c>
      <c r="J23">
        <v>0</v>
      </c>
      <c r="L23" s="3"/>
      <c r="P23" s="5"/>
    </row>
    <row r="24" spans="2:16" x14ac:dyDescent="0.15">
      <c r="C24" s="43"/>
      <c r="L24" s="3"/>
      <c r="P24" s="5"/>
    </row>
    <row r="25" spans="2:16" x14ac:dyDescent="0.15">
      <c r="C25" s="43"/>
      <c r="L25" s="106"/>
      <c r="P25" s="5"/>
    </row>
    <row r="26" spans="2:16" x14ac:dyDescent="0.15">
      <c r="C26" s="43"/>
      <c r="L26" s="3"/>
      <c r="P26" s="5"/>
    </row>
    <row r="27" spans="2:16" x14ac:dyDescent="0.15">
      <c r="C27" s="43"/>
      <c r="L27" s="3"/>
      <c r="P27" s="5"/>
    </row>
    <row r="28" spans="2:16" x14ac:dyDescent="0.15">
      <c r="C28" s="43"/>
      <c r="L28" s="3"/>
      <c r="P28" s="5"/>
    </row>
    <row r="29" spans="2:16" x14ac:dyDescent="0.15">
      <c r="C29" s="43"/>
      <c r="L29" s="3"/>
      <c r="P29" s="5"/>
    </row>
    <row r="30" spans="2:16" x14ac:dyDescent="0.15">
      <c r="C30" s="43"/>
      <c r="L30" s="7"/>
      <c r="M30" s="9"/>
      <c r="N30" s="9"/>
      <c r="O30" s="9"/>
      <c r="P30" s="6"/>
    </row>
    <row r="31" spans="2:16" x14ac:dyDescent="0.15">
      <c r="C31" s="43"/>
    </row>
    <row r="32" spans="2:16" x14ac:dyDescent="0.15">
      <c r="B32" s="357" t="s">
        <v>411</v>
      </c>
      <c r="C32" s="357"/>
      <c r="D32" s="357"/>
      <c r="E32" s="357"/>
      <c r="F32" s="357"/>
      <c r="G32" s="357"/>
      <c r="H32" s="357"/>
      <c r="I32" s="357"/>
    </row>
    <row r="33" spans="1:11" x14ac:dyDescent="0.15">
      <c r="A33" s="167"/>
      <c r="B33" s="168"/>
      <c r="C33" s="168" t="s">
        <v>399</v>
      </c>
      <c r="D33" s="339" t="s">
        <v>400</v>
      </c>
      <c r="E33" s="339"/>
      <c r="F33" s="339"/>
      <c r="G33" s="339"/>
      <c r="H33" s="339"/>
      <c r="I33" s="339"/>
      <c r="J33" s="169"/>
      <c r="K33" s="169"/>
    </row>
    <row r="34" spans="1:11" x14ac:dyDescent="0.15">
      <c r="B34" s="61" t="s">
        <v>86</v>
      </c>
      <c r="C34" s="143">
        <f>'Huntsman Standalone'!M5</f>
        <v>46022</v>
      </c>
      <c r="D34" s="143">
        <f>EDATE(C34,12)</f>
        <v>46387</v>
      </c>
      <c r="E34" s="143">
        <f t="shared" ref="E34:I34" si="0">EDATE(D34,12)</f>
        <v>46752</v>
      </c>
      <c r="F34" s="143">
        <f t="shared" si="0"/>
        <v>47118</v>
      </c>
      <c r="G34" s="143">
        <f t="shared" si="0"/>
        <v>47483</v>
      </c>
      <c r="H34" s="143">
        <f t="shared" si="0"/>
        <v>47848</v>
      </c>
      <c r="I34" s="143">
        <f t="shared" si="0"/>
        <v>48213</v>
      </c>
    </row>
    <row r="35" spans="1:11" x14ac:dyDescent="0.15">
      <c r="C35" s="16" t="s">
        <v>88</v>
      </c>
      <c r="D35" s="16" t="s">
        <v>88</v>
      </c>
      <c r="E35" s="16" t="s">
        <v>88</v>
      </c>
      <c r="F35" s="16" t="s">
        <v>88</v>
      </c>
      <c r="G35" s="16" t="s">
        <v>88</v>
      </c>
      <c r="H35" s="16" t="s">
        <v>88</v>
      </c>
      <c r="I35" s="16" t="s">
        <v>88</v>
      </c>
    </row>
    <row r="36" spans="1:11" x14ac:dyDescent="0.15">
      <c r="B36" s="59" t="s">
        <v>327</v>
      </c>
      <c r="C36" s="59"/>
      <c r="D36" s="59"/>
      <c r="E36" s="59"/>
      <c r="F36" s="59"/>
      <c r="G36" s="59"/>
      <c r="H36" s="59"/>
      <c r="I36" s="59"/>
    </row>
    <row r="37" spans="1:11" x14ac:dyDescent="0.15">
      <c r="B37" t="s">
        <v>271</v>
      </c>
      <c r="C37" s="46">
        <f>INDEX('Huntsman Standalone'!$D$34:$S$144,
MATCH($B37,'Huntsman Standalone'!$C$34:$C$144,0),
MATCH(C$34,'Huntsman Standalone'!$D$63:$S$63,0))</f>
        <v>353</v>
      </c>
      <c r="D37" s="46">
        <f>+D94</f>
        <v>59</v>
      </c>
      <c r="E37" s="46">
        <f>+E86</f>
        <v>93</v>
      </c>
      <c r="F37" s="46">
        <f>+F62</f>
        <v>750</v>
      </c>
      <c r="G37" s="46">
        <f>0</f>
        <v>0</v>
      </c>
      <c r="H37" s="46">
        <f>+H54+H70</f>
        <v>743</v>
      </c>
      <c r="I37" s="46">
        <f>0</f>
        <v>0</v>
      </c>
    </row>
    <row r="38" spans="1:11" x14ac:dyDescent="0.15">
      <c r="B38" t="s">
        <v>273</v>
      </c>
      <c r="C38" s="46">
        <f>SUM('Huntsman Debt'!$E$17:$E$30)-C37</f>
        <v>1670</v>
      </c>
      <c r="D38" s="46">
        <f t="shared" ref="D38:I38" si="1">(+D54+D62+D70+D78+D86+D94+D102)-D37</f>
        <v>1964</v>
      </c>
      <c r="E38" s="46">
        <f t="shared" si="1"/>
        <v>1930</v>
      </c>
      <c r="F38" s="46">
        <f t="shared" si="1"/>
        <v>1273</v>
      </c>
      <c r="G38" s="46">
        <f t="shared" si="1"/>
        <v>2023</v>
      </c>
      <c r="H38" s="46">
        <f t="shared" si="1"/>
        <v>1280</v>
      </c>
      <c r="I38" s="46">
        <f t="shared" si="1"/>
        <v>2023</v>
      </c>
    </row>
    <row r="39" spans="1:11" x14ac:dyDescent="0.15">
      <c r="B39" s="2" t="s">
        <v>347</v>
      </c>
      <c r="C39" s="46">
        <f>-SUM('Huntsman Debt'!$I$17:$I$30)</f>
        <v>-12</v>
      </c>
      <c r="D39" s="46">
        <f>-(+('Huntsman Debt'!$I$17*MAX(0,(2031-2026)/(2031-2025)))+('Huntsman Debt'!$I$18*MAX(0,(2029-2026)/(2029-2025)))+('Huntsman Debt'!$I$19*MAX(0,(2031-2026)/(2031-2025)))+('Huntsman Debt'!$I$20*MAX(0,(2034-2026)/(2034-2025)))+('Huntsman Debt'!$I$21*MAX(0,(2028-2026)/(2028-2025)))+('Huntsman Debt'!$I$22*MAX(0,(2027-2026)/(2027-2025)))+'Huntsman Debt'!$I$23)</f>
        <v>-9.7222222222222214</v>
      </c>
      <c r="E39" s="46">
        <f>-(+('Huntsman Debt'!$I$17*MAX(0,(2031-2027)/(2031-2025)))+('Huntsman Debt'!$I$18*MAX(0,(2029-2027)/(2029-2025)))+('Huntsman Debt'!$I$19*MAX(0,(2031-2027)/(2031-2025)))+('Huntsman Debt'!$I$20*MAX(0,(2034-2027)/(2034-2025)))+('Huntsman Debt'!$I$21*MAX(0,(2028-2027)/(2028-2025)))+('Huntsman Debt'!$I$22*MAX(0,(2027-2027)/(2027-2025)))+'Huntsman Debt'!$I$23)</f>
        <v>-7.4444444444444446</v>
      </c>
      <c r="F39" s="46">
        <f>-(+('Huntsman Debt'!$I$17*MAX(0,(2031-2028)/(2031-2025)))+('Huntsman Debt'!$I$18*MAX(0,(2029-2028)/(2029-2025)))+('Huntsman Debt'!$I$19*MAX(0,(2031-2028)/(2031-2025)))+('Huntsman Debt'!$I$20*MAX(0,(2034-2028)/(2034-2025)))+('Huntsman Debt'!$I$21*MAX(0,(2028-2028)/(2028-2025)))+('Huntsman Debt'!$I$22*MAX(0,(2027-2028)/(2027-2025)))+'Huntsman Debt'!$I$23)</f>
        <v>-5.1666666666666661</v>
      </c>
      <c r="G39" s="46">
        <f>-(+('Huntsman Debt'!$I$17*MAX(0,(2031-2029)/(2031-2025)))+('Huntsman Debt'!$I$18*MAX(0,(2029-2029)/(2029-2025)))+('Huntsman Debt'!$I$19*MAX(0,(2031-2029)/(2031-2025)))+('Huntsman Debt'!$I$20*MAX(0,(2034-2029)/(2034-2025)))+('Huntsman Debt'!$I$21*MAX(0,(2028-2029)/(2028-2025)))+('Huntsman Debt'!$I$22*MAX(0,(2027-2029)/(2027-2025)))+'Huntsman Debt'!$I$23)</f>
        <v>-2.8888888888888888</v>
      </c>
      <c r="H39" s="46">
        <f>-(+('Huntsman Debt'!$I$17*MAX(0,(2031-2030)/(2031-2025)))+('Huntsman Debt'!$I$18*MAX(0,(2029-2030)/(2029-2025)))+('Huntsman Debt'!$I$19*MAX(0,(2031-2030)/(2031-2025)))+('Huntsman Debt'!$I$20*MAX(0,(2034-2030)/(2034-2025)))+('Huntsman Debt'!$I$21*MAX(0,(2028-2030)/(2028-2025)))+('Huntsman Debt'!$I$22*MAX(0,(2027-2030)/(2027-2025)))+'Huntsman Debt'!$I$23)</f>
        <v>-2.1111111111111112</v>
      </c>
      <c r="I39" s="46">
        <f>-(+('Huntsman Debt'!$I$17*MAX(0,(2031-2031)/(2031-2025)))+('Huntsman Debt'!$I$18*MAX(0,(2029-2031)/(2029-2025)))+('Huntsman Debt'!$I$19*MAX(0,(2031-2031)/(2031-2025)))+('Huntsman Debt'!$I$20*MAX(0,(2034-2031)/(2034-2025)))+('Huntsman Debt'!$I$21*MAX(0,(2028-2031)/(2028-2025)))+('Huntsman Debt'!$I$22*MAX(0,(2027-2031)/(2027-2025)))+'Huntsman Debt'!$I$23)</f>
        <v>-1.3333333333333333</v>
      </c>
    </row>
    <row r="40" spans="1:11" x14ac:dyDescent="0.15">
      <c r="B40" t="s">
        <v>328</v>
      </c>
      <c r="C40" s="46">
        <f t="shared" ref="C40:I40" si="2">C37+C38+C39</f>
        <v>2011</v>
      </c>
      <c r="D40" s="46">
        <f t="shared" si="2"/>
        <v>2013.2777777777778</v>
      </c>
      <c r="E40" s="46">
        <f t="shared" si="2"/>
        <v>2015.5555555555557</v>
      </c>
      <c r="F40" s="46">
        <f t="shared" si="2"/>
        <v>2017.8333333333333</v>
      </c>
      <c r="G40" s="46">
        <f t="shared" si="2"/>
        <v>2020.1111111111111</v>
      </c>
      <c r="H40" s="46">
        <f t="shared" si="2"/>
        <v>2020.8888888888889</v>
      </c>
      <c r="I40" s="46">
        <f t="shared" si="2"/>
        <v>2021.6666666666667</v>
      </c>
    </row>
    <row r="41" spans="1:11" x14ac:dyDescent="0.15">
      <c r="B41" t="s">
        <v>233</v>
      </c>
      <c r="C41" s="46">
        <f>INDEX('Huntsman Standalone'!$D$34:$S$144,
MATCH("Cash and Cash Equivalents",'Huntsman Standalone'!$C$34:$C$144,0),
MATCH(C$34,'Huntsman Standalone'!$D$63:$S$63,0))</f>
        <v>429</v>
      </c>
      <c r="D41" s="46">
        <f>'Huntsman Standalone'!N139</f>
        <v>362.00175405383914</v>
      </c>
      <c r="E41" s="46">
        <f>'Huntsman Standalone'!O139</f>
        <v>355.42053592434524</v>
      </c>
      <c r="F41" s="46">
        <f>'Huntsman Standalone'!P139</f>
        <v>493.12304269080812</v>
      </c>
      <c r="G41" s="46">
        <f>'Huntsman Standalone'!Q139</f>
        <v>782.59926730236384</v>
      </c>
      <c r="H41" s="46">
        <f>'Huntsman Standalone'!R139</f>
        <v>1175.8186140991402</v>
      </c>
      <c r="I41" s="46">
        <f>'Huntsman Standalone'!S139</f>
        <v>1639.9625599051276</v>
      </c>
    </row>
    <row r="42" spans="1:11" x14ac:dyDescent="0.15">
      <c r="C42" s="46"/>
      <c r="D42" s="46"/>
      <c r="E42" s="46"/>
      <c r="F42" s="46"/>
      <c r="G42" s="46"/>
      <c r="H42" s="46"/>
      <c r="I42" s="46"/>
    </row>
    <row r="43" spans="1:11" x14ac:dyDescent="0.15">
      <c r="B43" t="s">
        <v>354</v>
      </c>
      <c r="C43" s="46">
        <f>INDEX('Huntsman Standalone'!$D$34:$S$144,
MATCH("Cash and Cash Equivalents",'Huntsman Standalone'!$C$34:$C$144,0),
MATCH(C$34,'Huntsman Standalone'!$D$63:$S$63,0))</f>
        <v>429</v>
      </c>
      <c r="D43" s="46">
        <f t="shared" ref="D43:I43" si="3">+D51-D52-D53+D83-D84-D85+D91-D92-D93</f>
        <v>0</v>
      </c>
      <c r="E43" s="46">
        <f t="shared" si="3"/>
        <v>0</v>
      </c>
      <c r="F43" s="46">
        <f t="shared" si="3"/>
        <v>0</v>
      </c>
      <c r="G43" s="46">
        <f t="shared" si="3"/>
        <v>0</v>
      </c>
      <c r="H43" s="46">
        <f t="shared" si="3"/>
        <v>0</v>
      </c>
      <c r="I43" s="46">
        <f t="shared" si="3"/>
        <v>0</v>
      </c>
    </row>
    <row r="44" spans="1:11" x14ac:dyDescent="0.15">
      <c r="B44" t="s">
        <v>291</v>
      </c>
      <c r="C44" s="46">
        <f>INDEX('Huntsman Standalone'!$D$34:$S$144,
MATCH("Debt Issuance (Repayment)",'Huntsman Standalone'!$C$34:$C$144,0),
MATCH(C$34,'Huntsman Standalone'!$D$63:$S$63,0))</f>
        <v>132</v>
      </c>
      <c r="D44" s="46">
        <f t="shared" ref="D44:I44" si="4">+D59-D60-D61+D67-D68-D69+D75-D76-D77+D99-D100-D101</f>
        <v>0</v>
      </c>
      <c r="E44" s="46">
        <f t="shared" si="4"/>
        <v>0</v>
      </c>
      <c r="F44" s="46">
        <f t="shared" si="4"/>
        <v>0</v>
      </c>
      <c r="G44" s="46">
        <f t="shared" si="4"/>
        <v>0</v>
      </c>
      <c r="H44" s="46">
        <f t="shared" si="4"/>
        <v>0</v>
      </c>
      <c r="I44" s="46">
        <f t="shared" si="4"/>
        <v>0</v>
      </c>
    </row>
    <row r="45" spans="1:11" x14ac:dyDescent="0.15">
      <c r="B45" t="s">
        <v>329</v>
      </c>
      <c r="C45" s="46">
        <f t="shared" ref="C45" si="5">+C58+C66+C74+C82+C90+C98+C106</f>
        <v>0</v>
      </c>
      <c r="D45" s="46">
        <f t="shared" ref="D45:I45" si="6">+D55+D63+D71+D79+D87+D95+D103</f>
        <v>-91.88300000000001</v>
      </c>
      <c r="E45" s="46">
        <f t="shared" si="6"/>
        <v>-91.88300000000001</v>
      </c>
      <c r="F45" s="46">
        <f t="shared" si="6"/>
        <v>-91.88300000000001</v>
      </c>
      <c r="G45" s="46">
        <f t="shared" si="6"/>
        <v>-91.88300000000001</v>
      </c>
      <c r="H45" s="46">
        <f t="shared" si="6"/>
        <v>-91.88300000000001</v>
      </c>
      <c r="I45" s="46">
        <f t="shared" si="6"/>
        <v>-91.88300000000001</v>
      </c>
    </row>
    <row r="46" spans="1:11" x14ac:dyDescent="0.15">
      <c r="B46" t="s">
        <v>356</v>
      </c>
      <c r="C46" s="46"/>
      <c r="D46" s="46">
        <f>-(D39-C39)</f>
        <v>-2.2777777777777786</v>
      </c>
      <c r="E46" s="46">
        <f t="shared" ref="E46:H46" si="7">-(E39-D39)</f>
        <v>-2.2777777777777768</v>
      </c>
      <c r="F46" s="46">
        <f t="shared" si="7"/>
        <v>-2.2777777777777786</v>
      </c>
      <c r="G46" s="46">
        <f t="shared" si="7"/>
        <v>-2.2777777777777772</v>
      </c>
      <c r="H46" s="46">
        <f t="shared" si="7"/>
        <v>-0.77777777777777768</v>
      </c>
      <c r="I46" s="46">
        <f>-(I39-H39)</f>
        <v>-0.7777777777777779</v>
      </c>
    </row>
    <row r="47" spans="1:11" x14ac:dyDescent="0.15">
      <c r="B47" t="s">
        <v>357</v>
      </c>
      <c r="C47" s="46">
        <f>INDEX('Huntsman Standalone'!$D$34:$S$144,
MATCH("Interest Expense, Net",'Huntsman Standalone'!$C$34:$C$144,0),
MATCH(C$34,'Huntsman Standalone'!$D$63:$S$63,0))</f>
        <v>-75</v>
      </c>
      <c r="D47" s="46">
        <f t="shared" ref="D47:I47" si="8">D45+D46</f>
        <v>-94.160777777777781</v>
      </c>
      <c r="E47" s="46">
        <f t="shared" si="8"/>
        <v>-94.160777777777781</v>
      </c>
      <c r="F47" s="46">
        <f t="shared" si="8"/>
        <v>-94.160777777777781</v>
      </c>
      <c r="G47" s="46">
        <f t="shared" si="8"/>
        <v>-94.160777777777781</v>
      </c>
      <c r="H47" s="46">
        <f t="shared" si="8"/>
        <v>-92.660777777777781</v>
      </c>
      <c r="I47" s="46">
        <f t="shared" si="8"/>
        <v>-92.660777777777781</v>
      </c>
    </row>
    <row r="48" spans="1:11" x14ac:dyDescent="0.15">
      <c r="B48" s="88" t="s">
        <v>198</v>
      </c>
      <c r="C48" s="328">
        <f t="shared" ref="C48:I48" si="9">C40-C41</f>
        <v>1582</v>
      </c>
      <c r="D48" s="328">
        <f t="shared" si="9"/>
        <v>1651.2760237239386</v>
      </c>
      <c r="E48" s="328">
        <f t="shared" si="9"/>
        <v>1660.1350196312105</v>
      </c>
      <c r="F48" s="328">
        <f t="shared" si="9"/>
        <v>1524.7102906425253</v>
      </c>
      <c r="G48" s="328">
        <f t="shared" si="9"/>
        <v>1237.5118438087472</v>
      </c>
      <c r="H48" s="328">
        <f t="shared" si="9"/>
        <v>845.07027478974874</v>
      </c>
      <c r="I48" s="328">
        <f t="shared" si="9"/>
        <v>381.70410676153915</v>
      </c>
    </row>
    <row r="49" spans="1:9" x14ac:dyDescent="0.15">
      <c r="B49" s="172" t="s">
        <v>319</v>
      </c>
      <c r="C49" s="173"/>
      <c r="D49" s="173"/>
      <c r="E49" s="173"/>
      <c r="F49" s="173"/>
      <c r="G49" s="173"/>
      <c r="H49" s="173"/>
      <c r="I49" s="173"/>
    </row>
    <row r="50" spans="1:9" x14ac:dyDescent="0.15">
      <c r="A50" s="174"/>
      <c r="B50" s="2" t="s">
        <v>322</v>
      </c>
      <c r="C50" s="46"/>
      <c r="D50" s="46">
        <f t="shared" ref="D50:I50" si="10">C54</f>
        <v>343</v>
      </c>
      <c r="E50" s="46">
        <f t="shared" si="10"/>
        <v>343</v>
      </c>
      <c r="F50" s="46">
        <f t="shared" si="10"/>
        <v>343</v>
      </c>
      <c r="G50" s="46">
        <f t="shared" si="10"/>
        <v>343</v>
      </c>
      <c r="H50" s="46">
        <f t="shared" si="10"/>
        <v>343</v>
      </c>
      <c r="I50" s="46">
        <f t="shared" si="10"/>
        <v>343</v>
      </c>
    </row>
    <row r="51" spans="1:9" x14ac:dyDescent="0.15">
      <c r="A51" s="2"/>
      <c r="B51" s="2" t="s">
        <v>330</v>
      </c>
      <c r="C51" s="46"/>
      <c r="D51" s="46">
        <f>0+SUMIFS('Huntsman Debt'!$N$17:$N$30,'Huntsman Debt'!$L$17:$L$30,'Huntsman Debt'!$B$17,'Huntsman Debt'!$M$17:$M$30,2026)+IF(OR($C$12=1,UPPER($C$12&amp;"")="YES",UPPER($C$12&amp;"")="Y",UPPER($C$12&amp;"")="TRUE"),MIN(MAX(0,$C$4-(D41-D43)),MAX(0,$C$11-(D50+0+SUMIFS('Huntsman Debt'!$N$17:$N$30,'Huntsman Debt'!$L$17:$L$30,'Huntsman Debt'!$B$17,'Huntsman Debt'!$M$17:$M$30,2026)-D52))),0)</f>
        <v>0</v>
      </c>
      <c r="E51" s="46">
        <f>0+SUMIFS('Huntsman Debt'!$N$17:$N$30,'Huntsman Debt'!$L$17:$L$30,'Huntsman Debt'!$B$17,'Huntsman Debt'!$M$17:$M$30,2027)+IF(OR($C$12=1,UPPER($C$12&amp;"")="YES",UPPER($C$12&amp;"")="Y",UPPER($C$12&amp;"")="TRUE"),MIN(MAX(0,$C$4-(E41-E43)),MAX(0,$C$11-(E50+0+SUMIFS('Huntsman Debt'!$N$17:$N$30,'Huntsman Debt'!$L$17:$L$30,'Huntsman Debt'!$B$17,'Huntsman Debt'!$M$17:$M$30,2027)-E52))),0)</f>
        <v>0</v>
      </c>
      <c r="F51" s="46">
        <f>0+SUMIFS('Huntsman Debt'!$N$17:$N$30,'Huntsman Debt'!$L$17:$L$30,'Huntsman Debt'!$B$17,'Huntsman Debt'!$M$17:$M$30,2028)+IF(OR($C$12=1,UPPER($C$12&amp;"")="YES",UPPER($C$12&amp;"")="Y",UPPER($C$12&amp;"")="TRUE"),MIN(MAX(0,$C$4-(F41-F43)),MAX(0,$C$11-(F50+0+SUMIFS('Huntsman Debt'!$N$17:$N$30,'Huntsman Debt'!$L$17:$L$30,'Huntsman Debt'!$B$17,'Huntsman Debt'!$M$17:$M$30,2028)-F52))),0)</f>
        <v>0</v>
      </c>
      <c r="G51" s="46">
        <f>0+SUMIFS('Huntsman Debt'!$N$17:$N$30,'Huntsman Debt'!$L$17:$L$30,'Huntsman Debt'!$B$17,'Huntsman Debt'!$M$17:$M$30,2029)+IF(OR($C$12=1,UPPER($C$12&amp;"")="YES",UPPER($C$12&amp;"")="Y",UPPER($C$12&amp;"")="TRUE"),MIN(MAX(0,$C$4-(G41-G43)),MAX(0,$C$11-(G50+0+SUMIFS('Huntsman Debt'!$N$17:$N$30,'Huntsman Debt'!$L$17:$L$30,'Huntsman Debt'!$B$17,'Huntsman Debt'!$M$17:$M$30,2029)-G52))),0)</f>
        <v>0</v>
      </c>
      <c r="H51" s="46">
        <f>0+SUMIFS('Huntsman Debt'!$N$17:$N$30,'Huntsman Debt'!$L$17:$L$30,'Huntsman Debt'!$B$17,'Huntsman Debt'!$M$17:$M$30,2030)+IF(OR($C$12=1,UPPER($C$12&amp;"")="YES",UPPER($C$12&amp;"")="Y",UPPER($C$12&amp;"")="TRUE"),MIN(MAX(0,$C$4-(H41-H43)),MAX(0,$C$11-(H50+0+SUMIFS('Huntsman Debt'!$N$17:$N$30,'Huntsman Debt'!$L$17:$L$30,'Huntsman Debt'!$B$17,'Huntsman Debt'!$M$17:$M$30,2030)-H52))),0)</f>
        <v>0</v>
      </c>
      <c r="I51" s="46">
        <f>I52+SUMIFS('Huntsman Debt'!$N$17:$N$30,'Huntsman Debt'!$L$17:$L$30,'Huntsman Debt'!$B$17,'Huntsman Debt'!$M$17:$M$30,2031)+IF(OR($C$12=1,UPPER($C$12&amp;"")="YES",UPPER($C$12&amp;"")="Y",UPPER($C$12&amp;"")="TRUE"),MIN(MAX(0,$C$4-(I41-I43)),MAX(0,$C$11-(I50+I52+SUMIFS('Huntsman Debt'!$N$17:$N$30,'Huntsman Debt'!$L$17:$L$30,'Huntsman Debt'!$B$17,'Huntsman Debt'!$M$17:$M$30,2031)-I52))),0)</f>
        <v>343</v>
      </c>
    </row>
    <row r="52" spans="1:9" x14ac:dyDescent="0.15">
      <c r="A52" s="2"/>
      <c r="B52" s="2" t="s">
        <v>325</v>
      </c>
      <c r="C52" s="46"/>
      <c r="D52" s="46">
        <f>MIN(D50+SUMIFS('Huntsman Debt'!$N$17:$N$30,'Huntsman Debt'!$L$17:$L$30,'Huntsman Debt'!$B$17,'Huntsman Debt'!$M$17:$M$30,2026),0+SUMIFS('Huntsman Debt'!$O$17:$O$30,'Huntsman Debt'!$L$17:$L$30,'Huntsman Debt'!$B$17,'Huntsman Debt'!$M$17:$M$30,2026))</f>
        <v>0</v>
      </c>
      <c r="E52" s="46">
        <f>MIN(E50+SUMIFS('Huntsman Debt'!$N$17:$N$30,'Huntsman Debt'!$L$17:$L$30,'Huntsman Debt'!$B$17,'Huntsman Debt'!$M$17:$M$30,2027),0+SUMIFS('Huntsman Debt'!$O$17:$O$30,'Huntsman Debt'!$L$17:$L$30,'Huntsman Debt'!$B$17,'Huntsman Debt'!$M$17:$M$30,2027))</f>
        <v>0</v>
      </c>
      <c r="F52" s="46">
        <f>MIN(F50+SUMIFS('Huntsman Debt'!$N$17:$N$30,'Huntsman Debt'!$L$17:$L$30,'Huntsman Debt'!$B$17,'Huntsman Debt'!$M$17:$M$30,2028),0+SUMIFS('Huntsman Debt'!$O$17:$O$30,'Huntsman Debt'!$L$17:$L$30,'Huntsman Debt'!$B$17,'Huntsman Debt'!$M$17:$M$30,2028))</f>
        <v>0</v>
      </c>
      <c r="G52" s="46">
        <f>MIN(G50+SUMIFS('Huntsman Debt'!$N$17:$N$30,'Huntsman Debt'!$L$17:$L$30,'Huntsman Debt'!$B$17,'Huntsman Debt'!$M$17:$M$30,2029),0+SUMIFS('Huntsman Debt'!$O$17:$O$30,'Huntsman Debt'!$L$17:$L$30,'Huntsman Debt'!$B$17,'Huntsman Debt'!$M$17:$M$30,2029))</f>
        <v>0</v>
      </c>
      <c r="H52" s="46">
        <f>MIN(H50+SUMIFS('Huntsman Debt'!$N$17:$N$30,'Huntsman Debt'!$L$17:$L$30,'Huntsman Debt'!$B$17,'Huntsman Debt'!$M$17:$M$30,2030),0+SUMIFS('Huntsman Debt'!$O$17:$O$30,'Huntsman Debt'!$L$17:$L$30,'Huntsman Debt'!$B$17,'Huntsman Debt'!$M$17:$M$30,2030))</f>
        <v>0</v>
      </c>
      <c r="I52" s="46">
        <f>MIN(I50+SUMIFS('Huntsman Debt'!$N$17:$N$30,'Huntsman Debt'!$L$17:$L$30,'Huntsman Debt'!$B$17,'Huntsman Debt'!$M$17:$M$30,2031),I50+SUMIFS('Huntsman Debt'!$O$17:$O$30,'Huntsman Debt'!$L$17:$L$30,'Huntsman Debt'!$B$17,'Huntsman Debt'!$M$17:$M$30,2031))</f>
        <v>343</v>
      </c>
    </row>
    <row r="53" spans="1:9" x14ac:dyDescent="0.15">
      <c r="A53" s="2"/>
      <c r="B53" s="2" t="s">
        <v>326</v>
      </c>
      <c r="C53" s="46"/>
      <c r="D53" s="46">
        <f>MIN(MAX(0,D50+D51-D52),SUMIFS('Huntsman Debt'!$P$17:$P$30,'Huntsman Debt'!$L$17:$L$30,'Huntsman Debt'!$B$17,'Huntsman Debt'!$M$17:$M$30,2026)+IF(OR($C$12=1,UPPER($C$12&amp;"")="YES",UPPER($C$12&amp;"")="Y",UPPER($C$12&amp;"")="TRUE"),MAX(0,(D41-D43)-$C$4),0))</f>
        <v>0</v>
      </c>
      <c r="E53" s="46">
        <f>MIN(MAX(0,E50+E51-E52),SUMIFS('Huntsman Debt'!$P$17:$P$30,'Huntsman Debt'!$L$17:$L$30,'Huntsman Debt'!$B$17,'Huntsman Debt'!$M$17:$M$30,2027)+IF(OR($C$12=1,UPPER($C$12&amp;"")="YES",UPPER($C$12&amp;"")="Y",UPPER($C$12&amp;"")="TRUE"),MAX(0,(E41-E43)-$C$4),0))</f>
        <v>0</v>
      </c>
      <c r="F53" s="46">
        <f>MIN(MAX(0,F50+F51-F52),SUMIFS('Huntsman Debt'!$P$17:$P$30,'Huntsman Debt'!$L$17:$L$30,'Huntsman Debt'!$B$17,'Huntsman Debt'!$M$17:$M$30,2028)+IF(OR($C$12=1,UPPER($C$12&amp;"")="YES",UPPER($C$12&amp;"")="Y",UPPER($C$12&amp;"")="TRUE"),MAX(0,(F41-F43)-$C$4),0))</f>
        <v>0</v>
      </c>
      <c r="G53" s="46">
        <f>MIN(MAX(0,G50+G51-G52),SUMIFS('Huntsman Debt'!$P$17:$P$30,'Huntsman Debt'!$L$17:$L$30,'Huntsman Debt'!$B$17,'Huntsman Debt'!$M$17:$M$30,2029)+IF(OR($C$12=1,UPPER($C$12&amp;"")="YES",UPPER($C$12&amp;"")="Y",UPPER($C$12&amp;"")="TRUE"),MAX(0,(G41-G43)-$C$4),0))</f>
        <v>0</v>
      </c>
      <c r="H53" s="46">
        <f>MIN(MAX(0,H50+H51-H52),SUMIFS('Huntsman Debt'!$P$17:$P$30,'Huntsman Debt'!$L$17:$L$30,'Huntsman Debt'!$B$17,'Huntsman Debt'!$M$17:$M$30,2030)+IF(OR($C$12=1,UPPER($C$12&amp;"")="YES",UPPER($C$12&amp;"")="Y",UPPER($C$12&amp;"")="TRUE"),MAX(0,(H41-H43)-$C$4),0))</f>
        <v>0</v>
      </c>
      <c r="I53" s="46">
        <f>MIN(MAX(0,I50+I51-I52),SUMIFS('Huntsman Debt'!$P$17:$P$30,'Huntsman Debt'!$L$17:$L$30,'Huntsman Debt'!$B$17,'Huntsman Debt'!$M$17:$M$30,2031)+IF(OR($C$12=1,UPPER($C$12&amp;"")="YES",UPPER($C$12&amp;"")="Y",UPPER($C$12&amp;"")="TRUE"),MAX(0,(I41-I43)-$C$4),0))</f>
        <v>0</v>
      </c>
    </row>
    <row r="54" spans="1:9" x14ac:dyDescent="0.15">
      <c r="A54" s="2"/>
      <c r="B54" s="2" t="s">
        <v>323</v>
      </c>
      <c r="C54" s="46">
        <f>'Huntsman Debt'!$E$17</f>
        <v>343</v>
      </c>
      <c r="D54" s="46">
        <f t="shared" ref="D54:I54" si="11">D50+D51-D52-D53</f>
        <v>343</v>
      </c>
      <c r="E54" s="46">
        <f t="shared" si="11"/>
        <v>343</v>
      </c>
      <c r="F54" s="46">
        <f t="shared" si="11"/>
        <v>343</v>
      </c>
      <c r="G54" s="46">
        <f t="shared" si="11"/>
        <v>343</v>
      </c>
      <c r="H54" s="46">
        <f t="shared" si="11"/>
        <v>343</v>
      </c>
      <c r="I54" s="46">
        <f t="shared" si="11"/>
        <v>343</v>
      </c>
    </row>
    <row r="55" spans="1:9" x14ac:dyDescent="0.15">
      <c r="A55" s="2"/>
      <c r="B55" s="45" t="s">
        <v>324</v>
      </c>
      <c r="C55" s="46"/>
      <c r="D55" s="46">
        <f>-AVERAGE(D50,D54)*'Huntsman Debt'!$C$17</f>
        <v>-18.521999999999998</v>
      </c>
      <c r="E55" s="46">
        <f>-AVERAGE(E50,E54)*'Huntsman Debt'!$C$17</f>
        <v>-18.521999999999998</v>
      </c>
      <c r="F55" s="46">
        <f>-AVERAGE(F50,F54)*'Huntsman Debt'!$C$17</f>
        <v>-18.521999999999998</v>
      </c>
      <c r="G55" s="46">
        <f>-AVERAGE(G50,G54)*'Huntsman Debt'!$C$17</f>
        <v>-18.521999999999998</v>
      </c>
      <c r="H55" s="46">
        <f>-AVERAGE(H50,H54)*'Huntsman Debt'!$C$17</f>
        <v>-18.521999999999998</v>
      </c>
      <c r="I55" s="46">
        <f>-AVERAGE(I50,I54)*'Huntsman Debt'!$C$17</f>
        <v>-18.521999999999998</v>
      </c>
    </row>
    <row r="56" spans="1:9" x14ac:dyDescent="0.15">
      <c r="A56" s="45"/>
      <c r="B56" s="45"/>
      <c r="C56" s="46"/>
      <c r="D56" s="46"/>
      <c r="E56" s="46"/>
      <c r="F56" s="46"/>
      <c r="G56" s="46"/>
      <c r="H56" s="46"/>
      <c r="I56" s="46"/>
    </row>
    <row r="57" spans="1:9" x14ac:dyDescent="0.15">
      <c r="B57" s="172" t="s">
        <v>320</v>
      </c>
      <c r="C57" s="173"/>
      <c r="D57" s="173"/>
      <c r="E57" s="173"/>
      <c r="F57" s="173"/>
      <c r="G57" s="173"/>
      <c r="H57" s="173"/>
      <c r="I57" s="173"/>
    </row>
    <row r="58" spans="1:9" x14ac:dyDescent="0.15">
      <c r="A58" s="174"/>
      <c r="B58" s="2" t="s">
        <v>322</v>
      </c>
      <c r="C58" s="46"/>
      <c r="D58" s="46">
        <f t="shared" ref="D58:I58" si="12">C62</f>
        <v>750</v>
      </c>
      <c r="E58" s="46">
        <f t="shared" si="12"/>
        <v>750</v>
      </c>
      <c r="F58" s="46">
        <f t="shared" si="12"/>
        <v>750</v>
      </c>
      <c r="G58" s="46">
        <f t="shared" si="12"/>
        <v>750</v>
      </c>
      <c r="H58" s="46">
        <f t="shared" si="12"/>
        <v>750</v>
      </c>
      <c r="I58" s="46">
        <f t="shared" si="12"/>
        <v>750</v>
      </c>
    </row>
    <row r="59" spans="1:9" x14ac:dyDescent="0.15">
      <c r="A59" s="2"/>
      <c r="B59" s="2" t="s">
        <v>330</v>
      </c>
      <c r="C59" s="46"/>
      <c r="D59" s="46">
        <f>0+SUMIFS('Huntsman Debt'!$N$17:$N$30,'Huntsman Debt'!$L$17:$L$30,'Huntsman Debt'!$B$18,'Huntsman Debt'!$M$17:$M$30,2026)</f>
        <v>0</v>
      </c>
      <c r="E59" s="46">
        <f>0+SUMIFS('Huntsman Debt'!$N$17:$N$30,'Huntsman Debt'!$L$17:$L$30,'Huntsman Debt'!$B$18,'Huntsman Debt'!$M$17:$M$30,2027)</f>
        <v>0</v>
      </c>
      <c r="F59" s="46">
        <f>0+SUMIFS('Huntsman Debt'!$N$17:$N$30,'Huntsman Debt'!$L$17:$L$30,'Huntsman Debt'!$B$18,'Huntsman Debt'!$M$17:$M$30,2028)</f>
        <v>0</v>
      </c>
      <c r="G59" s="46">
        <f>G60+SUMIFS('Huntsman Debt'!$N$17:$N$30,'Huntsman Debt'!$L$17:$L$30,'Huntsman Debt'!$B$18,'Huntsman Debt'!$M$17:$M$30,2029)</f>
        <v>750</v>
      </c>
      <c r="H59" s="46">
        <f>0+SUMIFS('Huntsman Debt'!$N$17:$N$30,'Huntsman Debt'!$L$17:$L$30,'Huntsman Debt'!$B$18,'Huntsman Debt'!$M$17:$M$30,2030)</f>
        <v>0</v>
      </c>
      <c r="I59" s="46">
        <f>0+SUMIFS('Huntsman Debt'!$N$17:$N$30,'Huntsman Debt'!$L$17:$L$30,'Huntsman Debt'!$B$18,'Huntsman Debt'!$M$17:$M$30,2031)</f>
        <v>0</v>
      </c>
    </row>
    <row r="60" spans="1:9" x14ac:dyDescent="0.15">
      <c r="A60" s="2"/>
      <c r="B60" s="2" t="s">
        <v>325</v>
      </c>
      <c r="C60" s="46"/>
      <c r="D60" s="46">
        <f>MIN(D58+SUMIFS('Huntsman Debt'!$N$17:$N$30,'Huntsman Debt'!$L$17:$L$30,'Huntsman Debt'!$B$18,'Huntsman Debt'!$M$17:$M$30,2026),0+SUMIFS('Huntsman Debt'!$O$17:$O$30,'Huntsman Debt'!$L$17:$L$30,'Huntsman Debt'!$B$18,'Huntsman Debt'!$M$17:$M$30,2026))</f>
        <v>0</v>
      </c>
      <c r="E60" s="46">
        <f>MIN(E58+SUMIFS('Huntsman Debt'!$N$17:$N$30,'Huntsman Debt'!$L$17:$L$30,'Huntsman Debt'!$B$18,'Huntsman Debt'!$M$17:$M$30,2027),0+SUMIFS('Huntsman Debt'!$O$17:$O$30,'Huntsman Debt'!$L$17:$L$30,'Huntsman Debt'!$B$18,'Huntsman Debt'!$M$17:$M$30,2027))</f>
        <v>0</v>
      </c>
      <c r="F60" s="46">
        <f>MIN(F58+SUMIFS('Huntsman Debt'!$N$17:$N$30,'Huntsman Debt'!$L$17:$L$30,'Huntsman Debt'!$B$18,'Huntsman Debt'!$M$17:$M$30,2028),0+SUMIFS('Huntsman Debt'!$O$17:$O$30,'Huntsman Debt'!$L$17:$L$30,'Huntsman Debt'!$B$18,'Huntsman Debt'!$M$17:$M$30,2028))</f>
        <v>0</v>
      </c>
      <c r="G60" s="46">
        <f>MIN(G58+SUMIFS('Huntsman Debt'!$N$17:$N$30,'Huntsman Debt'!$L$17:$L$30,'Huntsman Debt'!$B$18,'Huntsman Debt'!$M$17:$M$30,2029),G58+SUMIFS('Huntsman Debt'!$O$17:$O$30,'Huntsman Debt'!$L$17:$L$30,'Huntsman Debt'!$B$18,'Huntsman Debt'!$M$17:$M$30,2029))</f>
        <v>750</v>
      </c>
      <c r="H60" s="46">
        <f>MIN(H58+SUMIFS('Huntsman Debt'!$N$17:$N$30,'Huntsman Debt'!$L$17:$L$30,'Huntsman Debt'!$B$18,'Huntsman Debt'!$M$17:$M$30,2030),0+SUMIFS('Huntsman Debt'!$O$17:$O$30,'Huntsman Debt'!$L$17:$L$30,'Huntsman Debt'!$B$18,'Huntsman Debt'!$M$17:$M$30,2030))</f>
        <v>0</v>
      </c>
      <c r="I60" s="46">
        <f>MIN(I58+SUMIFS('Huntsman Debt'!$N$17:$N$30,'Huntsman Debt'!$L$17:$L$30,'Huntsman Debt'!$B$18,'Huntsman Debt'!$M$17:$M$30,2031),0+SUMIFS('Huntsman Debt'!$O$17:$O$30,'Huntsman Debt'!$L$17:$L$30,'Huntsman Debt'!$B$18,'Huntsman Debt'!$M$17:$M$30,2031))</f>
        <v>0</v>
      </c>
    </row>
    <row r="61" spans="1:9" x14ac:dyDescent="0.15">
      <c r="A61" s="2"/>
      <c r="B61" s="2" t="s">
        <v>326</v>
      </c>
      <c r="C61" s="46"/>
      <c r="D61" s="46">
        <f>MIN(MAX(0,D58+D59-D60),SUMIFS('Huntsman Debt'!$P$17:$P$30,'Huntsman Debt'!$L$17:$L$30,'Huntsman Debt'!$B$18,'Huntsman Debt'!$M$17:$M$30,2026))</f>
        <v>0</v>
      </c>
      <c r="E61" s="46">
        <f>MIN(MAX(0,E58+E59-E60),SUMIFS('Huntsman Debt'!$P$17:$P$30,'Huntsman Debt'!$L$17:$L$30,'Huntsman Debt'!$B$18,'Huntsman Debt'!$M$17:$M$30,2027))</f>
        <v>0</v>
      </c>
      <c r="F61" s="46">
        <f>MIN(MAX(0,F58+F59-F60),SUMIFS('Huntsman Debt'!$P$17:$P$30,'Huntsman Debt'!$L$17:$L$30,'Huntsman Debt'!$B$18,'Huntsman Debt'!$M$17:$M$30,2028))</f>
        <v>0</v>
      </c>
      <c r="G61" s="46">
        <f>MIN(MAX(0,G58+G59-G60),SUMIFS('Huntsman Debt'!$P$17:$P$30,'Huntsman Debt'!$L$17:$L$30,'Huntsman Debt'!$B$18,'Huntsman Debt'!$M$17:$M$30,2029))</f>
        <v>0</v>
      </c>
      <c r="H61" s="46">
        <f>MIN(MAX(0,H58+H59-H60),SUMIFS('Huntsman Debt'!$P$17:$P$30,'Huntsman Debt'!$L$17:$L$30,'Huntsman Debt'!$B$18,'Huntsman Debt'!$M$17:$M$30,2030))</f>
        <v>0</v>
      </c>
      <c r="I61" s="46">
        <f>MIN(MAX(0,I58+I59-I60),SUMIFS('Huntsman Debt'!$P$17:$P$30,'Huntsman Debt'!$L$17:$L$30,'Huntsman Debt'!$B$18,'Huntsman Debt'!$M$17:$M$30,2031))</f>
        <v>0</v>
      </c>
    </row>
    <row r="62" spans="1:9" x14ac:dyDescent="0.15">
      <c r="A62" s="2"/>
      <c r="B62" s="2" t="s">
        <v>323</v>
      </c>
      <c r="C62" s="46">
        <f>'Huntsman Debt'!$E$18</f>
        <v>750</v>
      </c>
      <c r="D62" s="46">
        <f t="shared" ref="D62:I62" si="13">D58+D59-D60-D61</f>
        <v>750</v>
      </c>
      <c r="E62" s="46">
        <f t="shared" si="13"/>
        <v>750</v>
      </c>
      <c r="F62" s="46">
        <f t="shared" si="13"/>
        <v>750</v>
      </c>
      <c r="G62" s="46">
        <f t="shared" si="13"/>
        <v>750</v>
      </c>
      <c r="H62" s="46">
        <f t="shared" si="13"/>
        <v>750</v>
      </c>
      <c r="I62" s="46">
        <f t="shared" si="13"/>
        <v>750</v>
      </c>
    </row>
    <row r="63" spans="1:9" x14ac:dyDescent="0.15">
      <c r="A63" s="2"/>
      <c r="B63" s="45" t="s">
        <v>324</v>
      </c>
      <c r="C63" s="46"/>
      <c r="D63" s="46">
        <f>-AVERAGE(D58,D62)*'Huntsman Debt'!$C$18</f>
        <v>-33.75</v>
      </c>
      <c r="E63" s="46">
        <f>-AVERAGE(E58,E62)*'Huntsman Debt'!$C$18</f>
        <v>-33.75</v>
      </c>
      <c r="F63" s="46">
        <f>-AVERAGE(F58,F62)*'Huntsman Debt'!$C$18</f>
        <v>-33.75</v>
      </c>
      <c r="G63" s="46">
        <f>-AVERAGE(G58,G62)*'Huntsman Debt'!$C$18</f>
        <v>-33.75</v>
      </c>
      <c r="H63" s="46">
        <f>-AVERAGE(H58,H62)*'Huntsman Debt'!$C$18</f>
        <v>-33.75</v>
      </c>
      <c r="I63" s="46">
        <f>-AVERAGE(I58,I62)*'Huntsman Debt'!$C$18</f>
        <v>-33.75</v>
      </c>
    </row>
    <row r="64" spans="1:9" x14ac:dyDescent="0.15">
      <c r="A64" s="45"/>
      <c r="B64" s="45"/>
      <c r="C64" s="46"/>
      <c r="D64" s="46"/>
      <c r="E64" s="46"/>
      <c r="F64" s="46"/>
      <c r="G64" s="46"/>
      <c r="H64" s="46"/>
      <c r="I64" s="46"/>
    </row>
    <row r="65" spans="1:9" x14ac:dyDescent="0.15">
      <c r="B65" s="172" t="s">
        <v>321</v>
      </c>
      <c r="C65" s="173"/>
      <c r="D65" s="173"/>
      <c r="E65" s="173"/>
      <c r="F65" s="173"/>
      <c r="G65" s="173"/>
      <c r="H65" s="173"/>
      <c r="I65" s="173"/>
    </row>
    <row r="66" spans="1:9" x14ac:dyDescent="0.15">
      <c r="A66" s="174"/>
      <c r="B66" s="2" t="s">
        <v>322</v>
      </c>
      <c r="C66" s="46"/>
      <c r="D66" s="46">
        <f t="shared" ref="D66:I66" si="14">C70</f>
        <v>400</v>
      </c>
      <c r="E66" s="46">
        <f t="shared" si="14"/>
        <v>400</v>
      </c>
      <c r="F66" s="46">
        <f t="shared" si="14"/>
        <v>400</v>
      </c>
      <c r="G66" s="46">
        <f t="shared" si="14"/>
        <v>400</v>
      </c>
      <c r="H66" s="46">
        <f t="shared" si="14"/>
        <v>400</v>
      </c>
      <c r="I66" s="46">
        <f t="shared" si="14"/>
        <v>400</v>
      </c>
    </row>
    <row r="67" spans="1:9" x14ac:dyDescent="0.15">
      <c r="A67" s="2"/>
      <c r="B67" s="2" t="s">
        <v>330</v>
      </c>
      <c r="C67" s="46"/>
      <c r="D67" s="46">
        <f>0+SUMIFS('Huntsman Debt'!$N$17:$N$30,'Huntsman Debt'!$L$17:$L$30,'Huntsman Debt'!$B$19,'Huntsman Debt'!$M$17:$M$30,2026)</f>
        <v>0</v>
      </c>
      <c r="E67" s="46">
        <f>0+SUMIFS('Huntsman Debt'!$N$17:$N$30,'Huntsman Debt'!$L$17:$L$30,'Huntsman Debt'!$B$19,'Huntsman Debt'!$M$17:$M$30,2027)</f>
        <v>0</v>
      </c>
      <c r="F67" s="46">
        <f>0+SUMIFS('Huntsman Debt'!$N$17:$N$30,'Huntsman Debt'!$L$17:$L$30,'Huntsman Debt'!$B$19,'Huntsman Debt'!$M$17:$M$30,2028)</f>
        <v>0</v>
      </c>
      <c r="G67" s="46">
        <f>0+SUMIFS('Huntsman Debt'!$N$17:$N$30,'Huntsman Debt'!$L$17:$L$30,'Huntsman Debt'!$B$19,'Huntsman Debt'!$M$17:$M$30,2029)</f>
        <v>0</v>
      </c>
      <c r="H67" s="46">
        <f>0+SUMIFS('Huntsman Debt'!$N$17:$N$30,'Huntsman Debt'!$L$17:$L$30,'Huntsman Debt'!$B$19,'Huntsman Debt'!$M$17:$M$30,2030)</f>
        <v>0</v>
      </c>
      <c r="I67" s="46">
        <f>I68+SUMIFS('Huntsman Debt'!$N$17:$N$30,'Huntsman Debt'!$L$17:$L$30,'Huntsman Debt'!$B$19,'Huntsman Debt'!$M$17:$M$30,2031)</f>
        <v>400</v>
      </c>
    </row>
    <row r="68" spans="1:9" x14ac:dyDescent="0.15">
      <c r="A68" s="2"/>
      <c r="B68" s="2" t="s">
        <v>325</v>
      </c>
      <c r="C68" s="46"/>
      <c r="D68" s="46">
        <f>MIN(D66+SUMIFS('Huntsman Debt'!$N$17:$N$30,'Huntsman Debt'!$L$17:$L$30,'Huntsman Debt'!$B$19,'Huntsman Debt'!$M$17:$M$30,2026),0+SUMIFS('Huntsman Debt'!$O$17:$O$30,'Huntsman Debt'!$L$17:$L$30,'Huntsman Debt'!$B$19,'Huntsman Debt'!$M$17:$M$30,2026))</f>
        <v>0</v>
      </c>
      <c r="E68" s="46">
        <f>MIN(E66+SUMIFS('Huntsman Debt'!$N$17:$N$30,'Huntsman Debt'!$L$17:$L$30,'Huntsman Debt'!$B$19,'Huntsman Debt'!$M$17:$M$30,2027),0+SUMIFS('Huntsman Debt'!$O$17:$O$30,'Huntsman Debt'!$L$17:$L$30,'Huntsman Debt'!$B$19,'Huntsman Debt'!$M$17:$M$30,2027))</f>
        <v>0</v>
      </c>
      <c r="F68" s="46">
        <f>MIN(F66+SUMIFS('Huntsman Debt'!$N$17:$N$30,'Huntsman Debt'!$L$17:$L$30,'Huntsman Debt'!$B$19,'Huntsman Debt'!$M$17:$M$30,2028),0+SUMIFS('Huntsman Debt'!$O$17:$O$30,'Huntsman Debt'!$L$17:$L$30,'Huntsman Debt'!$B$19,'Huntsman Debt'!$M$17:$M$30,2028))</f>
        <v>0</v>
      </c>
      <c r="G68" s="46">
        <f>MIN(G66+SUMIFS('Huntsman Debt'!$N$17:$N$30,'Huntsman Debt'!$L$17:$L$30,'Huntsman Debt'!$B$19,'Huntsman Debt'!$M$17:$M$30,2029),0+SUMIFS('Huntsman Debt'!$O$17:$O$30,'Huntsman Debt'!$L$17:$L$30,'Huntsman Debt'!$B$19,'Huntsman Debt'!$M$17:$M$30,2029))</f>
        <v>0</v>
      </c>
      <c r="H68" s="46">
        <f>MIN(H66+SUMIFS('Huntsman Debt'!$N$17:$N$30,'Huntsman Debt'!$L$17:$L$30,'Huntsman Debt'!$B$19,'Huntsman Debt'!$M$17:$M$30,2030),0+SUMIFS('Huntsman Debt'!$O$17:$O$30,'Huntsman Debt'!$L$17:$L$30,'Huntsman Debt'!$B$19,'Huntsman Debt'!$M$17:$M$30,2030))</f>
        <v>0</v>
      </c>
      <c r="I68" s="46">
        <f>MIN(I66+SUMIFS('Huntsman Debt'!$N$17:$N$30,'Huntsman Debt'!$L$17:$L$30,'Huntsman Debt'!$B$19,'Huntsman Debt'!$M$17:$M$30,2031),I66+SUMIFS('Huntsman Debt'!$O$17:$O$30,'Huntsman Debt'!$L$17:$L$30,'Huntsman Debt'!$B$19,'Huntsman Debt'!$M$17:$M$30,2031))</f>
        <v>400</v>
      </c>
    </row>
    <row r="69" spans="1:9" x14ac:dyDescent="0.15">
      <c r="A69" s="2"/>
      <c r="B69" s="2" t="s">
        <v>326</v>
      </c>
      <c r="C69" s="46"/>
      <c r="D69" s="46">
        <f>MIN(MAX(0,D66+D67-D68),SUMIFS('Huntsman Debt'!$P$17:$P$30,'Huntsman Debt'!$L$17:$L$30,'Huntsman Debt'!$B$19,'Huntsman Debt'!$M$17:$M$30,2026))</f>
        <v>0</v>
      </c>
      <c r="E69" s="46">
        <f>MIN(MAX(0,E66+E67-E68),SUMIFS('Huntsman Debt'!$P$17:$P$30,'Huntsman Debt'!$L$17:$L$30,'Huntsman Debt'!$B$19,'Huntsman Debt'!$M$17:$M$30,2027))</f>
        <v>0</v>
      </c>
      <c r="F69" s="46">
        <f>MIN(MAX(0,F66+F67-F68),SUMIFS('Huntsman Debt'!$P$17:$P$30,'Huntsman Debt'!$L$17:$L$30,'Huntsman Debt'!$B$19,'Huntsman Debt'!$M$17:$M$30,2028))</f>
        <v>0</v>
      </c>
      <c r="G69" s="46">
        <f>MIN(MAX(0,G66+G67-G68),SUMIFS('Huntsman Debt'!$P$17:$P$30,'Huntsman Debt'!$L$17:$L$30,'Huntsman Debt'!$B$19,'Huntsman Debt'!$M$17:$M$30,2029))</f>
        <v>0</v>
      </c>
      <c r="H69" s="46">
        <f>MIN(MAX(0,H66+H67-H68),SUMIFS('Huntsman Debt'!$P$17:$P$30,'Huntsman Debt'!$L$17:$L$30,'Huntsman Debt'!$B$19,'Huntsman Debt'!$M$17:$M$30,2030))</f>
        <v>0</v>
      </c>
      <c r="I69" s="46">
        <f>MIN(MAX(0,I66+I67-I68),SUMIFS('Huntsman Debt'!$P$17:$P$30,'Huntsman Debt'!$L$17:$L$30,'Huntsman Debt'!$B$19,'Huntsman Debt'!$M$17:$M$30,2031))</f>
        <v>0</v>
      </c>
    </row>
    <row r="70" spans="1:9" x14ac:dyDescent="0.15">
      <c r="A70" s="2"/>
      <c r="B70" s="2" t="s">
        <v>323</v>
      </c>
      <c r="C70" s="46">
        <f>'Huntsman Debt'!$E$19</f>
        <v>400</v>
      </c>
      <c r="D70" s="46">
        <f t="shared" ref="D70:I70" si="15">D66+D67-D68-D69</f>
        <v>400</v>
      </c>
      <c r="E70" s="46">
        <f t="shared" si="15"/>
        <v>400</v>
      </c>
      <c r="F70" s="46">
        <f t="shared" si="15"/>
        <v>400</v>
      </c>
      <c r="G70" s="46">
        <f t="shared" si="15"/>
        <v>400</v>
      </c>
      <c r="H70" s="46">
        <f t="shared" si="15"/>
        <v>400</v>
      </c>
      <c r="I70" s="46">
        <f t="shared" si="15"/>
        <v>400</v>
      </c>
    </row>
    <row r="71" spans="1:9" x14ac:dyDescent="0.15">
      <c r="A71" s="2"/>
      <c r="B71" s="45" t="s">
        <v>324</v>
      </c>
      <c r="C71" s="46"/>
      <c r="D71" s="46">
        <f>-AVERAGE(D66,D70)*'Huntsman Debt'!$C$19</f>
        <v>-11.799999999999999</v>
      </c>
      <c r="E71" s="46">
        <f>-AVERAGE(E66,E70)*'Huntsman Debt'!$C$19</f>
        <v>-11.799999999999999</v>
      </c>
      <c r="F71" s="46">
        <f>-AVERAGE(F66,F70)*'Huntsman Debt'!$C$19</f>
        <v>-11.799999999999999</v>
      </c>
      <c r="G71" s="46">
        <f>-AVERAGE(G66,G70)*'Huntsman Debt'!$C$19</f>
        <v>-11.799999999999999</v>
      </c>
      <c r="H71" s="46">
        <f>-AVERAGE(H66,H70)*'Huntsman Debt'!$C$19</f>
        <v>-11.799999999999999</v>
      </c>
      <c r="I71" s="46">
        <f>-AVERAGE(I66,I70)*'Huntsman Debt'!$C$19</f>
        <v>-11.799999999999999</v>
      </c>
    </row>
    <row r="72" spans="1:9" x14ac:dyDescent="0.15">
      <c r="A72" s="45"/>
      <c r="B72" s="45"/>
      <c r="C72" s="46"/>
      <c r="D72" s="46"/>
      <c r="E72" s="46"/>
      <c r="F72" s="46"/>
      <c r="G72" s="46"/>
      <c r="H72" s="46"/>
      <c r="I72" s="46"/>
    </row>
    <row r="73" spans="1:9" x14ac:dyDescent="0.15">
      <c r="B73" s="172" t="s">
        <v>337</v>
      </c>
      <c r="C73" s="173"/>
      <c r="D73" s="173"/>
      <c r="E73" s="173"/>
      <c r="F73" s="173"/>
      <c r="G73" s="173"/>
      <c r="H73" s="173"/>
      <c r="I73" s="173"/>
    </row>
    <row r="74" spans="1:9" x14ac:dyDescent="0.15">
      <c r="A74" s="174"/>
      <c r="B74" s="2" t="s">
        <v>322</v>
      </c>
      <c r="C74" s="46"/>
      <c r="D74" s="46">
        <f t="shared" ref="D74:I74" si="16">C78</f>
        <v>350</v>
      </c>
      <c r="E74" s="46">
        <f t="shared" si="16"/>
        <v>350</v>
      </c>
      <c r="F74" s="46">
        <f t="shared" si="16"/>
        <v>350</v>
      </c>
      <c r="G74" s="46">
        <f t="shared" si="16"/>
        <v>350</v>
      </c>
      <c r="H74" s="46">
        <f t="shared" si="16"/>
        <v>350</v>
      </c>
      <c r="I74" s="46">
        <f t="shared" si="16"/>
        <v>350</v>
      </c>
    </row>
    <row r="75" spans="1:9" x14ac:dyDescent="0.15">
      <c r="A75" s="2"/>
      <c r="B75" s="2" t="s">
        <v>330</v>
      </c>
      <c r="C75" s="46"/>
      <c r="D75" s="46">
        <f>0+SUMIFS('Huntsman Debt'!$N$17:$N$30,'Huntsman Debt'!$L$17:$L$30,'Huntsman Debt'!$B$20,'Huntsman Debt'!$M$17:$M$30,2026)</f>
        <v>0</v>
      </c>
      <c r="E75" s="46">
        <f>0+SUMIFS('Huntsman Debt'!$N$17:$N$30,'Huntsman Debt'!$L$17:$L$30,'Huntsman Debt'!$B$20,'Huntsman Debt'!$M$17:$M$30,2027)</f>
        <v>0</v>
      </c>
      <c r="F75" s="46">
        <f>0+SUMIFS('Huntsman Debt'!$N$17:$N$30,'Huntsman Debt'!$L$17:$L$30,'Huntsman Debt'!$B$20,'Huntsman Debt'!$M$17:$M$30,2028)</f>
        <v>0</v>
      </c>
      <c r="G75" s="46">
        <f>0+SUMIFS('Huntsman Debt'!$N$17:$N$30,'Huntsman Debt'!$L$17:$L$30,'Huntsman Debt'!$B$20,'Huntsman Debt'!$M$17:$M$30,2029)</f>
        <v>0</v>
      </c>
      <c r="H75" s="46">
        <f>0+SUMIFS('Huntsman Debt'!$N$17:$N$30,'Huntsman Debt'!$L$17:$L$30,'Huntsman Debt'!$B$20,'Huntsman Debt'!$M$17:$M$30,2030)</f>
        <v>0</v>
      </c>
      <c r="I75" s="46">
        <f>0+SUMIFS('Huntsman Debt'!$N$17:$N$30,'Huntsman Debt'!$L$17:$L$30,'Huntsman Debt'!$B$20,'Huntsman Debt'!$M$17:$M$30,2031)</f>
        <v>0</v>
      </c>
    </row>
    <row r="76" spans="1:9" x14ac:dyDescent="0.15">
      <c r="A76" s="2"/>
      <c r="B76" s="2" t="s">
        <v>325</v>
      </c>
      <c r="C76" s="46"/>
      <c r="D76" s="46">
        <f>MIN(D74+SUMIFS('Huntsman Debt'!$N$17:$N$30,'Huntsman Debt'!$L$17:$L$30,'Huntsman Debt'!$B$20,'Huntsman Debt'!$M$17:$M$30,2026),0+SUMIFS('Huntsman Debt'!$O$17:$O$30,'Huntsman Debt'!$L$17:$L$30,'Huntsman Debt'!$B$20,'Huntsman Debt'!$M$17:$M$30,2026))</f>
        <v>0</v>
      </c>
      <c r="E76" s="46">
        <f>MIN(E74+SUMIFS('Huntsman Debt'!$N$17:$N$30,'Huntsman Debt'!$L$17:$L$30,'Huntsman Debt'!$B$20,'Huntsman Debt'!$M$17:$M$30,2027),0+SUMIFS('Huntsman Debt'!$O$17:$O$30,'Huntsman Debt'!$L$17:$L$30,'Huntsman Debt'!$B$20,'Huntsman Debt'!$M$17:$M$30,2027))</f>
        <v>0</v>
      </c>
      <c r="F76" s="46">
        <f>MIN(F74+SUMIFS('Huntsman Debt'!$N$17:$N$30,'Huntsman Debt'!$L$17:$L$30,'Huntsman Debt'!$B$20,'Huntsman Debt'!$M$17:$M$30,2028),0+SUMIFS('Huntsman Debt'!$O$17:$O$30,'Huntsman Debt'!$L$17:$L$30,'Huntsman Debt'!$B$20,'Huntsman Debt'!$M$17:$M$30,2028))</f>
        <v>0</v>
      </c>
      <c r="G76" s="46">
        <f>MIN(G74+SUMIFS('Huntsman Debt'!$N$17:$N$30,'Huntsman Debt'!$L$17:$L$30,'Huntsman Debt'!$B$20,'Huntsman Debt'!$M$17:$M$30,2029),0+SUMIFS('Huntsman Debt'!$O$17:$O$30,'Huntsman Debt'!$L$17:$L$30,'Huntsman Debt'!$B$20,'Huntsman Debt'!$M$17:$M$30,2029))</f>
        <v>0</v>
      </c>
      <c r="H76" s="46">
        <f>MIN(H74+SUMIFS('Huntsman Debt'!$N$17:$N$30,'Huntsman Debt'!$L$17:$L$30,'Huntsman Debt'!$B$20,'Huntsman Debt'!$M$17:$M$30,2030),0+SUMIFS('Huntsman Debt'!$O$17:$O$30,'Huntsman Debt'!$L$17:$L$30,'Huntsman Debt'!$B$20,'Huntsman Debt'!$M$17:$M$30,2030))</f>
        <v>0</v>
      </c>
      <c r="I76" s="46">
        <f>MIN(I74+SUMIFS('Huntsman Debt'!$N$17:$N$30,'Huntsman Debt'!$L$17:$L$30,'Huntsman Debt'!$B$20,'Huntsman Debt'!$M$17:$M$30,2031),0+SUMIFS('Huntsman Debt'!$O$17:$O$30,'Huntsman Debt'!$L$17:$L$30,'Huntsman Debt'!$B$20,'Huntsman Debt'!$M$17:$M$30,2031))</f>
        <v>0</v>
      </c>
    </row>
    <row r="77" spans="1:9" x14ac:dyDescent="0.15">
      <c r="A77" s="2"/>
      <c r="B77" s="2" t="s">
        <v>326</v>
      </c>
      <c r="C77" s="46"/>
      <c r="D77" s="46">
        <f>MIN(MAX(0,D74+D75-D76),SUMIFS('Huntsman Debt'!$P$17:$P$30,'Huntsman Debt'!$L$17:$L$30,'Huntsman Debt'!$B$20,'Huntsman Debt'!$M$17:$M$30,2026))</f>
        <v>0</v>
      </c>
      <c r="E77" s="46">
        <f>MIN(MAX(0,E74+E75-E76),SUMIFS('Huntsman Debt'!$P$17:$P$30,'Huntsman Debt'!$L$17:$L$30,'Huntsman Debt'!$B$20,'Huntsman Debt'!$M$17:$M$30,2027))</f>
        <v>0</v>
      </c>
      <c r="F77" s="46">
        <f>MIN(MAX(0,F74+F75-F76),SUMIFS('Huntsman Debt'!$P$17:$P$30,'Huntsman Debt'!$L$17:$L$30,'Huntsman Debt'!$B$20,'Huntsman Debt'!$M$17:$M$30,2028))</f>
        <v>0</v>
      </c>
      <c r="G77" s="46">
        <f>MIN(MAX(0,G74+G75-G76),SUMIFS('Huntsman Debt'!$P$17:$P$30,'Huntsman Debt'!$L$17:$L$30,'Huntsman Debt'!$B$20,'Huntsman Debt'!$M$17:$M$30,2029))</f>
        <v>0</v>
      </c>
      <c r="H77" s="46">
        <f>MIN(MAX(0,H74+H75-H76),SUMIFS('Huntsman Debt'!$P$17:$P$30,'Huntsman Debt'!$L$17:$L$30,'Huntsman Debt'!$B$20,'Huntsman Debt'!$M$17:$M$30,2030))</f>
        <v>0</v>
      </c>
      <c r="I77" s="46">
        <f>MIN(MAX(0,I74+I75-I76),SUMIFS('Huntsman Debt'!$P$17:$P$30,'Huntsman Debt'!$L$17:$L$30,'Huntsman Debt'!$B$20,'Huntsman Debt'!$M$17:$M$30,2031))</f>
        <v>0</v>
      </c>
    </row>
    <row r="78" spans="1:9" x14ac:dyDescent="0.15">
      <c r="A78" s="2"/>
      <c r="B78" s="2" t="s">
        <v>323</v>
      </c>
      <c r="C78" s="46">
        <f>'Huntsman Debt'!$E$20</f>
        <v>350</v>
      </c>
      <c r="D78" s="46">
        <f t="shared" ref="D78:I78" si="17">D74+D75-D76-D77</f>
        <v>350</v>
      </c>
      <c r="E78" s="46">
        <f t="shared" si="17"/>
        <v>350</v>
      </c>
      <c r="F78" s="46">
        <f t="shared" si="17"/>
        <v>350</v>
      </c>
      <c r="G78" s="46">
        <f t="shared" si="17"/>
        <v>350</v>
      </c>
      <c r="H78" s="46">
        <f t="shared" si="17"/>
        <v>350</v>
      </c>
      <c r="I78" s="46">
        <f t="shared" si="17"/>
        <v>350</v>
      </c>
    </row>
    <row r="79" spans="1:9" x14ac:dyDescent="0.15">
      <c r="A79" s="2"/>
      <c r="B79" s="45" t="s">
        <v>324</v>
      </c>
      <c r="C79" s="46"/>
      <c r="D79" s="46">
        <f>-AVERAGE(D74,D78)*'Huntsman Debt'!$C$20</f>
        <v>-19.95</v>
      </c>
      <c r="E79" s="46">
        <f>-AVERAGE(E74,E78)*'Huntsman Debt'!$C$20</f>
        <v>-19.95</v>
      </c>
      <c r="F79" s="46">
        <f>-AVERAGE(F74,F78)*'Huntsman Debt'!$C$20</f>
        <v>-19.95</v>
      </c>
      <c r="G79" s="46">
        <f>-AVERAGE(G74,G78)*'Huntsman Debt'!$C$20</f>
        <v>-19.95</v>
      </c>
      <c r="H79" s="46">
        <f>-AVERAGE(H74,H78)*'Huntsman Debt'!$C$20</f>
        <v>-19.95</v>
      </c>
      <c r="I79" s="46">
        <f>-AVERAGE(I74,I78)*'Huntsman Debt'!$C$20</f>
        <v>-19.95</v>
      </c>
    </row>
    <row r="80" spans="1:9" x14ac:dyDescent="0.15">
      <c r="A80" s="45"/>
      <c r="B80" s="45"/>
      <c r="C80" s="46"/>
      <c r="D80" s="46"/>
      <c r="E80" s="46"/>
      <c r="F80" s="46"/>
      <c r="G80" s="46"/>
      <c r="H80" s="46"/>
      <c r="I80" s="46"/>
    </row>
    <row r="81" spans="1:9" x14ac:dyDescent="0.15">
      <c r="B81" s="172" t="s">
        <v>338</v>
      </c>
      <c r="C81" s="173"/>
      <c r="D81" s="173"/>
      <c r="E81" s="173"/>
      <c r="F81" s="173"/>
      <c r="G81" s="173"/>
      <c r="H81" s="173"/>
      <c r="I81" s="173"/>
    </row>
    <row r="82" spans="1:9" x14ac:dyDescent="0.15">
      <c r="A82" s="174"/>
      <c r="B82" s="2" t="s">
        <v>322</v>
      </c>
      <c r="C82" s="46"/>
      <c r="D82" s="46">
        <f t="shared" ref="D82:I82" si="18">C86</f>
        <v>93</v>
      </c>
      <c r="E82" s="46">
        <f t="shared" si="18"/>
        <v>93</v>
      </c>
      <c r="F82" s="46">
        <f t="shared" si="18"/>
        <v>93</v>
      </c>
      <c r="G82" s="46">
        <f t="shared" si="18"/>
        <v>93</v>
      </c>
      <c r="H82" s="46">
        <f t="shared" si="18"/>
        <v>93</v>
      </c>
      <c r="I82" s="46">
        <f t="shared" si="18"/>
        <v>93</v>
      </c>
    </row>
    <row r="83" spans="1:9" x14ac:dyDescent="0.15">
      <c r="A83" s="2"/>
      <c r="B83" s="2" t="s">
        <v>330</v>
      </c>
      <c r="C83" s="46"/>
      <c r="D83" s="46">
        <f>0+SUMIFS('Huntsman Debt'!$N$17:$N$30,'Huntsman Debt'!$L$17:$L$30,'Huntsman Debt'!$B$21,'Huntsman Debt'!$M$17:$M$30,2026)</f>
        <v>0</v>
      </c>
      <c r="E83" s="46">
        <f>0+SUMIFS('Huntsman Debt'!$N$17:$N$30,'Huntsman Debt'!$L$17:$L$30,'Huntsman Debt'!$B$21,'Huntsman Debt'!$M$17:$M$30,2027)</f>
        <v>0</v>
      </c>
      <c r="F83" s="46">
        <f>F84+SUMIFS('Huntsman Debt'!$N$17:$N$30,'Huntsman Debt'!$L$17:$L$30,'Huntsman Debt'!$B$21,'Huntsman Debt'!$M$17:$M$30,2028)</f>
        <v>93</v>
      </c>
      <c r="G83" s="46">
        <f>0+SUMIFS('Huntsman Debt'!$N$17:$N$30,'Huntsman Debt'!$L$17:$L$30,'Huntsman Debt'!$B$21,'Huntsman Debt'!$M$17:$M$30,2029)</f>
        <v>0</v>
      </c>
      <c r="H83" s="46">
        <f>0+SUMIFS('Huntsman Debt'!$N$17:$N$30,'Huntsman Debt'!$L$17:$L$30,'Huntsman Debt'!$B$21,'Huntsman Debt'!$M$17:$M$30,2030)</f>
        <v>0</v>
      </c>
      <c r="I83" s="46">
        <f>0+SUMIFS('Huntsman Debt'!$N$17:$N$30,'Huntsman Debt'!$L$17:$L$30,'Huntsman Debt'!$B$21,'Huntsman Debt'!$M$17:$M$30,2031)</f>
        <v>0</v>
      </c>
    </row>
    <row r="84" spans="1:9" x14ac:dyDescent="0.15">
      <c r="A84" s="2"/>
      <c r="B84" s="2" t="s">
        <v>325</v>
      </c>
      <c r="C84" s="46"/>
      <c r="D84" s="46">
        <f>MIN(D82+SUMIFS('Huntsman Debt'!$N$17:$N$30,'Huntsman Debt'!$L$17:$L$30,'Huntsman Debt'!$B$21,'Huntsman Debt'!$M$17:$M$30,2026),0+SUMIFS('Huntsman Debt'!$O$17:$O$30,'Huntsman Debt'!$L$17:$L$30,'Huntsman Debt'!$B$21,'Huntsman Debt'!$M$17:$M$30,2026))</f>
        <v>0</v>
      </c>
      <c r="E84" s="46">
        <f>MIN(E82+SUMIFS('Huntsman Debt'!$N$17:$N$30,'Huntsman Debt'!$L$17:$L$30,'Huntsman Debt'!$B$21,'Huntsman Debt'!$M$17:$M$30,2027),0+SUMIFS('Huntsman Debt'!$O$17:$O$30,'Huntsman Debt'!$L$17:$L$30,'Huntsman Debt'!$B$21,'Huntsman Debt'!$M$17:$M$30,2027))</f>
        <v>0</v>
      </c>
      <c r="F84" s="46">
        <f>MIN(F82+SUMIFS('Huntsman Debt'!$N$17:$N$30,'Huntsman Debt'!$L$17:$L$30,'Huntsman Debt'!$B$21,'Huntsman Debt'!$M$17:$M$30,2028),F82+SUMIFS('Huntsman Debt'!$O$17:$O$30,'Huntsman Debt'!$L$17:$L$30,'Huntsman Debt'!$B$21,'Huntsman Debt'!$M$17:$M$30,2028))</f>
        <v>93</v>
      </c>
      <c r="G84" s="46">
        <f>MIN(G82+SUMIFS('Huntsman Debt'!$N$17:$N$30,'Huntsman Debt'!$L$17:$L$30,'Huntsman Debt'!$B$21,'Huntsman Debt'!$M$17:$M$30,2029),0+SUMIFS('Huntsman Debt'!$O$17:$O$30,'Huntsman Debt'!$L$17:$L$30,'Huntsman Debt'!$B$21,'Huntsman Debt'!$M$17:$M$30,2029))</f>
        <v>0</v>
      </c>
      <c r="H84" s="46">
        <f>MIN(H82+SUMIFS('Huntsman Debt'!$N$17:$N$30,'Huntsman Debt'!$L$17:$L$30,'Huntsman Debt'!$B$21,'Huntsman Debt'!$M$17:$M$30,2030),0+SUMIFS('Huntsman Debt'!$O$17:$O$30,'Huntsman Debt'!$L$17:$L$30,'Huntsman Debt'!$B$21,'Huntsman Debt'!$M$17:$M$30,2030))</f>
        <v>0</v>
      </c>
      <c r="I84" s="46">
        <f>MIN(I82+SUMIFS('Huntsman Debt'!$N$17:$N$30,'Huntsman Debt'!$L$17:$L$30,'Huntsman Debt'!$B$21,'Huntsman Debt'!$M$17:$M$30,2031),0+SUMIFS('Huntsman Debt'!$O$17:$O$30,'Huntsman Debt'!$L$17:$L$30,'Huntsman Debt'!$B$21,'Huntsman Debt'!$M$17:$M$30,2031))</f>
        <v>0</v>
      </c>
    </row>
    <row r="85" spans="1:9" x14ac:dyDescent="0.15">
      <c r="A85" s="2"/>
      <c r="B85" s="2" t="s">
        <v>326</v>
      </c>
      <c r="C85" s="46"/>
      <c r="D85" s="46">
        <f>MIN(MAX(0,D82+D83-D84),SUMIFS('Huntsman Debt'!$P$17:$P$30,'Huntsman Debt'!$L$17:$L$30,'Huntsman Debt'!$B$21,'Huntsman Debt'!$M$17:$M$30,2026))</f>
        <v>0</v>
      </c>
      <c r="E85" s="46">
        <f>MIN(MAX(0,E82+E83-E84),SUMIFS('Huntsman Debt'!$P$17:$P$30,'Huntsman Debt'!$L$17:$L$30,'Huntsman Debt'!$B$21,'Huntsman Debt'!$M$17:$M$30,2027))</f>
        <v>0</v>
      </c>
      <c r="F85" s="46">
        <f>MIN(MAX(0,F82+F83-F84),SUMIFS('Huntsman Debt'!$P$17:$P$30,'Huntsman Debt'!$L$17:$L$30,'Huntsman Debt'!$B$21,'Huntsman Debt'!$M$17:$M$30,2028))</f>
        <v>0</v>
      </c>
      <c r="G85" s="46">
        <f>MIN(MAX(0,G82+G83-G84),SUMIFS('Huntsman Debt'!$P$17:$P$30,'Huntsman Debt'!$L$17:$L$30,'Huntsman Debt'!$B$21,'Huntsman Debt'!$M$17:$M$30,2029))</f>
        <v>0</v>
      </c>
      <c r="H85" s="46">
        <f>MIN(MAX(0,H82+H83-H84),SUMIFS('Huntsman Debt'!$P$17:$P$30,'Huntsman Debt'!$L$17:$L$30,'Huntsman Debt'!$B$21,'Huntsman Debt'!$M$17:$M$30,2030))</f>
        <v>0</v>
      </c>
      <c r="I85" s="46">
        <f>MIN(MAX(0,I82+I83-I84),SUMIFS('Huntsman Debt'!$P$17:$P$30,'Huntsman Debt'!$L$17:$L$30,'Huntsman Debt'!$B$21,'Huntsman Debt'!$M$17:$M$30,2031))</f>
        <v>0</v>
      </c>
    </row>
    <row r="86" spans="1:9" x14ac:dyDescent="0.15">
      <c r="A86" s="2"/>
      <c r="B86" s="2" t="s">
        <v>323</v>
      </c>
      <c r="C86" s="46">
        <f>'Huntsman Debt'!$E$21</f>
        <v>93</v>
      </c>
      <c r="D86" s="46">
        <f t="shared" ref="D86:I86" si="19">D82+D83-D84-D85</f>
        <v>93</v>
      </c>
      <c r="E86" s="46">
        <f t="shared" si="19"/>
        <v>93</v>
      </c>
      <c r="F86" s="46">
        <f t="shared" si="19"/>
        <v>93</v>
      </c>
      <c r="G86" s="46">
        <f t="shared" si="19"/>
        <v>93</v>
      </c>
      <c r="H86" s="46">
        <f t="shared" si="19"/>
        <v>93</v>
      </c>
      <c r="I86" s="46">
        <f t="shared" si="19"/>
        <v>93</v>
      </c>
    </row>
    <row r="87" spans="1:9" x14ac:dyDescent="0.15">
      <c r="A87" s="2"/>
      <c r="B87" s="45" t="s">
        <v>324</v>
      </c>
      <c r="C87" s="46"/>
      <c r="D87" s="46">
        <f>-AVERAGE(D82,D86)*'Huntsman Debt'!$C$21</f>
        <v>-4.2779999999999996</v>
      </c>
      <c r="E87" s="46">
        <f>-AVERAGE(E82,E86)*'Huntsman Debt'!$C$21</f>
        <v>-4.2779999999999996</v>
      </c>
      <c r="F87" s="46">
        <f>-AVERAGE(F82,F86)*'Huntsman Debt'!$C$21</f>
        <v>-4.2779999999999996</v>
      </c>
      <c r="G87" s="46">
        <f>-AVERAGE(G82,G86)*'Huntsman Debt'!$C$21</f>
        <v>-4.2779999999999996</v>
      </c>
      <c r="H87" s="46">
        <f>-AVERAGE(H82,H86)*'Huntsman Debt'!$C$21</f>
        <v>-4.2779999999999996</v>
      </c>
      <c r="I87" s="46">
        <f>-AVERAGE(I82,I86)*'Huntsman Debt'!$C$21</f>
        <v>-4.2779999999999996</v>
      </c>
    </row>
    <row r="88" spans="1:9" x14ac:dyDescent="0.15">
      <c r="A88" s="45"/>
      <c r="B88" s="45"/>
      <c r="C88" s="46"/>
      <c r="D88" s="46"/>
      <c r="E88" s="46"/>
      <c r="F88" s="46"/>
      <c r="G88" s="46"/>
      <c r="H88" s="46"/>
      <c r="I88" s="46"/>
    </row>
    <row r="89" spans="1:9" x14ac:dyDescent="0.15">
      <c r="B89" s="172" t="s">
        <v>339</v>
      </c>
      <c r="C89" s="173"/>
      <c r="D89" s="173"/>
      <c r="E89" s="173"/>
      <c r="F89" s="173"/>
      <c r="G89" s="173"/>
      <c r="H89" s="173"/>
      <c r="I89" s="173"/>
    </row>
    <row r="90" spans="1:9" x14ac:dyDescent="0.15">
      <c r="A90" s="174"/>
      <c r="B90" s="2" t="s">
        <v>322</v>
      </c>
      <c r="C90" s="46"/>
      <c r="D90" s="46">
        <f t="shared" ref="D90:I90" si="20">C94</f>
        <v>59</v>
      </c>
      <c r="E90" s="46">
        <f t="shared" si="20"/>
        <v>59</v>
      </c>
      <c r="F90" s="46">
        <f t="shared" si="20"/>
        <v>59</v>
      </c>
      <c r="G90" s="46">
        <f t="shared" si="20"/>
        <v>59</v>
      </c>
      <c r="H90" s="46">
        <f t="shared" si="20"/>
        <v>59</v>
      </c>
      <c r="I90" s="46">
        <f t="shared" si="20"/>
        <v>59</v>
      </c>
    </row>
    <row r="91" spans="1:9" x14ac:dyDescent="0.15">
      <c r="A91" s="2"/>
      <c r="B91" s="2" t="s">
        <v>330</v>
      </c>
      <c r="C91" s="46"/>
      <c r="D91" s="46">
        <f>0+SUMIFS('Huntsman Debt'!$N$17:$N$30,'Huntsman Debt'!$L$17:$L$30,'Huntsman Debt'!$B$22,'Huntsman Debt'!$M$17:$M$30,2026)</f>
        <v>0</v>
      </c>
      <c r="E91" s="46">
        <f>E92+SUMIFS('Huntsman Debt'!$N$17:$N$30,'Huntsman Debt'!$L$17:$L$30,'Huntsman Debt'!$B$22,'Huntsman Debt'!$M$17:$M$30,2027)</f>
        <v>59</v>
      </c>
      <c r="F91" s="46">
        <f>0+SUMIFS('Huntsman Debt'!$N$17:$N$30,'Huntsman Debt'!$L$17:$L$30,'Huntsman Debt'!$B$22,'Huntsman Debt'!$M$17:$M$30,2028)</f>
        <v>0</v>
      </c>
      <c r="G91" s="46">
        <f>0+SUMIFS('Huntsman Debt'!$N$17:$N$30,'Huntsman Debt'!$L$17:$L$30,'Huntsman Debt'!$B$22,'Huntsman Debt'!$M$17:$M$30,2029)</f>
        <v>0</v>
      </c>
      <c r="H91" s="46">
        <f>0+SUMIFS('Huntsman Debt'!$N$17:$N$30,'Huntsman Debt'!$L$17:$L$30,'Huntsman Debt'!$B$22,'Huntsman Debt'!$M$17:$M$30,2030)</f>
        <v>0</v>
      </c>
      <c r="I91" s="46">
        <f>0+SUMIFS('Huntsman Debt'!$N$17:$N$30,'Huntsman Debt'!$L$17:$L$30,'Huntsman Debt'!$B$22,'Huntsman Debt'!$M$17:$M$30,2031)</f>
        <v>0</v>
      </c>
    </row>
    <row r="92" spans="1:9" x14ac:dyDescent="0.15">
      <c r="A92" s="2"/>
      <c r="B92" s="2" t="s">
        <v>325</v>
      </c>
      <c r="C92" s="46"/>
      <c r="D92" s="46">
        <f>MIN(D90+SUMIFS('Huntsman Debt'!$N$17:$N$30,'Huntsman Debt'!$L$17:$L$30,'Huntsman Debt'!$B$22,'Huntsman Debt'!$M$17:$M$30,2026),0+SUMIFS('Huntsman Debt'!$O$17:$O$30,'Huntsman Debt'!$L$17:$L$30,'Huntsman Debt'!$B$22,'Huntsman Debt'!$M$17:$M$30,2026))</f>
        <v>0</v>
      </c>
      <c r="E92" s="46">
        <f>MIN(E90+SUMIFS('Huntsman Debt'!$N$17:$N$30,'Huntsman Debt'!$L$17:$L$30,'Huntsman Debt'!$B$22,'Huntsman Debt'!$M$17:$M$30,2027),E90+SUMIFS('Huntsman Debt'!$O$17:$O$30,'Huntsman Debt'!$L$17:$L$30,'Huntsman Debt'!$B$22,'Huntsman Debt'!$M$17:$M$30,2027))</f>
        <v>59</v>
      </c>
      <c r="F92" s="46">
        <f>MIN(F90+SUMIFS('Huntsman Debt'!$N$17:$N$30,'Huntsman Debt'!$L$17:$L$30,'Huntsman Debt'!$B$22,'Huntsman Debt'!$M$17:$M$30,2028),0+SUMIFS('Huntsman Debt'!$O$17:$O$30,'Huntsman Debt'!$L$17:$L$30,'Huntsman Debt'!$B$22,'Huntsman Debt'!$M$17:$M$30,2028))</f>
        <v>0</v>
      </c>
      <c r="G92" s="46">
        <f>MIN(G90+SUMIFS('Huntsman Debt'!$N$17:$N$30,'Huntsman Debt'!$L$17:$L$30,'Huntsman Debt'!$B$22,'Huntsman Debt'!$M$17:$M$30,2029),0+SUMIFS('Huntsman Debt'!$O$17:$O$30,'Huntsman Debt'!$L$17:$L$30,'Huntsman Debt'!$B$22,'Huntsman Debt'!$M$17:$M$30,2029))</f>
        <v>0</v>
      </c>
      <c r="H92" s="46">
        <f>MIN(H90+SUMIFS('Huntsman Debt'!$N$17:$N$30,'Huntsman Debt'!$L$17:$L$30,'Huntsman Debt'!$B$22,'Huntsman Debt'!$M$17:$M$30,2030),0+SUMIFS('Huntsman Debt'!$O$17:$O$30,'Huntsman Debt'!$L$17:$L$30,'Huntsman Debt'!$B$22,'Huntsman Debt'!$M$17:$M$30,2030))</f>
        <v>0</v>
      </c>
      <c r="I92" s="46">
        <f>MIN(I90+SUMIFS('Huntsman Debt'!$N$17:$N$30,'Huntsman Debt'!$L$17:$L$30,'Huntsman Debt'!$B$22,'Huntsman Debt'!$M$17:$M$30,2031),0+SUMIFS('Huntsman Debt'!$O$17:$O$30,'Huntsman Debt'!$L$17:$L$30,'Huntsman Debt'!$B$22,'Huntsman Debt'!$M$17:$M$30,2031))</f>
        <v>0</v>
      </c>
    </row>
    <row r="93" spans="1:9" x14ac:dyDescent="0.15">
      <c r="A93" s="2"/>
      <c r="B93" s="2" t="s">
        <v>326</v>
      </c>
      <c r="C93" s="46"/>
      <c r="D93" s="46">
        <f>MIN(MAX(0,D90+D91-D92),SUMIFS('Huntsman Debt'!$P$17:$P$30,'Huntsman Debt'!$L$17:$L$30,'Huntsman Debt'!$B$22,'Huntsman Debt'!$M$17:$M$30,2026))</f>
        <v>0</v>
      </c>
      <c r="E93" s="46">
        <f>MIN(MAX(0,E90+E91-E92),SUMIFS('Huntsman Debt'!$P$17:$P$30,'Huntsman Debt'!$L$17:$L$30,'Huntsman Debt'!$B$22,'Huntsman Debt'!$M$17:$M$30,2027))</f>
        <v>0</v>
      </c>
      <c r="F93" s="46">
        <f>MIN(MAX(0,F90+F91-F92),SUMIFS('Huntsman Debt'!$P$17:$P$30,'Huntsman Debt'!$L$17:$L$30,'Huntsman Debt'!$B$22,'Huntsman Debt'!$M$17:$M$30,2028))</f>
        <v>0</v>
      </c>
      <c r="G93" s="46">
        <f>MIN(MAX(0,G90+G91-G92),SUMIFS('Huntsman Debt'!$P$17:$P$30,'Huntsman Debt'!$L$17:$L$30,'Huntsman Debt'!$B$22,'Huntsman Debt'!$M$17:$M$30,2029))</f>
        <v>0</v>
      </c>
      <c r="H93" s="46">
        <f>MIN(MAX(0,H90+H91-H92),SUMIFS('Huntsman Debt'!$P$17:$P$30,'Huntsman Debt'!$L$17:$L$30,'Huntsman Debt'!$B$22,'Huntsman Debt'!$M$17:$M$30,2030))</f>
        <v>0</v>
      </c>
      <c r="I93" s="46">
        <f>MIN(MAX(0,I90+I91-I92),SUMIFS('Huntsman Debt'!$P$17:$P$30,'Huntsman Debt'!$L$17:$L$30,'Huntsman Debt'!$B$22,'Huntsman Debt'!$M$17:$M$30,2031))</f>
        <v>0</v>
      </c>
    </row>
    <row r="94" spans="1:9" x14ac:dyDescent="0.15">
      <c r="A94" s="2"/>
      <c r="B94" s="2" t="s">
        <v>323</v>
      </c>
      <c r="C94" s="46">
        <f>'Huntsman Debt'!$E$22</f>
        <v>59</v>
      </c>
      <c r="D94" s="46">
        <f t="shared" ref="D94:I94" si="21">D90+D91-D92-D93</f>
        <v>59</v>
      </c>
      <c r="E94" s="46">
        <f t="shared" si="21"/>
        <v>59</v>
      </c>
      <c r="F94" s="46">
        <f t="shared" si="21"/>
        <v>59</v>
      </c>
      <c r="G94" s="46">
        <f t="shared" si="21"/>
        <v>59</v>
      </c>
      <c r="H94" s="46">
        <f t="shared" si="21"/>
        <v>59</v>
      </c>
      <c r="I94" s="46">
        <f t="shared" si="21"/>
        <v>59</v>
      </c>
    </row>
    <row r="95" spans="1:9" x14ac:dyDescent="0.15">
      <c r="A95" s="2"/>
      <c r="B95" s="45" t="s">
        <v>324</v>
      </c>
      <c r="C95" s="46"/>
      <c r="D95" s="46">
        <f>-AVERAGE(D90,D94)*'Huntsman Debt'!$C$22</f>
        <v>-2.1829999999999998</v>
      </c>
      <c r="E95" s="46">
        <f>-AVERAGE(E90,E94)*'Huntsman Debt'!$C$22</f>
        <v>-2.1829999999999998</v>
      </c>
      <c r="F95" s="46">
        <f>-AVERAGE(F90,F94)*'Huntsman Debt'!$C$22</f>
        <v>-2.1829999999999998</v>
      </c>
      <c r="G95" s="46">
        <f>-AVERAGE(G90,G94)*'Huntsman Debt'!$C$22</f>
        <v>-2.1829999999999998</v>
      </c>
      <c r="H95" s="46">
        <f>-AVERAGE(H90,H94)*'Huntsman Debt'!$C$22</f>
        <v>-2.1829999999999998</v>
      </c>
      <c r="I95" s="46">
        <f>-AVERAGE(I90,I94)*'Huntsman Debt'!$C$22</f>
        <v>-2.1829999999999998</v>
      </c>
    </row>
    <row r="96" spans="1:9" x14ac:dyDescent="0.15">
      <c r="A96" s="45"/>
      <c r="B96" s="45"/>
      <c r="C96" s="46"/>
      <c r="D96" s="46"/>
      <c r="E96" s="46"/>
      <c r="F96" s="46"/>
      <c r="G96" s="46"/>
      <c r="H96" s="46"/>
      <c r="I96" s="46"/>
    </row>
    <row r="97" spans="1:9" x14ac:dyDescent="0.15">
      <c r="B97" s="172" t="s">
        <v>340</v>
      </c>
      <c r="C97" s="173"/>
      <c r="D97" s="173"/>
      <c r="E97" s="173"/>
      <c r="F97" s="173"/>
      <c r="G97" s="173"/>
      <c r="H97" s="173"/>
      <c r="I97" s="173"/>
    </row>
    <row r="98" spans="1:9" x14ac:dyDescent="0.15">
      <c r="A98" s="174"/>
      <c r="B98" s="2" t="s">
        <v>322</v>
      </c>
      <c r="C98" s="46"/>
      <c r="D98" s="46">
        <f t="shared" ref="D98:I98" si="22">C102</f>
        <v>28</v>
      </c>
      <c r="E98" s="46">
        <f t="shared" si="22"/>
        <v>28</v>
      </c>
      <c r="F98" s="46">
        <f t="shared" si="22"/>
        <v>28</v>
      </c>
      <c r="G98" s="46">
        <f t="shared" si="22"/>
        <v>28</v>
      </c>
      <c r="H98" s="46">
        <f t="shared" si="22"/>
        <v>28</v>
      </c>
      <c r="I98" s="46">
        <f t="shared" si="22"/>
        <v>28</v>
      </c>
    </row>
    <row r="99" spans="1:9" x14ac:dyDescent="0.15">
      <c r="A99" s="2"/>
      <c r="B99" s="2" t="s">
        <v>330</v>
      </c>
      <c r="C99" s="46"/>
      <c r="D99" s="46">
        <f>0+SUMIFS('Huntsman Debt'!$N$17:$N$30,'Huntsman Debt'!$L$17:$L$30,'Huntsman Debt'!$B$23,'Huntsman Debt'!$M$17:$M$30,2026)</f>
        <v>0</v>
      </c>
      <c r="E99" s="46">
        <f>0+SUMIFS('Huntsman Debt'!$N$17:$N$30,'Huntsman Debt'!$L$17:$L$30,'Huntsman Debt'!$B$23,'Huntsman Debt'!$M$17:$M$30,2027)</f>
        <v>0</v>
      </c>
      <c r="F99" s="46">
        <f>0+SUMIFS('Huntsman Debt'!$N$17:$N$30,'Huntsman Debt'!$L$17:$L$30,'Huntsman Debt'!$B$23,'Huntsman Debt'!$M$17:$M$30,2028)</f>
        <v>0</v>
      </c>
      <c r="G99" s="46">
        <f>0+SUMIFS('Huntsman Debt'!$N$17:$N$30,'Huntsman Debt'!$L$17:$L$30,'Huntsman Debt'!$B$23,'Huntsman Debt'!$M$17:$M$30,2029)</f>
        <v>0</v>
      </c>
      <c r="H99" s="46">
        <f>0+SUMIFS('Huntsman Debt'!$N$17:$N$30,'Huntsman Debt'!$L$17:$L$30,'Huntsman Debt'!$B$23,'Huntsman Debt'!$M$17:$M$30,2030)</f>
        <v>0</v>
      </c>
      <c r="I99" s="46">
        <f>0+SUMIFS('Huntsman Debt'!$N$17:$N$30,'Huntsman Debt'!$L$17:$L$30,'Huntsman Debt'!$B$23,'Huntsman Debt'!$M$17:$M$30,2031)</f>
        <v>0</v>
      </c>
    </row>
    <row r="100" spans="1:9" x14ac:dyDescent="0.15">
      <c r="A100" s="2"/>
      <c r="B100" s="2" t="s">
        <v>325</v>
      </c>
      <c r="C100" s="46"/>
      <c r="D100" s="46">
        <f>MIN(D98+SUMIFS('Huntsman Debt'!$N$17:$N$30,'Huntsman Debt'!$L$17:$L$30,'Huntsman Debt'!$B$23,'Huntsman Debt'!$M$17:$M$30,2026),0+SUMIFS('Huntsman Debt'!$O$17:$O$30,'Huntsman Debt'!$L$17:$L$30,'Huntsman Debt'!$B$23,'Huntsman Debt'!$M$17:$M$30,2026))</f>
        <v>0</v>
      </c>
      <c r="E100" s="46">
        <f>MIN(E98+SUMIFS('Huntsman Debt'!$N$17:$N$30,'Huntsman Debt'!$L$17:$L$30,'Huntsman Debt'!$B$23,'Huntsman Debt'!$M$17:$M$30,2027),0+SUMIFS('Huntsman Debt'!$O$17:$O$30,'Huntsman Debt'!$L$17:$L$30,'Huntsman Debt'!$B$23,'Huntsman Debt'!$M$17:$M$30,2027))</f>
        <v>0</v>
      </c>
      <c r="F100" s="46">
        <f>MIN(F98+SUMIFS('Huntsman Debt'!$N$17:$N$30,'Huntsman Debt'!$L$17:$L$30,'Huntsman Debt'!$B$23,'Huntsman Debt'!$M$17:$M$30,2028),0+SUMIFS('Huntsman Debt'!$O$17:$O$30,'Huntsman Debt'!$L$17:$L$30,'Huntsman Debt'!$B$23,'Huntsman Debt'!$M$17:$M$30,2028))</f>
        <v>0</v>
      </c>
      <c r="G100" s="46">
        <f>MIN(G98+SUMIFS('Huntsman Debt'!$N$17:$N$30,'Huntsman Debt'!$L$17:$L$30,'Huntsman Debt'!$B$23,'Huntsman Debt'!$M$17:$M$30,2029),0+SUMIFS('Huntsman Debt'!$O$17:$O$30,'Huntsman Debt'!$L$17:$L$30,'Huntsman Debt'!$B$23,'Huntsman Debt'!$M$17:$M$30,2029))</f>
        <v>0</v>
      </c>
      <c r="H100" s="46">
        <f>MIN(H98+SUMIFS('Huntsman Debt'!$N$17:$N$30,'Huntsman Debt'!$L$17:$L$30,'Huntsman Debt'!$B$23,'Huntsman Debt'!$M$17:$M$30,2030),0+SUMIFS('Huntsman Debt'!$O$17:$O$30,'Huntsman Debt'!$L$17:$L$30,'Huntsman Debt'!$B$23,'Huntsman Debt'!$M$17:$M$30,2030))</f>
        <v>0</v>
      </c>
      <c r="I100" s="46">
        <f>MIN(I98+SUMIFS('Huntsman Debt'!$N$17:$N$30,'Huntsman Debt'!$L$17:$L$30,'Huntsman Debt'!$B$23,'Huntsman Debt'!$M$17:$M$30,2031),0+SUMIFS('Huntsman Debt'!$O$17:$O$30,'Huntsman Debt'!$L$17:$L$30,'Huntsman Debt'!$B$23,'Huntsman Debt'!$M$17:$M$30,2031))</f>
        <v>0</v>
      </c>
    </row>
    <row r="101" spans="1:9" x14ac:dyDescent="0.15">
      <c r="A101" s="2"/>
      <c r="B101" s="2" t="s">
        <v>326</v>
      </c>
      <c r="C101" s="46"/>
      <c r="D101" s="46">
        <f>MIN(MAX(0,D98+D99-D100),SUMIFS('Huntsman Debt'!$P$17:$P$30,'Huntsman Debt'!$L$17:$L$30,'Huntsman Debt'!$B$23,'Huntsman Debt'!$M$17:$M$30,2026))</f>
        <v>0</v>
      </c>
      <c r="E101" s="46">
        <f>MIN(MAX(0,E98+E99-E100),SUMIFS('Huntsman Debt'!$P$17:$P$30,'Huntsman Debt'!$L$17:$L$30,'Huntsman Debt'!$B$23,'Huntsman Debt'!$M$17:$M$30,2027))</f>
        <v>0</v>
      </c>
      <c r="F101" s="46">
        <f>MIN(MAX(0,F98+F99-F100),SUMIFS('Huntsman Debt'!$P$17:$P$30,'Huntsman Debt'!$L$17:$L$30,'Huntsman Debt'!$B$23,'Huntsman Debt'!$M$17:$M$30,2028))</f>
        <v>0</v>
      </c>
      <c r="G101" s="46">
        <f>MIN(MAX(0,G98+G99-G100),SUMIFS('Huntsman Debt'!$P$17:$P$30,'Huntsman Debt'!$L$17:$L$30,'Huntsman Debt'!$B$23,'Huntsman Debt'!$M$17:$M$30,2029))</f>
        <v>0</v>
      </c>
      <c r="H101" s="46">
        <f>MIN(MAX(0,H98+H99-H100),SUMIFS('Huntsman Debt'!$P$17:$P$30,'Huntsman Debt'!$L$17:$L$30,'Huntsman Debt'!$B$23,'Huntsman Debt'!$M$17:$M$30,2030))</f>
        <v>0</v>
      </c>
      <c r="I101" s="46">
        <f>MIN(MAX(0,I98+I99-I100),SUMIFS('Huntsman Debt'!$P$17:$P$30,'Huntsman Debt'!$L$17:$L$30,'Huntsman Debt'!$B$23,'Huntsman Debt'!$M$17:$M$30,2031))</f>
        <v>0</v>
      </c>
    </row>
    <row r="102" spans="1:9" x14ac:dyDescent="0.15">
      <c r="A102" s="2"/>
      <c r="B102" s="2" t="s">
        <v>323</v>
      </c>
      <c r="C102" s="46">
        <f>'Huntsman Debt'!$E$23</f>
        <v>28</v>
      </c>
      <c r="D102" s="46">
        <f t="shared" ref="D102:I102" si="23">D98+D99-D100-D101</f>
        <v>28</v>
      </c>
      <c r="E102" s="46">
        <f t="shared" si="23"/>
        <v>28</v>
      </c>
      <c r="F102" s="46">
        <f t="shared" si="23"/>
        <v>28</v>
      </c>
      <c r="G102" s="46">
        <f t="shared" si="23"/>
        <v>28</v>
      </c>
      <c r="H102" s="46">
        <f t="shared" si="23"/>
        <v>28</v>
      </c>
      <c r="I102" s="46">
        <f t="shared" si="23"/>
        <v>28</v>
      </c>
    </row>
    <row r="103" spans="1:9" x14ac:dyDescent="0.15">
      <c r="A103" s="2"/>
      <c r="B103" s="45" t="s">
        <v>324</v>
      </c>
      <c r="C103" s="46"/>
      <c r="D103" s="46">
        <f>-AVERAGE(D98,D102)*'Huntsman Debt'!$C$23</f>
        <v>-1.4000000000000001</v>
      </c>
      <c r="E103" s="46">
        <f>-AVERAGE(E98,E102)*'Huntsman Debt'!$C$23</f>
        <v>-1.4000000000000001</v>
      </c>
      <c r="F103" s="46">
        <f>-AVERAGE(F98,F102)*'Huntsman Debt'!$C$23</f>
        <v>-1.4000000000000001</v>
      </c>
      <c r="G103" s="46">
        <f>-AVERAGE(G98,G102)*'Huntsman Debt'!$C$23</f>
        <v>-1.4000000000000001</v>
      </c>
      <c r="H103" s="46">
        <f>-AVERAGE(H98,H102)*'Huntsman Debt'!$C$23</f>
        <v>-1.4000000000000001</v>
      </c>
      <c r="I103" s="46">
        <f>-AVERAGE(I98,I102)*'Huntsman Debt'!$C$23</f>
        <v>-1.4000000000000001</v>
      </c>
    </row>
    <row r="104" spans="1:9" x14ac:dyDescent="0.15">
      <c r="A104" s="45"/>
      <c r="B104" s="45"/>
      <c r="C104" s="46"/>
      <c r="D104" s="46"/>
      <c r="E104" s="46"/>
      <c r="F104" s="46"/>
      <c r="G104" s="46"/>
      <c r="H104" s="46"/>
      <c r="I104" s="46"/>
    </row>
    <row r="105" spans="1:9" x14ac:dyDescent="0.15">
      <c r="B105" s="45"/>
      <c r="C105" s="46"/>
      <c r="D105" s="46"/>
      <c r="E105" s="46"/>
      <c r="F105" s="46"/>
      <c r="G105" s="46"/>
      <c r="H105" s="46"/>
      <c r="I105" s="46"/>
    </row>
    <row r="106" spans="1:9" x14ac:dyDescent="0.15">
      <c r="B106" s="45"/>
      <c r="C106" s="46"/>
      <c r="D106" s="46"/>
      <c r="E106" s="46"/>
      <c r="F106" s="46"/>
      <c r="G106" s="46"/>
      <c r="H106" s="46"/>
      <c r="I106" s="46"/>
    </row>
  </sheetData>
  <mergeCells count="4">
    <mergeCell ref="D33:I33"/>
    <mergeCell ref="B32:I32"/>
    <mergeCell ref="L15:P15"/>
    <mergeCell ref="B15:F1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80F6F-E1F1-1B49-B52E-86B2A056347F}">
  <sheetPr codeName="Sheet5"/>
  <dimension ref="A1:M164"/>
  <sheetViews>
    <sheetView topLeftCell="A110" workbookViewId="0">
      <selection activeCell="A146" sqref="A146"/>
    </sheetView>
  </sheetViews>
  <sheetFormatPr baseColWidth="10" defaultRowHeight="13" x14ac:dyDescent="0.15"/>
  <cols>
    <col min="1" max="1" width="41.83203125" bestFit="1" customWidth="1"/>
    <col min="2" max="11" width="8.1640625" bestFit="1" customWidth="1"/>
  </cols>
  <sheetData>
    <row r="1" spans="1:13" x14ac:dyDescent="0.15">
      <c r="A1" t="s">
        <v>227</v>
      </c>
      <c r="M1" t="str">
        <f>TRIM(A1)</f>
        <v>Olin Corp (OLN)</v>
      </c>
    </row>
    <row r="2" spans="1:13" x14ac:dyDescent="0.15">
      <c r="A2" t="s">
        <v>82</v>
      </c>
      <c r="M2" t="str">
        <f t="shared" ref="M2:M65" si="0">TRIM(A2)</f>
        <v>Income Statement - Annual (As Originally Reported)</v>
      </c>
    </row>
    <row r="3" spans="1:13" x14ac:dyDescent="0.15">
      <c r="A3" t="s">
        <v>86</v>
      </c>
      <c r="B3" s="1">
        <v>42735</v>
      </c>
      <c r="C3" s="1">
        <v>43100</v>
      </c>
      <c r="D3" s="1">
        <v>43465</v>
      </c>
      <c r="E3" s="1">
        <v>43830</v>
      </c>
      <c r="F3" s="1">
        <v>44196</v>
      </c>
      <c r="G3" s="1">
        <v>44561</v>
      </c>
      <c r="H3" s="1">
        <v>44926</v>
      </c>
      <c r="I3" s="1">
        <v>45291</v>
      </c>
      <c r="J3" s="1">
        <v>45657</v>
      </c>
      <c r="K3" s="1">
        <v>46022</v>
      </c>
      <c r="M3" t="str">
        <f t="shared" si="0"/>
        <v>FYE December</v>
      </c>
    </row>
    <row r="4" spans="1:13" x14ac:dyDescent="0.15">
      <c r="A4" t="s">
        <v>87</v>
      </c>
      <c r="B4" t="s">
        <v>88</v>
      </c>
      <c r="C4" t="s">
        <v>88</v>
      </c>
      <c r="D4" t="s">
        <v>88</v>
      </c>
      <c r="E4" t="s">
        <v>88</v>
      </c>
      <c r="F4" t="s">
        <v>88</v>
      </c>
      <c r="G4" t="s">
        <v>88</v>
      </c>
      <c r="H4" t="s">
        <v>88</v>
      </c>
      <c r="I4" t="s">
        <v>88</v>
      </c>
      <c r="J4" t="s">
        <v>88</v>
      </c>
      <c r="K4" t="s">
        <v>88</v>
      </c>
      <c r="M4" t="str">
        <f t="shared" si="0"/>
        <v>Currency</v>
      </c>
    </row>
    <row r="5" spans="1:13" x14ac:dyDescent="0.15">
      <c r="A5" t="s">
        <v>89</v>
      </c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H5" t="s">
        <v>90</v>
      </c>
      <c r="I5" t="s">
        <v>90</v>
      </c>
      <c r="J5" t="s">
        <v>90</v>
      </c>
      <c r="K5" t="s">
        <v>90</v>
      </c>
      <c r="M5" t="str">
        <f t="shared" si="0"/>
        <v>Scale</v>
      </c>
    </row>
    <row r="6" spans="1:13" x14ac:dyDescent="0.15">
      <c r="A6" t="s">
        <v>91</v>
      </c>
      <c r="B6">
        <v>5550.6</v>
      </c>
      <c r="C6">
        <v>6268.4</v>
      </c>
      <c r="D6">
        <v>6946.1</v>
      </c>
      <c r="E6">
        <v>6110</v>
      </c>
      <c r="F6">
        <v>5758</v>
      </c>
      <c r="G6">
        <v>8910.6</v>
      </c>
      <c r="H6">
        <v>9376.2000000000007</v>
      </c>
      <c r="I6">
        <v>6833</v>
      </c>
      <c r="J6">
        <v>6540.1</v>
      </c>
      <c r="K6">
        <v>6780.8</v>
      </c>
      <c r="M6" t="str">
        <f t="shared" si="0"/>
        <v>Total Revenue</v>
      </c>
    </row>
    <row r="7" spans="1:13" x14ac:dyDescent="0.15">
      <c r="A7" t="s">
        <v>92</v>
      </c>
      <c r="B7">
        <v>4923.3</v>
      </c>
      <c r="C7">
        <v>5539.6</v>
      </c>
      <c r="D7">
        <v>5933.1</v>
      </c>
      <c r="E7">
        <v>5444</v>
      </c>
      <c r="F7">
        <v>5374.6</v>
      </c>
      <c r="G7">
        <v>6618.6</v>
      </c>
      <c r="H7">
        <v>7195.3</v>
      </c>
      <c r="I7">
        <v>5643.8</v>
      </c>
      <c r="J7">
        <v>5772.4</v>
      </c>
      <c r="K7">
        <v>6254.8</v>
      </c>
      <c r="M7" t="str">
        <f t="shared" si="0"/>
        <v>Cost of Revenue, Total</v>
      </c>
    </row>
    <row r="8" spans="1:13" x14ac:dyDescent="0.15">
      <c r="A8" t="s">
        <v>93</v>
      </c>
      <c r="B8">
        <v>627.29999999999995</v>
      </c>
      <c r="C8">
        <v>728.8</v>
      </c>
      <c r="D8">
        <v>1013</v>
      </c>
      <c r="E8">
        <v>666</v>
      </c>
      <c r="F8">
        <v>383.4</v>
      </c>
      <c r="G8">
        <v>2292</v>
      </c>
      <c r="H8">
        <v>2180.9</v>
      </c>
      <c r="I8">
        <v>1189.2</v>
      </c>
      <c r="J8">
        <v>767.7</v>
      </c>
      <c r="K8">
        <v>526</v>
      </c>
      <c r="M8" t="str">
        <f t="shared" si="0"/>
        <v>Gross Profit</v>
      </c>
    </row>
    <row r="9" spans="1:13" x14ac:dyDescent="0.15">
      <c r="A9" t="s">
        <v>94</v>
      </c>
      <c r="B9">
        <v>312.10000000000002</v>
      </c>
      <c r="C9">
        <v>352.5</v>
      </c>
      <c r="D9">
        <v>425.2</v>
      </c>
      <c r="E9">
        <v>412.9</v>
      </c>
      <c r="F9">
        <v>422</v>
      </c>
      <c r="G9">
        <v>416.9</v>
      </c>
      <c r="H9">
        <v>375.6</v>
      </c>
      <c r="I9">
        <v>386.7</v>
      </c>
      <c r="J9">
        <v>390.1</v>
      </c>
      <c r="K9">
        <v>444</v>
      </c>
      <c r="M9" t="str">
        <f t="shared" si="0"/>
        <v>Selling/General/Admin. Expenses, Total</v>
      </c>
    </row>
    <row r="10" spans="1:13" x14ac:dyDescent="0.15">
      <c r="A10" t="s">
        <v>95</v>
      </c>
      <c r="H10">
        <v>18.3</v>
      </c>
      <c r="I10">
        <v>20</v>
      </c>
      <c r="J10">
        <v>18.399999999999999</v>
      </c>
      <c r="K10">
        <v>19.3</v>
      </c>
      <c r="M10" t="str">
        <f t="shared" si="0"/>
        <v>Research &amp; Development</v>
      </c>
    </row>
    <row r="11" spans="1:13" x14ac:dyDescent="0.15">
      <c r="A11" t="s">
        <v>96</v>
      </c>
      <c r="M11" t="str">
        <f t="shared" si="0"/>
        <v>Depreciation/Amortization</v>
      </c>
    </row>
    <row r="12" spans="1:13" x14ac:dyDescent="0.15">
      <c r="A12" t="s">
        <v>97</v>
      </c>
      <c r="B12">
        <v>11.5</v>
      </c>
      <c r="C12">
        <v>-1.8</v>
      </c>
      <c r="D12">
        <v>5.4</v>
      </c>
      <c r="E12">
        <v>4</v>
      </c>
      <c r="M12" t="str">
        <f t="shared" si="0"/>
        <v>Interest Exp.(Inc.), Net-Operating, Total</v>
      </c>
    </row>
    <row r="13" spans="1:13" x14ac:dyDescent="0.15">
      <c r="A13" t="s">
        <v>98</v>
      </c>
      <c r="B13">
        <v>161.69999999999999</v>
      </c>
      <c r="C13">
        <v>50.4</v>
      </c>
      <c r="D13">
        <v>-88.1</v>
      </c>
      <c r="E13">
        <v>71.7</v>
      </c>
      <c r="F13">
        <v>708</v>
      </c>
      <c r="G13">
        <v>24.3</v>
      </c>
      <c r="H13">
        <v>11.3</v>
      </c>
      <c r="I13">
        <v>70.7</v>
      </c>
      <c r="J13">
        <v>63.5</v>
      </c>
      <c r="K13">
        <v>57.9</v>
      </c>
      <c r="M13" t="str">
        <f t="shared" si="0"/>
        <v>Unusual Expense (Income)</v>
      </c>
    </row>
    <row r="14" spans="1:13" x14ac:dyDescent="0.15">
      <c r="A14" t="s">
        <v>99</v>
      </c>
      <c r="B14">
        <v>-10.6</v>
      </c>
      <c r="C14">
        <v>-3.3</v>
      </c>
      <c r="D14">
        <v>-6.4</v>
      </c>
      <c r="E14">
        <v>-0.4</v>
      </c>
      <c r="F14">
        <v>0.1</v>
      </c>
      <c r="H14">
        <v>-3.3</v>
      </c>
      <c r="I14">
        <v>-0.3</v>
      </c>
      <c r="J14">
        <v>-0.8</v>
      </c>
      <c r="K14">
        <v>-0.5</v>
      </c>
      <c r="M14" t="str">
        <f t="shared" si="0"/>
        <v>Other Operating Expenses, Total</v>
      </c>
    </row>
    <row r="15" spans="1:13" x14ac:dyDescent="0.15">
      <c r="A15" t="s">
        <v>100</v>
      </c>
      <c r="B15">
        <v>5398</v>
      </c>
      <c r="C15">
        <v>5937.4</v>
      </c>
      <c r="D15">
        <v>6269.2</v>
      </c>
      <c r="E15">
        <v>5932.2</v>
      </c>
      <c r="F15">
        <v>6504.7</v>
      </c>
      <c r="G15">
        <v>7059.8</v>
      </c>
      <c r="H15">
        <v>7597.2</v>
      </c>
      <c r="I15">
        <v>6120.9</v>
      </c>
      <c r="J15">
        <v>6243.6</v>
      </c>
      <c r="K15">
        <v>6775.5</v>
      </c>
      <c r="M15" t="str">
        <f t="shared" si="0"/>
        <v>Total Operating Expense</v>
      </c>
    </row>
    <row r="16" spans="1:13" x14ac:dyDescent="0.15">
      <c r="A16" t="s">
        <v>101</v>
      </c>
      <c r="B16">
        <v>152.6</v>
      </c>
      <c r="C16">
        <v>331</v>
      </c>
      <c r="D16">
        <v>676.9</v>
      </c>
      <c r="E16">
        <v>177.8</v>
      </c>
      <c r="F16">
        <v>-746.7</v>
      </c>
      <c r="G16">
        <v>1850.8</v>
      </c>
      <c r="H16">
        <v>1779</v>
      </c>
      <c r="I16">
        <v>712.1</v>
      </c>
      <c r="J16">
        <v>296.5</v>
      </c>
      <c r="K16">
        <v>5.3</v>
      </c>
      <c r="M16" t="str">
        <f t="shared" si="0"/>
        <v>Operating Income</v>
      </c>
    </row>
    <row r="17" spans="1:13" x14ac:dyDescent="0.15">
      <c r="A17" t="s">
        <v>102</v>
      </c>
      <c r="B17">
        <v>-186.8</v>
      </c>
      <c r="C17">
        <v>-213.8</v>
      </c>
      <c r="D17">
        <v>-261.3</v>
      </c>
      <c r="E17">
        <v>-242.2</v>
      </c>
      <c r="F17">
        <v>-288.2</v>
      </c>
      <c r="G17">
        <v>-347.8</v>
      </c>
      <c r="H17">
        <v>-141.69999999999999</v>
      </c>
      <c r="I17">
        <v>-176.8</v>
      </c>
      <c r="J17">
        <v>-180.8</v>
      </c>
      <c r="K17">
        <v>-187</v>
      </c>
      <c r="M17" t="str">
        <f t="shared" si="0"/>
        <v>Interest Inc.(Exp.),Net-Non-Op., Total</v>
      </c>
    </row>
    <row r="18" spans="1:13" x14ac:dyDescent="0.15">
      <c r="A18" t="s">
        <v>103</v>
      </c>
      <c r="M18" t="str">
        <f t="shared" si="0"/>
        <v>Gain (Loss) on Sale of Assets</v>
      </c>
    </row>
    <row r="19" spans="1:13" x14ac:dyDescent="0.15">
      <c r="A19" t="s">
        <v>104</v>
      </c>
      <c r="D19">
        <v>21.7</v>
      </c>
      <c r="E19">
        <v>27.5</v>
      </c>
      <c r="F19">
        <v>14.9</v>
      </c>
      <c r="G19">
        <v>35.700000000000003</v>
      </c>
      <c r="H19">
        <v>38.700000000000003</v>
      </c>
      <c r="I19">
        <v>24</v>
      </c>
      <c r="J19">
        <v>26</v>
      </c>
      <c r="K19">
        <v>20.6</v>
      </c>
      <c r="M19" t="str">
        <f t="shared" si="0"/>
        <v>Other, Net</v>
      </c>
    </row>
    <row r="20" spans="1:13" x14ac:dyDescent="0.15">
      <c r="A20" t="s">
        <v>105</v>
      </c>
      <c r="B20">
        <v>-34.200000000000003</v>
      </c>
      <c r="C20">
        <v>117.2</v>
      </c>
      <c r="D20">
        <v>437.3</v>
      </c>
      <c r="E20">
        <v>-36.9</v>
      </c>
      <c r="F20">
        <v>-1020</v>
      </c>
      <c r="G20">
        <v>1538.7</v>
      </c>
      <c r="H20">
        <v>1676</v>
      </c>
      <c r="I20">
        <v>559.29999999999995</v>
      </c>
      <c r="J20">
        <v>141.69999999999999</v>
      </c>
      <c r="K20">
        <v>-161.1</v>
      </c>
      <c r="M20" t="str">
        <f t="shared" si="0"/>
        <v>Net Income Before Taxes</v>
      </c>
    </row>
    <row r="21" spans="1:13" x14ac:dyDescent="0.15">
      <c r="A21" t="s">
        <v>106</v>
      </c>
      <c r="B21">
        <v>-30.3</v>
      </c>
      <c r="C21">
        <v>5.6</v>
      </c>
      <c r="D21">
        <v>109.3</v>
      </c>
      <c r="E21">
        <v>-25.6</v>
      </c>
      <c r="F21">
        <v>-50.1</v>
      </c>
      <c r="G21">
        <v>242</v>
      </c>
      <c r="H21">
        <v>349.1</v>
      </c>
      <c r="I21">
        <v>107.3</v>
      </c>
      <c r="J21">
        <v>36.700000000000003</v>
      </c>
      <c r="K21">
        <v>-60</v>
      </c>
      <c r="M21" t="str">
        <f t="shared" si="0"/>
        <v>Provision for Income Taxes</v>
      </c>
    </row>
    <row r="22" spans="1:13" x14ac:dyDescent="0.15">
      <c r="A22" t="s">
        <v>107</v>
      </c>
      <c r="B22">
        <v>-3.9</v>
      </c>
      <c r="C22">
        <v>549.5</v>
      </c>
      <c r="D22">
        <v>327.9</v>
      </c>
      <c r="E22">
        <v>-11.3</v>
      </c>
      <c r="F22">
        <v>-969.9</v>
      </c>
      <c r="G22">
        <v>1296.7</v>
      </c>
      <c r="H22">
        <v>1326.9</v>
      </c>
      <c r="I22">
        <v>460.2</v>
      </c>
      <c r="J22">
        <v>108.6</v>
      </c>
      <c r="K22">
        <v>-100.5</v>
      </c>
      <c r="M22" t="str">
        <f t="shared" si="0"/>
        <v>Net Income</v>
      </c>
    </row>
    <row r="23" spans="1:13" x14ac:dyDescent="0.15">
      <c r="A23" t="s">
        <v>108</v>
      </c>
      <c r="M23" t="str">
        <f t="shared" si="0"/>
        <v>Preferred Dividends</v>
      </c>
    </row>
    <row r="24" spans="1:13" x14ac:dyDescent="0.15">
      <c r="A24" t="s">
        <v>109</v>
      </c>
      <c r="B24">
        <v>-0.02</v>
      </c>
      <c r="C24">
        <v>0.67</v>
      </c>
      <c r="D24">
        <v>1.97</v>
      </c>
      <c r="E24">
        <v>-7.0000000000000007E-2</v>
      </c>
      <c r="F24">
        <v>-6.14</v>
      </c>
      <c r="G24">
        <v>8.15</v>
      </c>
      <c r="H24">
        <v>9.16</v>
      </c>
      <c r="I24">
        <v>3.66</v>
      </c>
      <c r="J24">
        <v>0.92</v>
      </c>
      <c r="K24">
        <v>-0.88</v>
      </c>
      <c r="M24" t="str">
        <f t="shared" si="0"/>
        <v>Basic EPS Excluding Extraordinary Items</v>
      </c>
    </row>
    <row r="25" spans="1:13" x14ac:dyDescent="0.15">
      <c r="A25" t="s">
        <v>110</v>
      </c>
      <c r="B25">
        <v>-0.02</v>
      </c>
      <c r="C25">
        <v>3.31</v>
      </c>
      <c r="D25">
        <v>1.97</v>
      </c>
      <c r="E25">
        <v>-7.0000000000000007E-2</v>
      </c>
      <c r="F25">
        <v>-6.14</v>
      </c>
      <c r="G25">
        <v>8.15</v>
      </c>
      <c r="H25">
        <v>9.16</v>
      </c>
      <c r="I25">
        <v>3.66</v>
      </c>
      <c r="J25">
        <v>0.92</v>
      </c>
      <c r="K25">
        <v>-0.88</v>
      </c>
      <c r="M25" t="str">
        <f t="shared" si="0"/>
        <v>Basic EPS Including Extraordinary Items</v>
      </c>
    </row>
    <row r="26" spans="1:13" x14ac:dyDescent="0.15">
      <c r="A26" t="s">
        <v>111</v>
      </c>
      <c r="B26">
        <v>0.61</v>
      </c>
      <c r="C26">
        <v>0.96</v>
      </c>
      <c r="D26">
        <v>1.57</v>
      </c>
      <c r="E26">
        <v>0.22</v>
      </c>
      <c r="F26">
        <v>-2.92</v>
      </c>
      <c r="G26">
        <v>8.2799999999999994</v>
      </c>
      <c r="H26">
        <v>9.2200000000000006</v>
      </c>
      <c r="I26">
        <v>4.1100000000000003</v>
      </c>
      <c r="J26">
        <v>1.32</v>
      </c>
      <c r="K26">
        <v>-0.55000000000000004</v>
      </c>
      <c r="M26" t="str">
        <f t="shared" si="0"/>
        <v>Normalized Basic EPS</v>
      </c>
    </row>
    <row r="27" spans="1:13" x14ac:dyDescent="0.15">
      <c r="A27" t="s">
        <v>112</v>
      </c>
      <c r="B27">
        <v>165</v>
      </c>
      <c r="C27">
        <v>166</v>
      </c>
      <c r="D27">
        <v>167</v>
      </c>
      <c r="E27">
        <v>162</v>
      </c>
      <c r="F27">
        <v>158</v>
      </c>
      <c r="G27">
        <v>159</v>
      </c>
      <c r="H27">
        <v>145</v>
      </c>
      <c r="I27">
        <v>126</v>
      </c>
      <c r="J27">
        <v>118</v>
      </c>
      <c r="K27">
        <v>115</v>
      </c>
      <c r="M27" t="str">
        <f t="shared" si="0"/>
        <v>Basic Weighted Average Shares</v>
      </c>
    </row>
    <row r="28" spans="1:13" x14ac:dyDescent="0.15">
      <c r="A28" t="s">
        <v>113</v>
      </c>
      <c r="B28">
        <v>-0.02</v>
      </c>
      <c r="C28">
        <v>0.66</v>
      </c>
      <c r="D28">
        <v>1.95</v>
      </c>
      <c r="E28">
        <v>-7.0000000000000007E-2</v>
      </c>
      <c r="F28">
        <v>-6.14</v>
      </c>
      <c r="G28">
        <v>7.96</v>
      </c>
      <c r="H28">
        <v>8.94</v>
      </c>
      <c r="I28">
        <v>3.57</v>
      </c>
      <c r="J28">
        <v>0.91</v>
      </c>
      <c r="K28">
        <v>-0.88</v>
      </c>
      <c r="M28" t="str">
        <f t="shared" si="0"/>
        <v>Diluted EPS Excluding ExtraOrd Items</v>
      </c>
    </row>
    <row r="29" spans="1:13" x14ac:dyDescent="0.15">
      <c r="A29" t="s">
        <v>114</v>
      </c>
      <c r="B29">
        <v>-0.02</v>
      </c>
      <c r="C29">
        <v>3.26</v>
      </c>
      <c r="D29">
        <v>1.95</v>
      </c>
      <c r="E29">
        <v>-7.0000000000000007E-2</v>
      </c>
      <c r="F29">
        <v>-6.14</v>
      </c>
      <c r="G29">
        <v>7.96</v>
      </c>
      <c r="H29">
        <v>8.94</v>
      </c>
      <c r="I29">
        <v>3.57</v>
      </c>
      <c r="J29">
        <v>0.91</v>
      </c>
      <c r="K29">
        <v>-0.88</v>
      </c>
      <c r="M29" t="str">
        <f t="shared" si="0"/>
        <v>Diluted EPS Including ExtraOrd Items</v>
      </c>
    </row>
    <row r="30" spans="1:13" x14ac:dyDescent="0.15">
      <c r="A30" t="s">
        <v>115</v>
      </c>
      <c r="B30">
        <v>0.61</v>
      </c>
      <c r="C30">
        <v>0.95</v>
      </c>
      <c r="D30">
        <v>1.56</v>
      </c>
      <c r="E30">
        <v>0.22</v>
      </c>
      <c r="F30">
        <v>-2.92</v>
      </c>
      <c r="G30">
        <v>8.08</v>
      </c>
      <c r="H30">
        <v>9</v>
      </c>
      <c r="I30">
        <v>4.0199999999999996</v>
      </c>
      <c r="J30">
        <v>1.3</v>
      </c>
      <c r="K30">
        <v>-0.55000000000000004</v>
      </c>
      <c r="M30" t="str">
        <f t="shared" si="0"/>
        <v>Normalized Diluted EPS</v>
      </c>
    </row>
    <row r="31" spans="1:13" x14ac:dyDescent="0.15">
      <c r="A31" t="s">
        <v>116</v>
      </c>
      <c r="B31">
        <v>165</v>
      </c>
      <c r="C31">
        <v>168</v>
      </c>
      <c r="D31">
        <v>168</v>
      </c>
      <c r="E31">
        <v>162</v>
      </c>
      <c r="F31">
        <v>158</v>
      </c>
      <c r="G31">
        <v>163</v>
      </c>
      <c r="H31">
        <v>148</v>
      </c>
      <c r="I31">
        <v>129</v>
      </c>
      <c r="J31">
        <v>120</v>
      </c>
      <c r="K31">
        <v>115</v>
      </c>
      <c r="M31" t="str">
        <f t="shared" si="0"/>
        <v>Diluted Weighted Average Shares</v>
      </c>
    </row>
    <row r="32" spans="1:13" x14ac:dyDescent="0.15">
      <c r="A32" t="s">
        <v>117</v>
      </c>
      <c r="B32">
        <v>0.8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0.8</v>
      </c>
      <c r="K32">
        <v>0.8</v>
      </c>
      <c r="M32" t="str">
        <f t="shared" si="0"/>
        <v>Dividends Per Share</v>
      </c>
    </row>
    <row r="33" spans="1:13" x14ac:dyDescent="0.15">
      <c r="A33" t="s">
        <v>118</v>
      </c>
      <c r="B33">
        <v>6400</v>
      </c>
      <c r="C33">
        <v>6400</v>
      </c>
      <c r="D33">
        <v>6500</v>
      </c>
      <c r="E33">
        <v>6500</v>
      </c>
      <c r="F33">
        <v>8000</v>
      </c>
      <c r="G33">
        <v>7750</v>
      </c>
      <c r="H33">
        <v>7780</v>
      </c>
      <c r="I33">
        <v>7326</v>
      </c>
      <c r="J33">
        <v>7676</v>
      </c>
      <c r="K33">
        <v>7849</v>
      </c>
      <c r="M33" t="str">
        <f t="shared" si="0"/>
        <v>Number of Employees</v>
      </c>
    </row>
    <row r="34" spans="1:13" x14ac:dyDescent="0.15">
      <c r="M34" t="str">
        <f t="shared" si="0"/>
        <v/>
      </c>
    </row>
    <row r="35" spans="1:13" x14ac:dyDescent="0.15">
      <c r="M35" t="str">
        <f t="shared" si="0"/>
        <v/>
      </c>
    </row>
    <row r="36" spans="1:13" x14ac:dyDescent="0.15">
      <c r="A36" t="s">
        <v>227</v>
      </c>
      <c r="M36" t="str">
        <f t="shared" si="0"/>
        <v>Olin Corp (OLN)</v>
      </c>
    </row>
    <row r="37" spans="1:13" x14ac:dyDescent="0.15">
      <c r="A37" t="s">
        <v>83</v>
      </c>
      <c r="M37" t="str">
        <f t="shared" si="0"/>
        <v>Balance Sheet - Annual (As Originally Reported)</v>
      </c>
    </row>
    <row r="38" spans="1:13" x14ac:dyDescent="0.15">
      <c r="A38" t="s">
        <v>86</v>
      </c>
      <c r="B38" s="1">
        <v>42735</v>
      </c>
      <c r="C38" s="1">
        <v>43100</v>
      </c>
      <c r="D38" s="1">
        <v>43465</v>
      </c>
      <c r="E38" s="1">
        <v>43830</v>
      </c>
      <c r="F38" s="1">
        <v>44196</v>
      </c>
      <c r="G38" s="1">
        <v>44561</v>
      </c>
      <c r="H38" s="1">
        <v>44926</v>
      </c>
      <c r="I38" s="1">
        <v>45291</v>
      </c>
      <c r="J38" s="1">
        <v>45657</v>
      </c>
      <c r="K38" s="1">
        <v>46022</v>
      </c>
      <c r="M38" t="str">
        <f t="shared" si="0"/>
        <v>FYE December</v>
      </c>
    </row>
    <row r="39" spans="1:13" x14ac:dyDescent="0.15">
      <c r="A39" t="s">
        <v>87</v>
      </c>
      <c r="B39" t="s">
        <v>88</v>
      </c>
      <c r="C39" t="s">
        <v>88</v>
      </c>
      <c r="D39" t="s">
        <v>88</v>
      </c>
      <c r="E39" t="s">
        <v>88</v>
      </c>
      <c r="F39" t="s">
        <v>88</v>
      </c>
      <c r="G39" t="s">
        <v>88</v>
      </c>
      <c r="H39" t="s">
        <v>88</v>
      </c>
      <c r="I39" t="s">
        <v>88</v>
      </c>
      <c r="J39" t="s">
        <v>88</v>
      </c>
      <c r="K39" t="s">
        <v>88</v>
      </c>
      <c r="M39" t="str">
        <f t="shared" si="0"/>
        <v>Currency</v>
      </c>
    </row>
    <row r="40" spans="1:13" x14ac:dyDescent="0.15">
      <c r="A40" t="s">
        <v>89</v>
      </c>
      <c r="B40" t="s">
        <v>90</v>
      </c>
      <c r="C40" t="s">
        <v>90</v>
      </c>
      <c r="D40" t="s">
        <v>90</v>
      </c>
      <c r="E40" t="s">
        <v>90</v>
      </c>
      <c r="F40" t="s">
        <v>90</v>
      </c>
      <c r="G40" t="s">
        <v>90</v>
      </c>
      <c r="H40" t="s">
        <v>90</v>
      </c>
      <c r="I40" t="s">
        <v>90</v>
      </c>
      <c r="J40" t="s">
        <v>90</v>
      </c>
      <c r="K40" t="s">
        <v>90</v>
      </c>
      <c r="M40" t="str">
        <f t="shared" si="0"/>
        <v>Scale</v>
      </c>
    </row>
    <row r="41" spans="1:13" x14ac:dyDescent="0.15">
      <c r="A41" t="s">
        <v>119</v>
      </c>
      <c r="B41">
        <v>184.5</v>
      </c>
      <c r="C41">
        <v>218.4</v>
      </c>
      <c r="D41">
        <v>178.8</v>
      </c>
      <c r="E41">
        <v>220.9</v>
      </c>
      <c r="F41">
        <v>189.7</v>
      </c>
      <c r="G41">
        <v>180.5</v>
      </c>
      <c r="H41">
        <v>194</v>
      </c>
      <c r="I41">
        <v>170.3</v>
      </c>
      <c r="J41">
        <v>175.6</v>
      </c>
      <c r="K41">
        <v>167.6</v>
      </c>
      <c r="M41" t="str">
        <f t="shared" si="0"/>
        <v>Cash &amp; Equivalents</v>
      </c>
    </row>
    <row r="42" spans="1:13" x14ac:dyDescent="0.15">
      <c r="A42" t="s">
        <v>120</v>
      </c>
      <c r="B42">
        <v>184.5</v>
      </c>
      <c r="C42">
        <v>218.4</v>
      </c>
      <c r="D42">
        <v>178.8</v>
      </c>
      <c r="E42">
        <v>220.9</v>
      </c>
      <c r="F42">
        <v>189.7</v>
      </c>
      <c r="G42">
        <v>180.5</v>
      </c>
      <c r="H42">
        <v>194</v>
      </c>
      <c r="I42">
        <v>170.3</v>
      </c>
      <c r="J42">
        <v>175.6</v>
      </c>
      <c r="K42">
        <v>167.6</v>
      </c>
      <c r="M42" t="str">
        <f t="shared" si="0"/>
        <v>Cash, Cash Equiv. &amp; Short Term Inv.</v>
      </c>
    </row>
    <row r="43" spans="1:13" x14ac:dyDescent="0.15">
      <c r="A43" t="s">
        <v>121</v>
      </c>
      <c r="B43">
        <v>700.5</v>
      </c>
      <c r="C43">
        <v>750.1</v>
      </c>
      <c r="D43">
        <v>782.2</v>
      </c>
      <c r="E43">
        <v>774.3</v>
      </c>
      <c r="F43">
        <v>786</v>
      </c>
      <c r="G43">
        <v>1106.8</v>
      </c>
      <c r="H43">
        <v>967.8</v>
      </c>
      <c r="I43">
        <v>890</v>
      </c>
      <c r="J43">
        <v>1019.3</v>
      </c>
      <c r="K43">
        <v>911.1</v>
      </c>
      <c r="M43" t="str">
        <f t="shared" si="0"/>
        <v>Total Receivables, Net</v>
      </c>
    </row>
    <row r="44" spans="1:13" x14ac:dyDescent="0.15">
      <c r="A44" t="s">
        <v>122</v>
      </c>
      <c r="B44">
        <v>630.4</v>
      </c>
      <c r="C44">
        <v>682.6</v>
      </c>
      <c r="D44">
        <v>711.4</v>
      </c>
      <c r="E44">
        <v>695.7</v>
      </c>
      <c r="F44">
        <v>674.7</v>
      </c>
      <c r="G44">
        <v>868.3</v>
      </c>
      <c r="H44">
        <v>941.9</v>
      </c>
      <c r="I44">
        <v>858.8</v>
      </c>
      <c r="J44">
        <v>823.5</v>
      </c>
      <c r="K44">
        <v>784.5</v>
      </c>
      <c r="M44" t="str">
        <f t="shared" si="0"/>
        <v>Total Inventory</v>
      </c>
    </row>
    <row r="45" spans="1:13" x14ac:dyDescent="0.15">
      <c r="A45" t="s">
        <v>123</v>
      </c>
      <c r="M45" t="str">
        <f t="shared" si="0"/>
        <v>Prepaid Expenses</v>
      </c>
    </row>
    <row r="46" spans="1:13" x14ac:dyDescent="0.15">
      <c r="A46" t="s">
        <v>124</v>
      </c>
      <c r="B46">
        <v>30.8</v>
      </c>
      <c r="C46">
        <v>48.1</v>
      </c>
      <c r="D46">
        <v>35</v>
      </c>
      <c r="E46">
        <v>23.1</v>
      </c>
      <c r="F46">
        <v>66.7</v>
      </c>
      <c r="G46">
        <v>92.7</v>
      </c>
      <c r="H46">
        <v>52.7</v>
      </c>
      <c r="I46">
        <v>54.1</v>
      </c>
      <c r="J46">
        <v>61.4</v>
      </c>
      <c r="K46">
        <v>107.9</v>
      </c>
      <c r="M46" t="str">
        <f t="shared" si="0"/>
        <v>Other Current Assets, Total</v>
      </c>
    </row>
    <row r="47" spans="1:13" x14ac:dyDescent="0.15">
      <c r="A47" t="s">
        <v>125</v>
      </c>
      <c r="B47">
        <v>1546.2</v>
      </c>
      <c r="C47">
        <v>1699.2</v>
      </c>
      <c r="D47">
        <v>1707.4</v>
      </c>
      <c r="E47">
        <v>1714</v>
      </c>
      <c r="F47">
        <v>1717.1</v>
      </c>
      <c r="G47">
        <v>2248.3000000000002</v>
      </c>
      <c r="H47">
        <v>2156.4</v>
      </c>
      <c r="I47">
        <v>1973.2</v>
      </c>
      <c r="J47">
        <v>2079.8000000000002</v>
      </c>
      <c r="K47">
        <v>1971.1</v>
      </c>
      <c r="M47" t="str">
        <f t="shared" si="0"/>
        <v>Total Current Assets</v>
      </c>
    </row>
    <row r="48" spans="1:13" x14ac:dyDescent="0.15">
      <c r="A48" t="s">
        <v>126</v>
      </c>
      <c r="B48">
        <v>5596.5</v>
      </c>
      <c r="C48">
        <v>5908.9</v>
      </c>
      <c r="D48">
        <v>6263.1</v>
      </c>
      <c r="E48">
        <v>6969.7</v>
      </c>
      <c r="F48">
        <v>7251.5</v>
      </c>
      <c r="G48">
        <v>7362.5</v>
      </c>
      <c r="H48">
        <v>7443.2</v>
      </c>
      <c r="I48">
        <v>7690.7</v>
      </c>
      <c r="J48">
        <v>7819.8</v>
      </c>
      <c r="K48">
        <v>8004.2</v>
      </c>
      <c r="M48" t="str">
        <f t="shared" si="0"/>
        <v>Property/Plant/Equipment, Total - Gross</v>
      </c>
    </row>
    <row r="49" spans="1:13" x14ac:dyDescent="0.15">
      <c r="A49" t="s">
        <v>127</v>
      </c>
      <c r="B49">
        <v>-1891.6</v>
      </c>
      <c r="C49">
        <v>-2333.1</v>
      </c>
      <c r="D49">
        <v>-2781</v>
      </c>
      <c r="E49">
        <v>-3268.1</v>
      </c>
      <c r="F49">
        <v>-3719.8</v>
      </c>
      <c r="G49">
        <v>-4076.5</v>
      </c>
      <c r="H49">
        <v>-4413.1000000000004</v>
      </c>
      <c r="I49">
        <v>-4826.3999999999996</v>
      </c>
      <c r="J49">
        <v>-5189.2</v>
      </c>
      <c r="K49">
        <v>-5508.7</v>
      </c>
      <c r="M49" t="str">
        <f t="shared" si="0"/>
        <v>Accumulated Depreciation, Total</v>
      </c>
    </row>
    <row r="50" spans="1:13" x14ac:dyDescent="0.15">
      <c r="A50" t="s">
        <v>128</v>
      </c>
      <c r="B50">
        <v>3704.9</v>
      </c>
      <c r="C50">
        <v>3575.8</v>
      </c>
      <c r="D50">
        <v>3482.1</v>
      </c>
      <c r="E50">
        <v>3701.6</v>
      </c>
      <c r="F50">
        <v>3531.7</v>
      </c>
      <c r="G50">
        <v>3286</v>
      </c>
      <c r="H50">
        <v>3030.1</v>
      </c>
      <c r="I50">
        <v>2864.3</v>
      </c>
      <c r="J50">
        <v>2630.6</v>
      </c>
      <c r="K50">
        <v>2495.5</v>
      </c>
      <c r="M50" t="str">
        <f t="shared" si="0"/>
        <v>Property/Plant/Equipment, Total - Net</v>
      </c>
    </row>
    <row r="51" spans="1:13" x14ac:dyDescent="0.15">
      <c r="A51" t="s">
        <v>129</v>
      </c>
      <c r="B51">
        <v>2118</v>
      </c>
      <c r="C51">
        <v>2120</v>
      </c>
      <c r="D51">
        <v>2119.6</v>
      </c>
      <c r="E51">
        <v>2119.6999999999998</v>
      </c>
      <c r="F51">
        <v>1420.2</v>
      </c>
      <c r="G51">
        <v>1420.6</v>
      </c>
      <c r="H51">
        <v>1420.9</v>
      </c>
      <c r="I51">
        <v>1424</v>
      </c>
      <c r="J51">
        <v>1423.6</v>
      </c>
      <c r="K51">
        <v>1427.6</v>
      </c>
      <c r="M51" t="str">
        <f t="shared" si="0"/>
        <v>Goodwill, Net</v>
      </c>
    </row>
    <row r="52" spans="1:13" x14ac:dyDescent="0.15">
      <c r="A52" t="s">
        <v>130</v>
      </c>
      <c r="B52">
        <v>629.6</v>
      </c>
      <c r="C52">
        <v>578.5</v>
      </c>
      <c r="D52">
        <v>511.6</v>
      </c>
      <c r="E52">
        <v>448.1</v>
      </c>
      <c r="F52">
        <v>399.4</v>
      </c>
      <c r="G52">
        <v>331.7</v>
      </c>
      <c r="H52">
        <v>1321.8</v>
      </c>
      <c r="I52">
        <v>1307.5999999999999</v>
      </c>
      <c r="J52">
        <v>1253.9000000000001</v>
      </c>
      <c r="K52">
        <v>1170.4000000000001</v>
      </c>
      <c r="M52" t="str">
        <f t="shared" si="0"/>
        <v>Intangibles, Net</v>
      </c>
    </row>
    <row r="53" spans="1:13" x14ac:dyDescent="0.15">
      <c r="A53" t="s">
        <v>131</v>
      </c>
      <c r="B53">
        <v>26.7</v>
      </c>
      <c r="C53">
        <v>28.5</v>
      </c>
      <c r="D53">
        <v>8.8000000000000007</v>
      </c>
      <c r="E53">
        <v>0</v>
      </c>
      <c r="J53">
        <v>23</v>
      </c>
      <c r="K53">
        <v>21.3</v>
      </c>
      <c r="M53" t="str">
        <f t="shared" si="0"/>
        <v>Long Term Investments</v>
      </c>
    </row>
    <row r="54" spans="1:13" x14ac:dyDescent="0.15">
      <c r="A54" t="s">
        <v>132</v>
      </c>
      <c r="B54">
        <v>17.5</v>
      </c>
      <c r="C54">
        <v>10.199999999999999</v>
      </c>
      <c r="M54" t="str">
        <f t="shared" si="0"/>
        <v>Note Receivable - Long Term</v>
      </c>
    </row>
    <row r="55" spans="1:13" x14ac:dyDescent="0.15">
      <c r="A55" t="s">
        <v>133</v>
      </c>
      <c r="B55">
        <v>719.7</v>
      </c>
      <c r="C55">
        <v>1206.0999999999999</v>
      </c>
      <c r="D55">
        <v>1167.9000000000001</v>
      </c>
      <c r="E55">
        <v>1204.4000000000001</v>
      </c>
      <c r="F55">
        <v>1202.5</v>
      </c>
      <c r="G55">
        <v>1231.0999999999999</v>
      </c>
      <c r="H55">
        <v>115</v>
      </c>
      <c r="I55">
        <v>144.1</v>
      </c>
      <c r="J55">
        <v>168.2</v>
      </c>
      <c r="K55">
        <v>239.9</v>
      </c>
      <c r="M55" t="str">
        <f t="shared" si="0"/>
        <v>Other Long Term Assets, Total</v>
      </c>
    </row>
    <row r="56" spans="1:13" x14ac:dyDescent="0.15">
      <c r="A56" t="s">
        <v>134</v>
      </c>
      <c r="M56" t="str">
        <f t="shared" si="0"/>
        <v>Other Assets, Total</v>
      </c>
    </row>
    <row r="57" spans="1:13" x14ac:dyDescent="0.15">
      <c r="A57" t="s">
        <v>135</v>
      </c>
      <c r="B57">
        <v>8762.6</v>
      </c>
      <c r="C57">
        <v>9218.2999999999993</v>
      </c>
      <c r="D57">
        <v>8997.4</v>
      </c>
      <c r="E57">
        <v>9187.7999999999993</v>
      </c>
      <c r="F57">
        <v>8270.9</v>
      </c>
      <c r="G57">
        <v>8517.7000000000007</v>
      </c>
      <c r="H57">
        <v>8044.2</v>
      </c>
      <c r="I57">
        <v>7713.2</v>
      </c>
      <c r="J57">
        <v>7579.1</v>
      </c>
      <c r="K57">
        <v>7325.8</v>
      </c>
      <c r="M57" t="str">
        <f t="shared" si="0"/>
        <v>Total Assets</v>
      </c>
    </row>
    <row r="58" spans="1:13" x14ac:dyDescent="0.15">
      <c r="A58" t="s">
        <v>136</v>
      </c>
      <c r="B58">
        <v>570.79999999999995</v>
      </c>
      <c r="C58">
        <v>669.8</v>
      </c>
      <c r="D58">
        <v>636.5</v>
      </c>
      <c r="E58">
        <v>651.9</v>
      </c>
      <c r="F58">
        <v>729.2</v>
      </c>
      <c r="G58">
        <v>847.7</v>
      </c>
      <c r="H58">
        <v>837.7</v>
      </c>
      <c r="I58">
        <v>775.4</v>
      </c>
      <c r="J58">
        <v>861.6</v>
      </c>
      <c r="K58">
        <v>806.1</v>
      </c>
      <c r="M58" t="str">
        <f t="shared" si="0"/>
        <v>Accounts Payable</v>
      </c>
    </row>
    <row r="59" spans="1:13" x14ac:dyDescent="0.15">
      <c r="A59" t="s">
        <v>137</v>
      </c>
      <c r="M59" t="str">
        <f t="shared" si="0"/>
        <v>Payable/Accrued</v>
      </c>
    </row>
    <row r="60" spans="1:13" x14ac:dyDescent="0.15">
      <c r="A60" t="s">
        <v>138</v>
      </c>
      <c r="B60">
        <v>221.7</v>
      </c>
      <c r="C60">
        <v>236.2</v>
      </c>
      <c r="D60">
        <v>306.7</v>
      </c>
      <c r="E60">
        <v>333</v>
      </c>
      <c r="F60">
        <v>378.1</v>
      </c>
      <c r="G60">
        <v>476.9</v>
      </c>
      <c r="H60">
        <v>486.7</v>
      </c>
      <c r="I60">
        <v>400.4</v>
      </c>
      <c r="J60">
        <v>422.6</v>
      </c>
      <c r="K60">
        <v>581</v>
      </c>
      <c r="M60" t="str">
        <f t="shared" si="0"/>
        <v>Accrued Expenses</v>
      </c>
    </row>
    <row r="61" spans="1:13" x14ac:dyDescent="0.15">
      <c r="A61" t="s">
        <v>139</v>
      </c>
      <c r="B61">
        <v>80.400000000000006</v>
      </c>
      <c r="C61">
        <v>0.7</v>
      </c>
      <c r="D61">
        <v>125.9</v>
      </c>
      <c r="E61">
        <v>2.1</v>
      </c>
      <c r="F61">
        <v>26.3</v>
      </c>
      <c r="G61">
        <v>201.1</v>
      </c>
      <c r="H61">
        <v>9.6999999999999993</v>
      </c>
      <c r="I61">
        <v>78.8</v>
      </c>
      <c r="J61">
        <v>129</v>
      </c>
      <c r="K61">
        <v>109.7</v>
      </c>
      <c r="M61" t="str">
        <f t="shared" si="0"/>
        <v>Current Port. of LT Debt/Capital Leases</v>
      </c>
    </row>
    <row r="62" spans="1:13" x14ac:dyDescent="0.15">
      <c r="A62" t="s">
        <v>140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M62" t="str">
        <f t="shared" si="0"/>
        <v>Notes Payable/Short Term Debt</v>
      </c>
    </row>
    <row r="63" spans="1:13" x14ac:dyDescent="0.15">
      <c r="A63" t="s">
        <v>141</v>
      </c>
      <c r="B63">
        <v>49.7</v>
      </c>
      <c r="C63">
        <v>47.6</v>
      </c>
      <c r="D63">
        <v>49.2</v>
      </c>
      <c r="E63">
        <v>95.2</v>
      </c>
      <c r="F63">
        <v>65.3</v>
      </c>
      <c r="G63">
        <v>156.4</v>
      </c>
      <c r="H63">
        <v>227.3</v>
      </c>
      <c r="I63">
        <v>273.60000000000002</v>
      </c>
      <c r="J63">
        <v>219</v>
      </c>
      <c r="K63">
        <v>132.69999999999999</v>
      </c>
      <c r="M63" t="str">
        <f t="shared" si="0"/>
        <v>Other Current Liabilities, Total</v>
      </c>
    </row>
    <row r="64" spans="1:13" x14ac:dyDescent="0.15">
      <c r="A64" t="s">
        <v>142</v>
      </c>
      <c r="B64">
        <v>922.6</v>
      </c>
      <c r="C64">
        <v>954.3</v>
      </c>
      <c r="D64">
        <v>1118.3</v>
      </c>
      <c r="E64">
        <v>1082.2</v>
      </c>
      <c r="F64">
        <v>1198.9000000000001</v>
      </c>
      <c r="G64">
        <v>1682.1</v>
      </c>
      <c r="H64">
        <v>1561.4</v>
      </c>
      <c r="I64">
        <v>1528.2</v>
      </c>
      <c r="J64">
        <v>1632.2</v>
      </c>
      <c r="K64">
        <v>1629.5</v>
      </c>
      <c r="M64" t="str">
        <f t="shared" si="0"/>
        <v>Total Current Liabilities</v>
      </c>
    </row>
    <row r="65" spans="1:13" x14ac:dyDescent="0.15">
      <c r="A65" t="s">
        <v>143</v>
      </c>
      <c r="B65">
        <v>3537.1</v>
      </c>
      <c r="C65">
        <v>3611.3</v>
      </c>
      <c r="D65">
        <v>3104.4</v>
      </c>
      <c r="E65">
        <v>3335.5</v>
      </c>
      <c r="F65">
        <v>3834.5</v>
      </c>
      <c r="G65">
        <v>2576.3000000000002</v>
      </c>
      <c r="H65">
        <v>2570.1</v>
      </c>
      <c r="I65">
        <v>2591.3000000000002</v>
      </c>
      <c r="J65">
        <v>2713.2</v>
      </c>
      <c r="K65">
        <v>2717.6</v>
      </c>
      <c r="M65" t="str">
        <f t="shared" si="0"/>
        <v>Long Term Debt</v>
      </c>
    </row>
    <row r="66" spans="1:13" x14ac:dyDescent="0.15">
      <c r="A66" t="s">
        <v>144</v>
      </c>
      <c r="E66">
        <v>3.2</v>
      </c>
      <c r="F66">
        <v>3</v>
      </c>
      <c r="G66">
        <v>1.9</v>
      </c>
      <c r="H66">
        <v>0.9</v>
      </c>
      <c r="I66">
        <v>0</v>
      </c>
      <c r="M66" t="str">
        <f t="shared" ref="M66:M129" si="1">TRIM(A66)</f>
        <v>Capital Lease Obligations</v>
      </c>
    </row>
    <row r="67" spans="1:13" x14ac:dyDescent="0.15">
      <c r="A67" t="s">
        <v>145</v>
      </c>
      <c r="B67">
        <v>3537.1</v>
      </c>
      <c r="C67">
        <v>3611.3</v>
      </c>
      <c r="D67">
        <v>3104.4</v>
      </c>
      <c r="E67">
        <v>3338.7</v>
      </c>
      <c r="F67">
        <v>3837.5</v>
      </c>
      <c r="G67">
        <v>2578.1999999999998</v>
      </c>
      <c r="H67">
        <v>2571</v>
      </c>
      <c r="I67">
        <v>2591.3000000000002</v>
      </c>
      <c r="J67">
        <v>2713.2</v>
      </c>
      <c r="K67">
        <v>2717.6</v>
      </c>
      <c r="M67" t="str">
        <f t="shared" si="1"/>
        <v>Total Long Term Debt</v>
      </c>
    </row>
    <row r="68" spans="1:13" x14ac:dyDescent="0.15">
      <c r="A68" t="s">
        <v>146</v>
      </c>
      <c r="B68">
        <v>1032.5</v>
      </c>
      <c r="C68">
        <v>511.2</v>
      </c>
      <c r="D68">
        <v>518.9</v>
      </c>
      <c r="E68">
        <v>454.5</v>
      </c>
      <c r="F68">
        <v>443.2</v>
      </c>
      <c r="G68">
        <v>558.9</v>
      </c>
      <c r="H68">
        <v>507.3</v>
      </c>
      <c r="I68">
        <v>476.2</v>
      </c>
      <c r="J68">
        <v>430.5</v>
      </c>
      <c r="K68">
        <v>317.60000000000002</v>
      </c>
      <c r="M68" t="str">
        <f t="shared" si="1"/>
        <v>Deferred Income Tax</v>
      </c>
    </row>
    <row r="69" spans="1:13" x14ac:dyDescent="0.15">
      <c r="A69" t="s">
        <v>147</v>
      </c>
      <c r="B69">
        <v>997.4</v>
      </c>
      <c r="C69">
        <v>1387.8</v>
      </c>
      <c r="D69">
        <v>1423.6</v>
      </c>
      <c r="E69">
        <v>1894.9</v>
      </c>
      <c r="F69">
        <v>1340.5</v>
      </c>
      <c r="G69">
        <v>1046.3</v>
      </c>
      <c r="H69">
        <v>860.9</v>
      </c>
      <c r="I69">
        <v>849.2</v>
      </c>
      <c r="J69">
        <v>747.8</v>
      </c>
      <c r="K69">
        <v>790.5</v>
      </c>
      <c r="M69" t="str">
        <f t="shared" si="1"/>
        <v>Other Liabilities, Total</v>
      </c>
    </row>
    <row r="70" spans="1:13" x14ac:dyDescent="0.15">
      <c r="A70" t="s">
        <v>148</v>
      </c>
      <c r="I70">
        <v>35.9</v>
      </c>
      <c r="J70">
        <v>32.299999999999997</v>
      </c>
      <c r="K70">
        <v>31.7</v>
      </c>
      <c r="M70" t="str">
        <f t="shared" si="1"/>
        <v>Minority Interest</v>
      </c>
    </row>
    <row r="71" spans="1:13" x14ac:dyDescent="0.15">
      <c r="A71" t="s">
        <v>149</v>
      </c>
      <c r="B71">
        <v>6489.6</v>
      </c>
      <c r="C71">
        <v>6464.6</v>
      </c>
      <c r="D71">
        <v>6165.2</v>
      </c>
      <c r="E71">
        <v>6770.3</v>
      </c>
      <c r="F71">
        <v>6820.1</v>
      </c>
      <c r="G71">
        <v>5865.5</v>
      </c>
      <c r="H71">
        <v>5500.6</v>
      </c>
      <c r="I71">
        <v>5480.8</v>
      </c>
      <c r="J71">
        <v>5556</v>
      </c>
      <c r="K71">
        <v>5486.9</v>
      </c>
      <c r="M71" t="str">
        <f t="shared" si="1"/>
        <v>Total Liabilities</v>
      </c>
    </row>
    <row r="72" spans="1:13" x14ac:dyDescent="0.15">
      <c r="A72" t="s">
        <v>150</v>
      </c>
      <c r="M72" t="str">
        <f t="shared" si="1"/>
        <v>Redeemable Preferred Stock, Total</v>
      </c>
    </row>
    <row r="73" spans="1:13" x14ac:dyDescent="0.15">
      <c r="A73" t="s">
        <v>151</v>
      </c>
      <c r="M73" t="str">
        <f t="shared" si="1"/>
        <v>Preferred Stock - Non Redeemable, Net</v>
      </c>
    </row>
    <row r="74" spans="1:13" x14ac:dyDescent="0.15">
      <c r="A74" t="s">
        <v>152</v>
      </c>
      <c r="M74" t="str">
        <f t="shared" si="1"/>
        <v>Limited Partner</v>
      </c>
    </row>
    <row r="75" spans="1:13" x14ac:dyDescent="0.15">
      <c r="A75" t="s">
        <v>60</v>
      </c>
      <c r="B75">
        <v>165.4</v>
      </c>
      <c r="C75">
        <v>167.1</v>
      </c>
      <c r="D75">
        <v>165.3</v>
      </c>
      <c r="E75">
        <v>157.69999999999999</v>
      </c>
      <c r="F75">
        <v>158</v>
      </c>
      <c r="G75">
        <v>156.80000000000001</v>
      </c>
      <c r="H75">
        <v>132.30000000000001</v>
      </c>
      <c r="I75">
        <v>120.2</v>
      </c>
      <c r="J75">
        <v>115.7</v>
      </c>
      <c r="K75">
        <v>113.6</v>
      </c>
      <c r="M75" t="str">
        <f t="shared" si="1"/>
        <v>Common Stock</v>
      </c>
    </row>
    <row r="76" spans="1:13" x14ac:dyDescent="0.15">
      <c r="A76" t="s">
        <v>153</v>
      </c>
      <c r="B76">
        <v>2243.8000000000002</v>
      </c>
      <c r="C76">
        <v>2280.9</v>
      </c>
      <c r="D76">
        <v>2247.4</v>
      </c>
      <c r="E76">
        <v>2122.1</v>
      </c>
      <c r="F76">
        <v>2137.8000000000002</v>
      </c>
      <c r="G76">
        <v>1969.6</v>
      </c>
      <c r="H76">
        <v>682.7</v>
      </c>
      <c r="I76">
        <v>24.8</v>
      </c>
      <c r="J76">
        <v>0</v>
      </c>
      <c r="M76" t="str">
        <f t="shared" si="1"/>
        <v>Additional Paid-In Capital</v>
      </c>
    </row>
    <row r="77" spans="1:13" x14ac:dyDescent="0.15">
      <c r="A77" t="s">
        <v>154</v>
      </c>
      <c r="B77">
        <v>373.8</v>
      </c>
      <c r="C77">
        <v>790.3</v>
      </c>
      <c r="D77">
        <v>1070.5</v>
      </c>
      <c r="E77">
        <v>941.1</v>
      </c>
      <c r="F77">
        <v>-155.1</v>
      </c>
      <c r="G77">
        <v>1013.8</v>
      </c>
      <c r="H77">
        <v>2224.5</v>
      </c>
      <c r="I77">
        <v>2583.6999999999998</v>
      </c>
      <c r="J77">
        <v>2357.5</v>
      </c>
      <c r="K77">
        <v>2139.8000000000002</v>
      </c>
      <c r="M77" t="str">
        <f t="shared" si="1"/>
        <v>Retained Earnings (Accumulated Deficit)</v>
      </c>
    </row>
    <row r="78" spans="1:13" x14ac:dyDescent="0.15">
      <c r="A78" t="s">
        <v>155</v>
      </c>
      <c r="M78" t="str">
        <f t="shared" si="1"/>
        <v>Treasury Stock - Common</v>
      </c>
    </row>
    <row r="79" spans="1:13" x14ac:dyDescent="0.15">
      <c r="A79" t="s">
        <v>156</v>
      </c>
      <c r="M79" t="str">
        <f t="shared" si="1"/>
        <v>ESOP Debt Guarantee</v>
      </c>
    </row>
    <row r="80" spans="1:13" x14ac:dyDescent="0.15">
      <c r="A80" t="s">
        <v>157</v>
      </c>
      <c r="M80" t="str">
        <f t="shared" si="1"/>
        <v>Unrealized Gain (Loss)</v>
      </c>
    </row>
    <row r="81" spans="1:13" x14ac:dyDescent="0.15">
      <c r="A81" t="s">
        <v>158</v>
      </c>
      <c r="B81">
        <v>-510</v>
      </c>
      <c r="C81">
        <v>-484.6</v>
      </c>
      <c r="D81">
        <v>-651</v>
      </c>
      <c r="E81">
        <v>-803.4</v>
      </c>
      <c r="F81">
        <v>-689.9</v>
      </c>
      <c r="G81">
        <v>-488</v>
      </c>
      <c r="H81">
        <v>-495.9</v>
      </c>
      <c r="I81">
        <v>-496.3</v>
      </c>
      <c r="J81">
        <v>-450.1</v>
      </c>
      <c r="K81">
        <v>-414.5</v>
      </c>
      <c r="M81" t="str">
        <f t="shared" si="1"/>
        <v>Other Equity, Total</v>
      </c>
    </row>
    <row r="82" spans="1:13" x14ac:dyDescent="0.15">
      <c r="A82" t="s">
        <v>159</v>
      </c>
      <c r="B82">
        <v>2273</v>
      </c>
      <c r="C82">
        <v>2753.7</v>
      </c>
      <c r="D82">
        <v>2832.2</v>
      </c>
      <c r="E82">
        <v>2417.5</v>
      </c>
      <c r="F82">
        <v>1450.8</v>
      </c>
      <c r="G82">
        <v>2652.2</v>
      </c>
      <c r="H82">
        <v>2543.6</v>
      </c>
      <c r="I82">
        <v>2232.4</v>
      </c>
      <c r="J82">
        <v>2023.1</v>
      </c>
      <c r="K82">
        <v>1838.9</v>
      </c>
      <c r="M82" t="str">
        <f t="shared" si="1"/>
        <v>Total Equity</v>
      </c>
    </row>
    <row r="83" spans="1:13" x14ac:dyDescent="0.15">
      <c r="A83" t="s">
        <v>160</v>
      </c>
      <c r="B83">
        <v>8762.6</v>
      </c>
      <c r="C83">
        <v>9218.2999999999993</v>
      </c>
      <c r="D83">
        <v>8997.4</v>
      </c>
      <c r="E83">
        <v>9187.7999999999993</v>
      </c>
      <c r="F83">
        <v>8270.9</v>
      </c>
      <c r="G83">
        <v>8517.7000000000007</v>
      </c>
      <c r="H83">
        <v>8044.2</v>
      </c>
      <c r="I83">
        <v>7713.2</v>
      </c>
      <c r="J83">
        <v>7579.1</v>
      </c>
      <c r="K83">
        <v>7325.8</v>
      </c>
      <c r="M83" t="str">
        <f t="shared" si="1"/>
        <v>Total Liabilities &amp; Shareholders' Equity</v>
      </c>
    </row>
    <row r="84" spans="1:13" x14ac:dyDescent="0.15">
      <c r="A84" t="s">
        <v>161</v>
      </c>
      <c r="B84">
        <v>165</v>
      </c>
      <c r="C84">
        <v>167</v>
      </c>
      <c r="D84">
        <v>165</v>
      </c>
      <c r="E84">
        <v>158</v>
      </c>
      <c r="F84">
        <v>158</v>
      </c>
      <c r="G84">
        <v>157</v>
      </c>
      <c r="H84">
        <v>132</v>
      </c>
      <c r="I84">
        <v>120</v>
      </c>
      <c r="J84">
        <v>116</v>
      </c>
      <c r="K84">
        <v>114</v>
      </c>
      <c r="M84" t="str">
        <f t="shared" si="1"/>
        <v>Total Common Shares Outstanding</v>
      </c>
    </row>
    <row r="85" spans="1:13" x14ac:dyDescent="0.15">
      <c r="M85" t="str">
        <f t="shared" si="1"/>
        <v/>
      </c>
    </row>
    <row r="86" spans="1:13" x14ac:dyDescent="0.15">
      <c r="M86" t="str">
        <f t="shared" si="1"/>
        <v/>
      </c>
    </row>
    <row r="87" spans="1:13" x14ac:dyDescent="0.15">
      <c r="A87" t="s">
        <v>227</v>
      </c>
      <c r="M87" t="str">
        <f t="shared" si="1"/>
        <v>Olin Corp (OLN)</v>
      </c>
    </row>
    <row r="88" spans="1:13" x14ac:dyDescent="0.15">
      <c r="A88" t="s">
        <v>84</v>
      </c>
      <c r="M88" t="str">
        <f t="shared" si="1"/>
        <v>Cash Flow - Annual (As Originally Reported)</v>
      </c>
    </row>
    <row r="89" spans="1:13" x14ac:dyDescent="0.15">
      <c r="A89" t="s">
        <v>86</v>
      </c>
      <c r="B89" s="1">
        <v>42735</v>
      </c>
      <c r="C89" s="1">
        <v>43100</v>
      </c>
      <c r="D89" s="1">
        <v>43465</v>
      </c>
      <c r="E89" s="1">
        <v>43830</v>
      </c>
      <c r="F89" s="1">
        <v>44196</v>
      </c>
      <c r="G89" s="1">
        <v>44561</v>
      </c>
      <c r="H89" s="1">
        <v>44926</v>
      </c>
      <c r="I89" s="1">
        <v>45291</v>
      </c>
      <c r="J89" s="1">
        <v>45657</v>
      </c>
      <c r="K89" s="1">
        <v>46022</v>
      </c>
      <c r="M89" t="str">
        <f t="shared" si="1"/>
        <v>FYE December</v>
      </c>
    </row>
    <row r="90" spans="1:13" x14ac:dyDescent="0.15">
      <c r="A90" t="s">
        <v>87</v>
      </c>
      <c r="B90" t="s">
        <v>88</v>
      </c>
      <c r="C90" t="s">
        <v>88</v>
      </c>
      <c r="D90" t="s">
        <v>88</v>
      </c>
      <c r="E90" t="s">
        <v>88</v>
      </c>
      <c r="F90" t="s">
        <v>88</v>
      </c>
      <c r="G90" t="s">
        <v>88</v>
      </c>
      <c r="H90" t="s">
        <v>88</v>
      </c>
      <c r="I90" t="s">
        <v>88</v>
      </c>
      <c r="J90" t="s">
        <v>88</v>
      </c>
      <c r="K90" t="s">
        <v>88</v>
      </c>
      <c r="M90" t="str">
        <f t="shared" si="1"/>
        <v>Currency</v>
      </c>
    </row>
    <row r="91" spans="1:13" x14ac:dyDescent="0.15">
      <c r="A91" t="s">
        <v>89</v>
      </c>
      <c r="B91" t="s">
        <v>90</v>
      </c>
      <c r="C91" t="s">
        <v>90</v>
      </c>
      <c r="D91" t="s">
        <v>90</v>
      </c>
      <c r="E91" t="s">
        <v>90</v>
      </c>
      <c r="F91" t="s">
        <v>90</v>
      </c>
      <c r="G91" t="s">
        <v>90</v>
      </c>
      <c r="H91" t="s">
        <v>90</v>
      </c>
      <c r="I91" t="s">
        <v>90</v>
      </c>
      <c r="J91" t="s">
        <v>90</v>
      </c>
      <c r="K91" t="s">
        <v>90</v>
      </c>
      <c r="M91" t="str">
        <f t="shared" si="1"/>
        <v>Scale</v>
      </c>
    </row>
    <row r="92" spans="1:13" x14ac:dyDescent="0.15">
      <c r="A92" t="s">
        <v>107</v>
      </c>
      <c r="B92">
        <v>-3.9</v>
      </c>
      <c r="C92">
        <v>549.5</v>
      </c>
      <c r="D92">
        <v>327.9</v>
      </c>
      <c r="E92">
        <v>-11.3</v>
      </c>
      <c r="F92">
        <v>-969.9</v>
      </c>
      <c r="G92">
        <v>1296.7</v>
      </c>
      <c r="H92">
        <v>1326.9</v>
      </c>
      <c r="I92">
        <v>452</v>
      </c>
      <c r="J92">
        <v>105</v>
      </c>
      <c r="K92">
        <v>-101.1</v>
      </c>
      <c r="M92" t="str">
        <f t="shared" si="1"/>
        <v>Net Income</v>
      </c>
    </row>
    <row r="93" spans="1:13" x14ac:dyDescent="0.15">
      <c r="A93" t="s">
        <v>162</v>
      </c>
      <c r="B93">
        <v>68</v>
      </c>
      <c r="C93">
        <v>16.100000000000001</v>
      </c>
      <c r="D93">
        <v>-75.8</v>
      </c>
      <c r="E93">
        <v>42.5</v>
      </c>
      <c r="F93">
        <v>138.4</v>
      </c>
      <c r="G93">
        <v>-225.7</v>
      </c>
      <c r="H93">
        <v>61.9</v>
      </c>
      <c r="I93">
        <v>57.3</v>
      </c>
      <c r="J93">
        <v>-78.7</v>
      </c>
      <c r="K93">
        <v>157.9</v>
      </c>
      <c r="M93" t="str">
        <f t="shared" si="1"/>
        <v>Changes in Working Capital</v>
      </c>
    </row>
    <row r="94" spans="1:13" x14ac:dyDescent="0.15">
      <c r="A94" t="s">
        <v>163</v>
      </c>
      <c r="B94">
        <v>603.20000000000005</v>
      </c>
      <c r="C94">
        <v>648.79999999999995</v>
      </c>
      <c r="D94">
        <v>907.8</v>
      </c>
      <c r="E94">
        <v>617.29999999999995</v>
      </c>
      <c r="F94">
        <v>418.4</v>
      </c>
      <c r="G94">
        <v>1741</v>
      </c>
      <c r="H94">
        <v>1921.9</v>
      </c>
      <c r="I94">
        <v>974.3</v>
      </c>
      <c r="J94">
        <v>503.2</v>
      </c>
      <c r="K94">
        <v>474.2</v>
      </c>
      <c r="M94" t="str">
        <f t="shared" si="1"/>
        <v>Cash from Operating Activities</v>
      </c>
    </row>
    <row r="95" spans="1:13" x14ac:dyDescent="0.15">
      <c r="A95" t="s">
        <v>164</v>
      </c>
      <c r="B95">
        <v>-278</v>
      </c>
      <c r="C95">
        <v>-294.3</v>
      </c>
      <c r="D95">
        <v>-385.2</v>
      </c>
      <c r="E95">
        <v>-385.6</v>
      </c>
      <c r="F95">
        <v>-298.89999999999998</v>
      </c>
      <c r="G95">
        <v>-200.6</v>
      </c>
      <c r="H95">
        <v>-236.9</v>
      </c>
      <c r="I95">
        <v>-236</v>
      </c>
      <c r="J95">
        <v>-195.1</v>
      </c>
      <c r="K95">
        <v>-226.3</v>
      </c>
      <c r="M95" t="str">
        <f t="shared" si="1"/>
        <v>Capital Expenditures</v>
      </c>
    </row>
    <row r="96" spans="1:13" x14ac:dyDescent="0.15">
      <c r="A96" t="s">
        <v>165</v>
      </c>
      <c r="M96" t="str">
        <f t="shared" si="1"/>
        <v>Investment, Net</v>
      </c>
    </row>
    <row r="97" spans="1:13" x14ac:dyDescent="0.15">
      <c r="A97" t="s">
        <v>166</v>
      </c>
      <c r="M97" t="str">
        <f t="shared" si="1"/>
        <v>Software Development Costs</v>
      </c>
    </row>
    <row r="98" spans="1:13" x14ac:dyDescent="0.15">
      <c r="A98" t="s">
        <v>167</v>
      </c>
      <c r="B98">
        <v>40.9</v>
      </c>
      <c r="C98">
        <v>5.2</v>
      </c>
      <c r="D98">
        <v>2.9</v>
      </c>
      <c r="E98">
        <v>0</v>
      </c>
      <c r="F98">
        <v>0</v>
      </c>
      <c r="G98">
        <v>3.2</v>
      </c>
      <c r="H98">
        <v>14.9</v>
      </c>
      <c r="I98">
        <v>28.8</v>
      </c>
      <c r="J98">
        <v>0</v>
      </c>
      <c r="M98" t="str">
        <f t="shared" si="1"/>
        <v>Sale of Fixed Assets</v>
      </c>
    </row>
    <row r="99" spans="1:13" x14ac:dyDescent="0.15">
      <c r="A99" t="s">
        <v>168</v>
      </c>
      <c r="B99">
        <v>-69.5</v>
      </c>
      <c r="C99">
        <v>0</v>
      </c>
      <c r="D99">
        <v>0</v>
      </c>
      <c r="I99">
        <v>-63.9</v>
      </c>
      <c r="J99">
        <v>0</v>
      </c>
      <c r="K99">
        <v>-55.8</v>
      </c>
      <c r="M99" t="str">
        <f t="shared" si="1"/>
        <v>Acquisition of Business</v>
      </c>
    </row>
    <row r="100" spans="1:13" x14ac:dyDescent="0.15">
      <c r="A100" t="s">
        <v>169</v>
      </c>
      <c r="B100">
        <v>8.8000000000000007</v>
      </c>
      <c r="C100">
        <v>0</v>
      </c>
      <c r="D100">
        <v>0</v>
      </c>
      <c r="E100">
        <v>20</v>
      </c>
      <c r="F100">
        <v>0</v>
      </c>
      <c r="G100">
        <v>0</v>
      </c>
      <c r="M100" t="str">
        <f t="shared" si="1"/>
        <v>Sale/Maturity of Investment</v>
      </c>
    </row>
    <row r="101" spans="1:13" x14ac:dyDescent="0.15">
      <c r="A101" t="s">
        <v>170</v>
      </c>
      <c r="B101">
        <v>-195.5</v>
      </c>
      <c r="C101">
        <v>-204.2</v>
      </c>
      <c r="D101">
        <v>2.9</v>
      </c>
      <c r="E101">
        <v>20</v>
      </c>
      <c r="F101">
        <v>-536.79999999999995</v>
      </c>
      <c r="G101">
        <v>3.2</v>
      </c>
      <c r="H101">
        <v>-22.8</v>
      </c>
      <c r="I101">
        <v>-104.8</v>
      </c>
      <c r="J101">
        <v>-88.6</v>
      </c>
      <c r="K101">
        <v>-93.3</v>
      </c>
      <c r="M101" t="str">
        <f t="shared" si="1"/>
        <v>Other Investing Cash Flow Items, Total</v>
      </c>
    </row>
    <row r="102" spans="1:13" x14ac:dyDescent="0.15">
      <c r="A102" t="s">
        <v>171</v>
      </c>
      <c r="B102">
        <v>-473.5</v>
      </c>
      <c r="C102">
        <v>-498.5</v>
      </c>
      <c r="D102">
        <v>-382.3</v>
      </c>
      <c r="E102">
        <v>-365.6</v>
      </c>
      <c r="F102">
        <v>-835.7</v>
      </c>
      <c r="G102">
        <v>-197.4</v>
      </c>
      <c r="H102">
        <v>-259.7</v>
      </c>
      <c r="I102">
        <v>-340.8</v>
      </c>
      <c r="J102">
        <v>-283.7</v>
      </c>
      <c r="K102">
        <v>-319.60000000000002</v>
      </c>
      <c r="M102" t="str">
        <f t="shared" si="1"/>
        <v>Cash from Investing Activities</v>
      </c>
    </row>
    <row r="103" spans="1:13" x14ac:dyDescent="0.15">
      <c r="A103" t="s">
        <v>172</v>
      </c>
      <c r="M103" t="str">
        <f t="shared" si="1"/>
        <v>Short Term Debt, Net</v>
      </c>
    </row>
    <row r="104" spans="1:13" x14ac:dyDescent="0.15">
      <c r="A104" t="s">
        <v>173</v>
      </c>
      <c r="B104">
        <v>-205.3</v>
      </c>
      <c r="C104">
        <v>-2.4</v>
      </c>
      <c r="D104">
        <v>-376.1</v>
      </c>
      <c r="E104">
        <v>80.8</v>
      </c>
      <c r="F104">
        <v>520.29999999999995</v>
      </c>
      <c r="G104">
        <v>-1103.0999999999999</v>
      </c>
      <c r="H104">
        <v>-201.1</v>
      </c>
      <c r="I104">
        <v>85.9</v>
      </c>
      <c r="J104">
        <v>169.7</v>
      </c>
      <c r="K104">
        <v>-11.2</v>
      </c>
      <c r="M104" t="str">
        <f t="shared" si="1"/>
        <v>Issuance (Retirement) of Debt, Net</v>
      </c>
    </row>
    <row r="105" spans="1:13" x14ac:dyDescent="0.15">
      <c r="A105" t="s">
        <v>174</v>
      </c>
      <c r="B105">
        <v>0.5</v>
      </c>
      <c r="C105">
        <v>29.8</v>
      </c>
      <c r="D105">
        <v>-46.6</v>
      </c>
      <c r="E105">
        <v>-144.19999999999999</v>
      </c>
      <c r="F105">
        <v>1.9</v>
      </c>
      <c r="G105">
        <v>-179.5</v>
      </c>
      <c r="H105">
        <v>-1325</v>
      </c>
      <c r="I105">
        <v>-685.9</v>
      </c>
      <c r="J105">
        <v>-276.39999999999998</v>
      </c>
      <c r="K105">
        <v>-48.2</v>
      </c>
      <c r="M105" t="str">
        <f t="shared" si="1"/>
        <v>Issuance (Retirement) of Stock, Net</v>
      </c>
    </row>
    <row r="106" spans="1:13" x14ac:dyDescent="0.15">
      <c r="A106" t="s">
        <v>175</v>
      </c>
      <c r="B106">
        <v>-132.1</v>
      </c>
      <c r="C106">
        <v>-133</v>
      </c>
      <c r="D106">
        <v>-133.6</v>
      </c>
      <c r="E106">
        <v>-129.30000000000001</v>
      </c>
      <c r="F106">
        <v>-126.3</v>
      </c>
      <c r="G106">
        <v>-127.8</v>
      </c>
      <c r="H106">
        <v>-116.2</v>
      </c>
      <c r="I106">
        <v>-101</v>
      </c>
      <c r="J106">
        <v>-94.2</v>
      </c>
      <c r="K106">
        <v>-91.6</v>
      </c>
      <c r="M106" t="str">
        <f t="shared" si="1"/>
        <v>Total Cash Dividends Paid</v>
      </c>
    </row>
    <row r="107" spans="1:13" x14ac:dyDescent="0.15">
      <c r="A107" t="s">
        <v>176</v>
      </c>
      <c r="B107">
        <v>-337.5</v>
      </c>
      <c r="C107">
        <v>-116.8</v>
      </c>
      <c r="D107">
        <v>-564.79999999999995</v>
      </c>
      <c r="E107">
        <v>-209.3</v>
      </c>
      <c r="F107">
        <v>385.6</v>
      </c>
      <c r="G107">
        <v>-1552</v>
      </c>
      <c r="H107">
        <v>-1646.7</v>
      </c>
      <c r="I107">
        <v>-656.9</v>
      </c>
      <c r="J107">
        <v>-212.6</v>
      </c>
      <c r="K107">
        <v>-163</v>
      </c>
      <c r="M107" t="str">
        <f t="shared" si="1"/>
        <v>Cash from Financing Activities</v>
      </c>
    </row>
    <row r="108" spans="1:13" x14ac:dyDescent="0.15">
      <c r="A108" t="s">
        <v>177</v>
      </c>
      <c r="B108">
        <v>0.3</v>
      </c>
      <c r="C108">
        <v>0.4</v>
      </c>
      <c r="D108">
        <v>-0.3</v>
      </c>
      <c r="E108">
        <v>-0.3</v>
      </c>
      <c r="F108">
        <v>0.5</v>
      </c>
      <c r="G108">
        <v>-0.8</v>
      </c>
      <c r="H108">
        <v>-2</v>
      </c>
      <c r="I108">
        <v>-0.3</v>
      </c>
      <c r="J108">
        <v>-1.6</v>
      </c>
      <c r="K108">
        <v>0.4</v>
      </c>
      <c r="M108" t="str">
        <f t="shared" si="1"/>
        <v>Foreign Exchange Effects</v>
      </c>
    </row>
    <row r="109" spans="1:13" x14ac:dyDescent="0.15">
      <c r="A109" t="s">
        <v>178</v>
      </c>
      <c r="B109">
        <v>-207.5</v>
      </c>
      <c r="C109">
        <v>33.9</v>
      </c>
      <c r="D109">
        <v>-39.6</v>
      </c>
      <c r="E109">
        <v>42.1</v>
      </c>
      <c r="F109">
        <v>-31.2</v>
      </c>
      <c r="G109">
        <v>-9.1999999999999993</v>
      </c>
      <c r="H109">
        <v>13.5</v>
      </c>
      <c r="I109">
        <v>-23.7</v>
      </c>
      <c r="J109">
        <v>5.3</v>
      </c>
      <c r="K109">
        <v>-8</v>
      </c>
      <c r="M109" t="str">
        <f t="shared" si="1"/>
        <v>Net Change in Cash</v>
      </c>
    </row>
    <row r="110" spans="1:13" x14ac:dyDescent="0.15">
      <c r="A110" t="s">
        <v>179</v>
      </c>
      <c r="B110">
        <v>392</v>
      </c>
      <c r="C110">
        <v>184.5</v>
      </c>
      <c r="D110">
        <v>218.4</v>
      </c>
      <c r="E110">
        <v>178.8</v>
      </c>
      <c r="F110">
        <v>220.9</v>
      </c>
      <c r="G110">
        <v>189.7</v>
      </c>
      <c r="H110">
        <v>180.5</v>
      </c>
      <c r="I110">
        <v>194</v>
      </c>
      <c r="J110">
        <v>170.3</v>
      </c>
      <c r="K110">
        <v>175.6</v>
      </c>
      <c r="M110" t="str">
        <f t="shared" si="1"/>
        <v>Net Cash - Beginning Balance</v>
      </c>
    </row>
    <row r="111" spans="1:13" x14ac:dyDescent="0.15">
      <c r="A111" t="s">
        <v>180</v>
      </c>
      <c r="B111">
        <v>184.5</v>
      </c>
      <c r="C111">
        <v>218.4</v>
      </c>
      <c r="D111">
        <v>178.8</v>
      </c>
      <c r="E111">
        <v>220.9</v>
      </c>
      <c r="F111">
        <v>189.7</v>
      </c>
      <c r="G111">
        <v>180.5</v>
      </c>
      <c r="H111">
        <v>194</v>
      </c>
      <c r="I111">
        <v>170.3</v>
      </c>
      <c r="J111">
        <v>175.6</v>
      </c>
      <c r="K111">
        <v>167.6</v>
      </c>
      <c r="M111" t="str">
        <f t="shared" si="1"/>
        <v>Net Cash - Ending Balance</v>
      </c>
    </row>
    <row r="112" spans="1:13" x14ac:dyDescent="0.15">
      <c r="M112" t="str">
        <f t="shared" si="1"/>
        <v/>
      </c>
    </row>
    <row r="113" spans="1:13" x14ac:dyDescent="0.15">
      <c r="M113" t="str">
        <f t="shared" si="1"/>
        <v/>
      </c>
    </row>
    <row r="114" spans="1:13" x14ac:dyDescent="0.15">
      <c r="A114" t="s">
        <v>227</v>
      </c>
      <c r="M114" t="str">
        <f t="shared" si="1"/>
        <v>Olin Corp (OLN)</v>
      </c>
    </row>
    <row r="115" spans="1:13" x14ac:dyDescent="0.15">
      <c r="A115" t="s">
        <v>85</v>
      </c>
      <c r="M115" t="str">
        <f t="shared" si="1"/>
        <v>Ratio Analysis - Annual (As Originally Reported)</v>
      </c>
    </row>
    <row r="116" spans="1:13" x14ac:dyDescent="0.15">
      <c r="A116" t="s">
        <v>86</v>
      </c>
      <c r="B116" s="1">
        <v>42735</v>
      </c>
      <c r="C116" s="1">
        <v>43100</v>
      </c>
      <c r="D116" s="1">
        <v>43465</v>
      </c>
      <c r="E116" s="1">
        <v>43830</v>
      </c>
      <c r="F116" s="1">
        <v>44196</v>
      </c>
      <c r="G116" s="1">
        <v>44561</v>
      </c>
      <c r="H116" s="1">
        <v>44926</v>
      </c>
      <c r="I116" s="1">
        <v>45291</v>
      </c>
      <c r="J116" s="1">
        <v>45657</v>
      </c>
      <c r="K116" s="1">
        <v>46022</v>
      </c>
      <c r="M116" t="str">
        <f t="shared" si="1"/>
        <v>FYE December</v>
      </c>
    </row>
    <row r="117" spans="1:13" x14ac:dyDescent="0.15">
      <c r="A117" t="s">
        <v>87</v>
      </c>
      <c r="M117" t="str">
        <f t="shared" si="1"/>
        <v>Currency</v>
      </c>
    </row>
    <row r="118" spans="1:13" x14ac:dyDescent="0.15">
      <c r="A118" t="s">
        <v>89</v>
      </c>
      <c r="M118" t="str">
        <f t="shared" si="1"/>
        <v>Scale</v>
      </c>
    </row>
    <row r="119" spans="1:13" x14ac:dyDescent="0.15">
      <c r="A119" t="s">
        <v>181</v>
      </c>
      <c r="M119" t="str">
        <f t="shared" si="1"/>
        <v>Profitability</v>
      </c>
    </row>
    <row r="120" spans="1:13" x14ac:dyDescent="0.15">
      <c r="A120" t="s">
        <v>182</v>
      </c>
      <c r="B120">
        <v>11.3</v>
      </c>
      <c r="C120">
        <v>11.63</v>
      </c>
      <c r="D120">
        <v>14.58</v>
      </c>
      <c r="E120">
        <v>10.9</v>
      </c>
      <c r="F120">
        <v>6.66</v>
      </c>
      <c r="G120">
        <v>25.72</v>
      </c>
      <c r="H120">
        <v>23.26</v>
      </c>
      <c r="I120">
        <v>17.399999999999999</v>
      </c>
      <c r="J120">
        <v>11.74</v>
      </c>
      <c r="K120">
        <v>7.76</v>
      </c>
      <c r="M120" t="str">
        <f t="shared" si="1"/>
        <v>Gross Margin</v>
      </c>
    </row>
    <row r="121" spans="1:13" x14ac:dyDescent="0.15">
      <c r="A121" t="s">
        <v>183</v>
      </c>
      <c r="B121">
        <v>2.75</v>
      </c>
      <c r="C121">
        <v>5.28</v>
      </c>
      <c r="D121">
        <v>9.75</v>
      </c>
      <c r="E121">
        <v>2.91</v>
      </c>
      <c r="F121">
        <v>-12.97</v>
      </c>
      <c r="G121">
        <v>20.77</v>
      </c>
      <c r="H121">
        <v>18.97</v>
      </c>
      <c r="I121">
        <v>10.42</v>
      </c>
      <c r="J121">
        <v>4.53</v>
      </c>
      <c r="K121">
        <v>0.08</v>
      </c>
      <c r="M121" t="str">
        <f t="shared" si="1"/>
        <v>Operating Margin</v>
      </c>
    </row>
    <row r="122" spans="1:13" x14ac:dyDescent="0.15">
      <c r="A122" t="s">
        <v>184</v>
      </c>
      <c r="B122">
        <v>-0.62</v>
      </c>
      <c r="C122">
        <v>1.87</v>
      </c>
      <c r="D122">
        <v>6.3</v>
      </c>
      <c r="E122">
        <v>-0.6</v>
      </c>
      <c r="F122">
        <v>-17.71</v>
      </c>
      <c r="G122">
        <v>17.27</v>
      </c>
      <c r="H122">
        <v>17.88</v>
      </c>
      <c r="I122">
        <v>8.19</v>
      </c>
      <c r="J122">
        <v>2.17</v>
      </c>
      <c r="K122">
        <v>-2.38</v>
      </c>
      <c r="M122" t="str">
        <f t="shared" si="1"/>
        <v>Pretax Margin</v>
      </c>
    </row>
    <row r="123" spans="1:13" x14ac:dyDescent="0.15">
      <c r="A123" t="s">
        <v>185</v>
      </c>
      <c r="C123">
        <v>4.78</v>
      </c>
      <c r="D123">
        <v>24.99</v>
      </c>
      <c r="G123">
        <v>15.73</v>
      </c>
      <c r="H123">
        <v>20.83</v>
      </c>
      <c r="I123">
        <v>19.18</v>
      </c>
      <c r="J123">
        <v>25.9</v>
      </c>
      <c r="M123" t="str">
        <f t="shared" si="1"/>
        <v>Effective Tax Rate</v>
      </c>
    </row>
    <row r="124" spans="1:13" x14ac:dyDescent="0.15">
      <c r="A124" t="s">
        <v>186</v>
      </c>
      <c r="B124">
        <v>-7.0000000000000007E-2</v>
      </c>
      <c r="C124">
        <v>1.78</v>
      </c>
      <c r="D124">
        <v>4.72</v>
      </c>
      <c r="E124">
        <v>-0.18</v>
      </c>
      <c r="F124">
        <v>-16.84</v>
      </c>
      <c r="G124">
        <v>14.55</v>
      </c>
      <c r="H124">
        <v>14.15</v>
      </c>
      <c r="I124">
        <v>6.73</v>
      </c>
      <c r="J124">
        <v>1.66</v>
      </c>
      <c r="K124">
        <v>-1.48</v>
      </c>
      <c r="M124" t="str">
        <f t="shared" si="1"/>
        <v>Net Profit Margin</v>
      </c>
    </row>
    <row r="125" spans="1:13" x14ac:dyDescent="0.15">
      <c r="A125" t="s">
        <v>187</v>
      </c>
      <c r="B125">
        <v>325.8</v>
      </c>
      <c r="C125">
        <v>379.6</v>
      </c>
      <c r="D125">
        <v>594.20000000000005</v>
      </c>
      <c r="E125">
        <v>253.5</v>
      </c>
      <c r="F125">
        <v>35.200000000000003</v>
      </c>
      <c r="G125">
        <v>1875.1</v>
      </c>
      <c r="H125">
        <v>1790.3</v>
      </c>
      <c r="I125">
        <v>782.8</v>
      </c>
      <c r="J125">
        <v>360</v>
      </c>
      <c r="K125">
        <v>63.2</v>
      </c>
      <c r="M125" t="str">
        <f t="shared" si="1"/>
        <v>Normalized EBIT</v>
      </c>
    </row>
    <row r="126" spans="1:13" x14ac:dyDescent="0.15">
      <c r="A126" t="s">
        <v>188</v>
      </c>
      <c r="B126">
        <v>859.3</v>
      </c>
      <c r="C126">
        <v>938.5</v>
      </c>
      <c r="D126">
        <v>1195.5999999999999</v>
      </c>
      <c r="E126">
        <v>850.9</v>
      </c>
      <c r="F126">
        <v>603.6</v>
      </c>
      <c r="G126">
        <v>2457.6</v>
      </c>
      <c r="H126">
        <v>2389.1</v>
      </c>
      <c r="I126">
        <v>1316.2</v>
      </c>
      <c r="J126">
        <v>878.1</v>
      </c>
      <c r="K126">
        <v>584.79999999999995</v>
      </c>
      <c r="M126" t="str">
        <f t="shared" si="1"/>
        <v>Normalized EBITDA</v>
      </c>
    </row>
    <row r="127" spans="1:13" x14ac:dyDescent="0.15">
      <c r="A127" t="s">
        <v>189</v>
      </c>
      <c r="B127">
        <v>12.4</v>
      </c>
      <c r="C127">
        <v>14.2</v>
      </c>
      <c r="D127">
        <v>18.399999999999999</v>
      </c>
      <c r="E127">
        <v>12.7</v>
      </c>
      <c r="F127">
        <v>-3.1</v>
      </c>
      <c r="G127">
        <v>27.3</v>
      </c>
      <c r="H127">
        <v>25.4</v>
      </c>
      <c r="I127">
        <v>18.2</v>
      </c>
      <c r="J127">
        <v>12.5</v>
      </c>
      <c r="K127">
        <v>7.8</v>
      </c>
      <c r="M127" t="str">
        <f t="shared" si="1"/>
        <v>EBITDA Margin %</v>
      </c>
    </row>
    <row r="128" spans="1:13" x14ac:dyDescent="0.15">
      <c r="A128" t="s">
        <v>190</v>
      </c>
      <c r="M128" t="str">
        <f t="shared" si="1"/>
        <v>Management Effectiveness</v>
      </c>
    </row>
    <row r="129" spans="1:13" x14ac:dyDescent="0.15">
      <c r="A129" t="s">
        <v>191</v>
      </c>
      <c r="B129">
        <v>4.5</v>
      </c>
      <c r="C129">
        <v>6.2</v>
      </c>
      <c r="D129">
        <v>9.1999999999999993</v>
      </c>
      <c r="E129">
        <v>1.4</v>
      </c>
      <c r="F129">
        <v>-25</v>
      </c>
      <c r="G129">
        <v>58.1</v>
      </c>
      <c r="H129">
        <v>48</v>
      </c>
      <c r="I129">
        <v>21.6</v>
      </c>
      <c r="J129">
        <v>7.4</v>
      </c>
      <c r="K129">
        <v>-3.3</v>
      </c>
      <c r="M129" t="str">
        <f t="shared" si="1"/>
        <v>Normalized Return on Equity % TTM</v>
      </c>
    </row>
    <row r="130" spans="1:13" x14ac:dyDescent="0.15">
      <c r="A130" t="s">
        <v>192</v>
      </c>
      <c r="B130">
        <v>1.8</v>
      </c>
      <c r="C130">
        <v>2.5</v>
      </c>
      <c r="D130">
        <v>4.2</v>
      </c>
      <c r="E130">
        <v>0.6</v>
      </c>
      <c r="F130">
        <v>-8.1</v>
      </c>
      <c r="G130">
        <v>24.7</v>
      </c>
      <c r="H130">
        <v>25.5</v>
      </c>
      <c r="I130">
        <v>10.4</v>
      </c>
      <c r="J130">
        <v>3.2</v>
      </c>
      <c r="K130">
        <v>-1.3</v>
      </c>
      <c r="M130" t="str">
        <f t="shared" ref="M130:M164" si="2">TRIM(A130)</f>
        <v>Normalized Return on Capital % TTM</v>
      </c>
    </row>
    <row r="131" spans="1:13" x14ac:dyDescent="0.15">
      <c r="A131" t="s">
        <v>193</v>
      </c>
      <c r="B131">
        <v>1.2</v>
      </c>
      <c r="C131">
        <v>1.7</v>
      </c>
      <c r="D131">
        <v>2.9</v>
      </c>
      <c r="E131">
        <v>0.4</v>
      </c>
      <c r="F131">
        <v>-5.3</v>
      </c>
      <c r="G131">
        <v>15.3</v>
      </c>
      <c r="H131">
        <v>15.9</v>
      </c>
      <c r="I131">
        <v>6.7</v>
      </c>
      <c r="J131">
        <v>2.1</v>
      </c>
      <c r="K131">
        <v>-0.9</v>
      </c>
      <c r="M131" t="str">
        <f t="shared" si="2"/>
        <v>Normalized Return on Assets % TTM</v>
      </c>
    </row>
    <row r="132" spans="1:13" x14ac:dyDescent="0.15">
      <c r="A132" t="s">
        <v>194</v>
      </c>
      <c r="M132" t="str">
        <f t="shared" si="2"/>
        <v>Financial Strength</v>
      </c>
    </row>
    <row r="133" spans="1:13" x14ac:dyDescent="0.15">
      <c r="A133" t="s">
        <v>195</v>
      </c>
      <c r="B133">
        <v>915.8</v>
      </c>
      <c r="C133">
        <v>1016.6</v>
      </c>
      <c r="D133">
        <v>996</v>
      </c>
      <c r="E133">
        <v>1018.3</v>
      </c>
      <c r="F133">
        <v>1042.4000000000001</v>
      </c>
      <c r="G133">
        <v>1380</v>
      </c>
      <c r="H133">
        <v>1214.5</v>
      </c>
      <c r="I133">
        <v>1114.4000000000001</v>
      </c>
      <c r="J133">
        <v>1256.3</v>
      </c>
      <c r="K133">
        <v>1186.5999999999999</v>
      </c>
      <c r="M133" t="str">
        <f t="shared" si="2"/>
        <v>Total Current Assets less Inventory</v>
      </c>
    </row>
    <row r="134" spans="1:13" x14ac:dyDescent="0.15">
      <c r="A134" t="s">
        <v>196</v>
      </c>
      <c r="B134">
        <v>0.99</v>
      </c>
      <c r="C134">
        <v>1.07</v>
      </c>
      <c r="D134">
        <v>0.89</v>
      </c>
      <c r="E134">
        <v>0.94</v>
      </c>
      <c r="F134">
        <v>0.87</v>
      </c>
      <c r="G134">
        <v>0.82</v>
      </c>
      <c r="H134">
        <v>0.78</v>
      </c>
      <c r="I134">
        <v>0.73</v>
      </c>
      <c r="J134">
        <v>0.77</v>
      </c>
      <c r="K134">
        <v>0.73</v>
      </c>
      <c r="M134" t="str">
        <f t="shared" si="2"/>
        <v>Quick Ratio</v>
      </c>
    </row>
    <row r="135" spans="1:13" x14ac:dyDescent="0.15">
      <c r="A135" t="s">
        <v>197</v>
      </c>
      <c r="B135">
        <v>1.68</v>
      </c>
      <c r="C135">
        <v>1.78</v>
      </c>
      <c r="D135">
        <v>1.53</v>
      </c>
      <c r="E135">
        <v>1.58</v>
      </c>
      <c r="F135">
        <v>1.43</v>
      </c>
      <c r="G135">
        <v>1.34</v>
      </c>
      <c r="H135">
        <v>1.38</v>
      </c>
      <c r="I135">
        <v>1.29</v>
      </c>
      <c r="J135">
        <v>1.27</v>
      </c>
      <c r="K135">
        <v>1.21</v>
      </c>
      <c r="M135" t="str">
        <f t="shared" si="2"/>
        <v>Current Ratio</v>
      </c>
    </row>
    <row r="136" spans="1:13" x14ac:dyDescent="0.15">
      <c r="A136" t="s">
        <v>198</v>
      </c>
      <c r="B136">
        <v>3433</v>
      </c>
      <c r="C136">
        <v>3393.6</v>
      </c>
      <c r="D136">
        <v>3051.5</v>
      </c>
      <c r="E136">
        <v>3119.9</v>
      </c>
      <c r="F136">
        <v>3674.1</v>
      </c>
      <c r="G136">
        <v>2598.8000000000002</v>
      </c>
      <c r="H136">
        <v>2386.6999999999998</v>
      </c>
      <c r="I136">
        <v>2535.6999999999998</v>
      </c>
      <c r="J136">
        <v>2698.9</v>
      </c>
      <c r="K136">
        <v>2691.4</v>
      </c>
      <c r="M136" t="str">
        <f t="shared" si="2"/>
        <v>Net Debt</v>
      </c>
    </row>
    <row r="137" spans="1:13" x14ac:dyDescent="0.15">
      <c r="A137" t="s">
        <v>199</v>
      </c>
      <c r="B137">
        <v>100</v>
      </c>
      <c r="C137">
        <v>100</v>
      </c>
      <c r="D137">
        <v>100</v>
      </c>
      <c r="E137">
        <v>100</v>
      </c>
      <c r="F137">
        <v>100</v>
      </c>
      <c r="G137">
        <v>97.2</v>
      </c>
      <c r="H137">
        <v>100</v>
      </c>
      <c r="I137">
        <v>100</v>
      </c>
      <c r="J137">
        <v>100</v>
      </c>
      <c r="K137">
        <v>100</v>
      </c>
      <c r="M137" t="str">
        <f t="shared" si="2"/>
        <v>Long Term Debt / Equity %</v>
      </c>
    </row>
    <row r="138" spans="1:13" x14ac:dyDescent="0.15">
      <c r="A138" t="s">
        <v>200</v>
      </c>
      <c r="B138">
        <v>60.9</v>
      </c>
      <c r="C138">
        <v>56.7</v>
      </c>
      <c r="D138">
        <v>52.3</v>
      </c>
      <c r="E138">
        <v>58</v>
      </c>
      <c r="F138">
        <v>72.599999999999994</v>
      </c>
      <c r="G138">
        <v>49.3</v>
      </c>
      <c r="H138">
        <v>50.3</v>
      </c>
      <c r="I138">
        <v>53.3</v>
      </c>
      <c r="J138">
        <v>56.9</v>
      </c>
      <c r="K138">
        <v>59.2</v>
      </c>
      <c r="M138" t="str">
        <f t="shared" si="2"/>
        <v>Long Term Debt / Capital %</v>
      </c>
    </row>
    <row r="139" spans="1:13" x14ac:dyDescent="0.15">
      <c r="A139" t="s">
        <v>201</v>
      </c>
      <c r="B139">
        <v>147.5</v>
      </c>
      <c r="C139">
        <v>123.2</v>
      </c>
      <c r="D139">
        <v>103.3</v>
      </c>
      <c r="E139">
        <v>129</v>
      </c>
      <c r="F139">
        <v>251.4</v>
      </c>
      <c r="G139">
        <v>90.4</v>
      </c>
      <c r="H139">
        <v>93.5</v>
      </c>
      <c r="I139">
        <v>108.4</v>
      </c>
      <c r="J139">
        <v>125.4</v>
      </c>
      <c r="K139">
        <v>138.69999999999999</v>
      </c>
      <c r="M139" t="str">
        <f t="shared" si="2"/>
        <v>Net Debt / Equity %</v>
      </c>
    </row>
    <row r="140" spans="1:13" x14ac:dyDescent="0.15">
      <c r="A140" t="s">
        <v>202</v>
      </c>
      <c r="B140">
        <v>155.6</v>
      </c>
      <c r="C140">
        <v>131.1</v>
      </c>
      <c r="D140">
        <v>109.6</v>
      </c>
      <c r="E140">
        <v>138.1</v>
      </c>
      <c r="F140">
        <v>264.5</v>
      </c>
      <c r="G140">
        <v>97.2</v>
      </c>
      <c r="H140">
        <v>101.1</v>
      </c>
      <c r="I140">
        <v>116.1</v>
      </c>
      <c r="J140">
        <v>134.1</v>
      </c>
      <c r="K140">
        <v>147.80000000000001</v>
      </c>
      <c r="M140" t="str">
        <f t="shared" si="2"/>
        <v>Total Debt / Total Equity %</v>
      </c>
    </row>
    <row r="141" spans="1:13" x14ac:dyDescent="0.15">
      <c r="A141" t="s">
        <v>203</v>
      </c>
      <c r="B141">
        <v>60.9</v>
      </c>
      <c r="C141">
        <v>56.7</v>
      </c>
      <c r="D141">
        <v>52.3</v>
      </c>
      <c r="E141">
        <v>58</v>
      </c>
      <c r="F141">
        <v>72.599999999999994</v>
      </c>
      <c r="G141">
        <v>49.3</v>
      </c>
      <c r="H141">
        <v>50.3</v>
      </c>
      <c r="I141">
        <v>53.3</v>
      </c>
      <c r="J141">
        <v>56.9</v>
      </c>
      <c r="K141">
        <v>59.2</v>
      </c>
      <c r="M141" t="str">
        <f t="shared" si="2"/>
        <v>Total Debt / Total Capital %</v>
      </c>
    </row>
    <row r="142" spans="1:13" x14ac:dyDescent="0.15">
      <c r="A142" t="s">
        <v>204</v>
      </c>
      <c r="B142">
        <v>40.4</v>
      </c>
      <c r="C142">
        <v>39.200000000000003</v>
      </c>
      <c r="D142">
        <v>34.5</v>
      </c>
      <c r="E142">
        <v>36.299999999999997</v>
      </c>
      <c r="F142">
        <v>46.4</v>
      </c>
      <c r="G142">
        <v>30.3</v>
      </c>
      <c r="H142">
        <v>32</v>
      </c>
      <c r="I142">
        <v>33.6</v>
      </c>
      <c r="J142">
        <v>35.799999999999997</v>
      </c>
      <c r="K142">
        <v>37.1</v>
      </c>
      <c r="M142" t="str">
        <f t="shared" si="2"/>
        <v>Total Debt / Assets %</v>
      </c>
    </row>
    <row r="143" spans="1:13" x14ac:dyDescent="0.15">
      <c r="A143" t="s">
        <v>205</v>
      </c>
      <c r="B143">
        <v>1.5</v>
      </c>
      <c r="C143">
        <v>2</v>
      </c>
      <c r="D143">
        <v>2.2999999999999998</v>
      </c>
      <c r="E143">
        <v>-0.7</v>
      </c>
      <c r="F143">
        <v>1</v>
      </c>
      <c r="G143">
        <v>3.7</v>
      </c>
      <c r="H143">
        <v>7</v>
      </c>
      <c r="I143">
        <v>2.2999999999999998</v>
      </c>
      <c r="J143">
        <v>1.2</v>
      </c>
      <c r="M143" t="str">
        <f t="shared" si="2"/>
        <v>Interest Coverage</v>
      </c>
    </row>
    <row r="144" spans="1:13" x14ac:dyDescent="0.15">
      <c r="A144" t="s">
        <v>206</v>
      </c>
      <c r="B144">
        <v>3.9</v>
      </c>
      <c r="C144">
        <v>3.4</v>
      </c>
      <c r="D144">
        <v>3.2</v>
      </c>
      <c r="E144">
        <v>3.8</v>
      </c>
      <c r="F144">
        <v>5.7</v>
      </c>
      <c r="G144">
        <v>3.2</v>
      </c>
      <c r="H144">
        <v>3.2</v>
      </c>
      <c r="I144">
        <v>3.5</v>
      </c>
      <c r="J144">
        <v>3.8</v>
      </c>
      <c r="K144">
        <v>4</v>
      </c>
      <c r="M144" t="str">
        <f t="shared" si="2"/>
        <v>Financial Leverage Ratio</v>
      </c>
    </row>
    <row r="145" spans="1:13" x14ac:dyDescent="0.15">
      <c r="A145" t="s">
        <v>207</v>
      </c>
      <c r="M145" t="str">
        <f t="shared" si="2"/>
        <v>Efficiency</v>
      </c>
    </row>
    <row r="146" spans="1:13" x14ac:dyDescent="0.15">
      <c r="A146" t="s">
        <v>208</v>
      </c>
      <c r="B146">
        <v>47</v>
      </c>
      <c r="C146">
        <v>45</v>
      </c>
      <c r="D146">
        <v>44</v>
      </c>
      <c r="E146">
        <v>47</v>
      </c>
      <c r="F146">
        <v>46</v>
      </c>
      <c r="G146">
        <v>48</v>
      </c>
      <c r="H146">
        <v>48</v>
      </c>
      <c r="I146">
        <v>56</v>
      </c>
      <c r="J146">
        <v>52</v>
      </c>
      <c r="K146">
        <v>46</v>
      </c>
      <c r="M146" t="str">
        <f t="shared" si="2"/>
        <v>Days Inventory (DOH)</v>
      </c>
    </row>
    <row r="147" spans="1:13" x14ac:dyDescent="0.15">
      <c r="A147" t="s">
        <v>209</v>
      </c>
      <c r="I147">
        <v>47</v>
      </c>
      <c r="J147">
        <v>56</v>
      </c>
      <c r="M147" t="str">
        <f t="shared" si="2"/>
        <v>Days Receivable (DSO)</v>
      </c>
    </row>
    <row r="148" spans="1:13" x14ac:dyDescent="0.15">
      <c r="A148" t="s">
        <v>210</v>
      </c>
      <c r="B148">
        <v>42</v>
      </c>
      <c r="C148">
        <v>44</v>
      </c>
      <c r="D148">
        <v>39</v>
      </c>
      <c r="E148">
        <v>44</v>
      </c>
      <c r="F148">
        <v>50</v>
      </c>
      <c r="G148">
        <v>47</v>
      </c>
      <c r="H148">
        <v>42</v>
      </c>
      <c r="I148">
        <v>50</v>
      </c>
      <c r="J148">
        <v>54</v>
      </c>
      <c r="K148">
        <v>47</v>
      </c>
      <c r="M148" t="str">
        <f t="shared" si="2"/>
        <v>Days Payable (DP)</v>
      </c>
    </row>
    <row r="149" spans="1:13" x14ac:dyDescent="0.15">
      <c r="A149" t="s">
        <v>211</v>
      </c>
      <c r="I149">
        <v>52</v>
      </c>
      <c r="J149">
        <v>54</v>
      </c>
      <c r="M149" t="str">
        <f t="shared" si="2"/>
        <v>Cash Cycle (DOH+DSO-DP)</v>
      </c>
    </row>
    <row r="150" spans="1:13" x14ac:dyDescent="0.15">
      <c r="A150" t="s">
        <v>212</v>
      </c>
      <c r="B150">
        <v>0.63300000000000001</v>
      </c>
      <c r="C150">
        <v>0.68</v>
      </c>
      <c r="D150">
        <v>0.77200000000000002</v>
      </c>
      <c r="E150">
        <v>0.66500000000000004</v>
      </c>
      <c r="F150">
        <v>0.69599999999999995</v>
      </c>
      <c r="G150">
        <v>1.046</v>
      </c>
      <c r="H150">
        <v>1.1659999999999999</v>
      </c>
      <c r="I150">
        <v>0.88600000000000001</v>
      </c>
      <c r="J150">
        <v>0.86299999999999999</v>
      </c>
      <c r="K150">
        <v>0.92600000000000005</v>
      </c>
      <c r="M150" t="str">
        <f t="shared" si="2"/>
        <v>Asset Turnover TTM</v>
      </c>
    </row>
    <row r="151" spans="1:13" x14ac:dyDescent="0.15">
      <c r="A151" t="s">
        <v>213</v>
      </c>
      <c r="I151">
        <v>7.8</v>
      </c>
      <c r="J151">
        <v>6.5</v>
      </c>
      <c r="M151" t="str">
        <f t="shared" si="2"/>
        <v>Receivables Turnover TTM</v>
      </c>
    </row>
    <row r="152" spans="1:13" x14ac:dyDescent="0.15">
      <c r="A152" t="s">
        <v>214</v>
      </c>
      <c r="B152">
        <v>7.8</v>
      </c>
      <c r="C152">
        <v>8.1</v>
      </c>
      <c r="D152">
        <v>8.3000000000000007</v>
      </c>
      <c r="E152">
        <v>7.8</v>
      </c>
      <c r="F152">
        <v>8</v>
      </c>
      <c r="G152">
        <v>7.6</v>
      </c>
      <c r="H152">
        <v>7.6</v>
      </c>
      <c r="I152">
        <v>6.6</v>
      </c>
      <c r="J152">
        <v>7</v>
      </c>
      <c r="K152">
        <v>8</v>
      </c>
      <c r="M152" t="str">
        <f t="shared" si="2"/>
        <v>Inventory Turnover TTM</v>
      </c>
    </row>
    <row r="153" spans="1:13" x14ac:dyDescent="0.15">
      <c r="A153" t="s">
        <v>215</v>
      </c>
      <c r="B153">
        <v>8.6</v>
      </c>
      <c r="C153">
        <v>8.3000000000000007</v>
      </c>
      <c r="D153">
        <v>9.3000000000000007</v>
      </c>
      <c r="E153">
        <v>8.3000000000000007</v>
      </c>
      <c r="F153">
        <v>7.4</v>
      </c>
      <c r="G153">
        <v>7.8</v>
      </c>
      <c r="H153">
        <v>8.6</v>
      </c>
      <c r="I153">
        <v>7.3</v>
      </c>
      <c r="J153">
        <v>6.7</v>
      </c>
      <c r="K153">
        <v>7.8</v>
      </c>
      <c r="M153" t="str">
        <f t="shared" si="2"/>
        <v>Payables Turnover TTM</v>
      </c>
    </row>
    <row r="154" spans="1:13" x14ac:dyDescent="0.15">
      <c r="A154" t="s">
        <v>216</v>
      </c>
      <c r="B154">
        <v>8.8000000000000007</v>
      </c>
      <c r="C154">
        <v>9.1999999999999993</v>
      </c>
      <c r="D154">
        <v>9.8000000000000007</v>
      </c>
      <c r="E154">
        <v>8.8000000000000007</v>
      </c>
      <c r="F154">
        <v>8.5</v>
      </c>
      <c r="G154">
        <v>10.3</v>
      </c>
      <c r="H154">
        <v>10</v>
      </c>
      <c r="I154">
        <v>8</v>
      </c>
      <c r="J154">
        <v>7.9</v>
      </c>
      <c r="K154">
        <v>8.6</v>
      </c>
      <c r="M154" t="str">
        <f t="shared" si="2"/>
        <v>Sales / Inventory TTM</v>
      </c>
    </row>
    <row r="155" spans="1:13" x14ac:dyDescent="0.15">
      <c r="A155" t="s">
        <v>217</v>
      </c>
      <c r="B155">
        <v>8.9</v>
      </c>
      <c r="C155">
        <v>8.4</v>
      </c>
      <c r="D155">
        <v>11.8</v>
      </c>
      <c r="E155">
        <v>9.6999999999999993</v>
      </c>
      <c r="F155">
        <v>11.1</v>
      </c>
      <c r="G155">
        <v>15.7</v>
      </c>
      <c r="H155">
        <v>15.8</v>
      </c>
      <c r="I155">
        <v>15.4</v>
      </c>
      <c r="J155">
        <v>14.6</v>
      </c>
      <c r="K155">
        <v>19.899999999999999</v>
      </c>
      <c r="M155" t="str">
        <f t="shared" si="2"/>
        <v>Sales / Working Capital TTM</v>
      </c>
    </row>
    <row r="156" spans="1:13" x14ac:dyDescent="0.15">
      <c r="A156" t="s">
        <v>218</v>
      </c>
      <c r="B156">
        <v>30.1</v>
      </c>
      <c r="C156">
        <v>28.7</v>
      </c>
      <c r="D156">
        <v>38.9</v>
      </c>
      <c r="E156">
        <v>27.7</v>
      </c>
      <c r="F156">
        <v>30.4</v>
      </c>
      <c r="G156">
        <v>49.4</v>
      </c>
      <c r="H156">
        <v>48.3</v>
      </c>
      <c r="I156">
        <v>40.1</v>
      </c>
      <c r="J156">
        <v>37.200000000000003</v>
      </c>
      <c r="K156">
        <v>40.5</v>
      </c>
      <c r="M156" t="str">
        <f t="shared" si="2"/>
        <v>Sales / Cash TTM</v>
      </c>
    </row>
    <row r="157" spans="1:13" x14ac:dyDescent="0.15">
      <c r="A157" t="s">
        <v>219</v>
      </c>
      <c r="B157">
        <v>1.5</v>
      </c>
      <c r="C157">
        <v>1.8</v>
      </c>
      <c r="D157">
        <v>2</v>
      </c>
      <c r="E157">
        <v>1.7</v>
      </c>
      <c r="F157">
        <v>1.6</v>
      </c>
      <c r="G157">
        <v>2.7</v>
      </c>
      <c r="H157">
        <v>3.1</v>
      </c>
      <c r="I157">
        <v>2.4</v>
      </c>
      <c r="J157">
        <v>2.5</v>
      </c>
      <c r="K157">
        <v>2.7</v>
      </c>
      <c r="M157" t="str">
        <f t="shared" si="2"/>
        <v>Sales / Fixed Assets TTM</v>
      </c>
    </row>
    <row r="158" spans="1:13" x14ac:dyDescent="0.15">
      <c r="A158" t="s">
        <v>220</v>
      </c>
      <c r="M158" t="str">
        <f t="shared" si="2"/>
        <v>Miscellaneous</v>
      </c>
    </row>
    <row r="159" spans="1:13" x14ac:dyDescent="0.15">
      <c r="A159" t="s">
        <v>221</v>
      </c>
      <c r="B159">
        <v>325.2</v>
      </c>
      <c r="C159">
        <v>354.5</v>
      </c>
      <c r="D159">
        <v>522.6</v>
      </c>
      <c r="E159">
        <v>231.7</v>
      </c>
      <c r="F159">
        <v>119.5</v>
      </c>
      <c r="G159">
        <v>1540.4</v>
      </c>
      <c r="H159">
        <v>1685</v>
      </c>
      <c r="I159">
        <v>738.3</v>
      </c>
      <c r="J159">
        <v>308.10000000000002</v>
      </c>
      <c r="K159">
        <v>247.9</v>
      </c>
      <c r="M159" t="str">
        <f t="shared" si="2"/>
        <v>Free Cash Flow TTM</v>
      </c>
    </row>
    <row r="160" spans="1:13" x14ac:dyDescent="0.15">
      <c r="A160" t="s">
        <v>222</v>
      </c>
      <c r="B160">
        <v>1.96</v>
      </c>
      <c r="C160">
        <v>2.11</v>
      </c>
      <c r="D160">
        <v>3.1</v>
      </c>
      <c r="E160">
        <v>1.42</v>
      </c>
      <c r="F160">
        <v>0.76</v>
      </c>
      <c r="G160">
        <v>9.4600000000000009</v>
      </c>
      <c r="H160">
        <v>11.35</v>
      </c>
      <c r="I160">
        <v>5.73</v>
      </c>
      <c r="J160">
        <v>2.59</v>
      </c>
      <c r="K160">
        <v>2.15</v>
      </c>
      <c r="M160" t="str">
        <f t="shared" si="2"/>
        <v>Free Cash Flow Per Share TTM</v>
      </c>
    </row>
    <row r="161" spans="1:13" x14ac:dyDescent="0.15">
      <c r="A161" t="s">
        <v>223</v>
      </c>
      <c r="B161">
        <v>13.74</v>
      </c>
      <c r="C161">
        <v>16.48</v>
      </c>
      <c r="D161">
        <v>17.13</v>
      </c>
      <c r="E161">
        <v>15.33</v>
      </c>
      <c r="F161">
        <v>9.18</v>
      </c>
      <c r="G161">
        <v>16.91</v>
      </c>
      <c r="H161">
        <v>19.23</v>
      </c>
      <c r="I161">
        <v>18.57</v>
      </c>
      <c r="J161">
        <v>17.489999999999998</v>
      </c>
      <c r="K161">
        <v>16.190000000000001</v>
      </c>
      <c r="M161" t="str">
        <f t="shared" si="2"/>
        <v>Book Value Per Share</v>
      </c>
    </row>
    <row r="162" spans="1:13" x14ac:dyDescent="0.15">
      <c r="A162" t="s">
        <v>224</v>
      </c>
      <c r="B162">
        <v>-474.6</v>
      </c>
      <c r="C162">
        <v>55.2</v>
      </c>
      <c r="D162">
        <v>201</v>
      </c>
      <c r="E162">
        <v>-150.30000000000001</v>
      </c>
      <c r="F162">
        <v>-368.8</v>
      </c>
      <c r="G162">
        <v>899.9</v>
      </c>
      <c r="H162">
        <v>-199.1</v>
      </c>
      <c r="I162">
        <v>-499.2</v>
      </c>
      <c r="J162">
        <v>-654.4</v>
      </c>
      <c r="K162">
        <v>-759.1</v>
      </c>
      <c r="M162" t="str">
        <f t="shared" si="2"/>
        <v>Tangible Book Value</v>
      </c>
    </row>
    <row r="163" spans="1:13" x14ac:dyDescent="0.15">
      <c r="A163" t="s">
        <v>225</v>
      </c>
      <c r="B163">
        <v>-2.8690000000000002</v>
      </c>
      <c r="C163">
        <v>0.33</v>
      </c>
      <c r="D163">
        <v>1.216</v>
      </c>
      <c r="E163">
        <v>-0.95299999999999996</v>
      </c>
      <c r="F163">
        <v>-2.3340000000000001</v>
      </c>
      <c r="G163">
        <v>5.7389999999999999</v>
      </c>
      <c r="H163">
        <v>-1.5049999999999999</v>
      </c>
      <c r="I163">
        <v>-4.1529999999999996</v>
      </c>
      <c r="J163">
        <v>-5.6559999999999997</v>
      </c>
      <c r="K163">
        <v>-6.6820000000000004</v>
      </c>
      <c r="M163" t="str">
        <f t="shared" si="2"/>
        <v>Tangible Book Value per Share</v>
      </c>
    </row>
    <row r="164" spans="1:13" x14ac:dyDescent="0.15">
      <c r="A164" t="s">
        <v>226</v>
      </c>
      <c r="M164" t="str">
        <f t="shared" si="2"/>
        <v>Bank Total Revenue</v>
      </c>
    </row>
  </sheetData>
  <sortState xmlns:xlrd2="http://schemas.microsoft.com/office/spreadsheetml/2017/richdata2" columnSort="1" ref="B1:K166">
    <sortCondition descending="1" ref="B2:K2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DDA4-D7A6-F94B-A537-28FB09F6CCB7}">
  <sheetPr codeName="Sheet3"/>
  <dimension ref="A1:M164"/>
  <sheetViews>
    <sheetView topLeftCell="A57" workbookViewId="0">
      <selection activeCell="M89" sqref="M89"/>
    </sheetView>
  </sheetViews>
  <sheetFormatPr baseColWidth="10" defaultRowHeight="13" x14ac:dyDescent="0.15"/>
  <cols>
    <col min="1" max="1" width="41.83203125" bestFit="1" customWidth="1"/>
    <col min="2" max="11" width="8.1640625" bestFit="1" customWidth="1"/>
  </cols>
  <sheetData>
    <row r="1" spans="1:13" x14ac:dyDescent="0.15">
      <c r="A1" t="s">
        <v>81</v>
      </c>
      <c r="M1" t="str">
        <f>TRIM(A1)</f>
        <v>Huntsman Corporation (44701110)</v>
      </c>
    </row>
    <row r="2" spans="1:13" x14ac:dyDescent="0.15">
      <c r="A2" t="s">
        <v>82</v>
      </c>
      <c r="M2" t="str">
        <f t="shared" ref="M2:M65" si="0">TRIM(A2)</f>
        <v>Income Statement - Annual (As Originally Reported)</v>
      </c>
    </row>
    <row r="3" spans="1:13" x14ac:dyDescent="0.15">
      <c r="A3" t="s">
        <v>86</v>
      </c>
      <c r="B3" s="1">
        <v>42735</v>
      </c>
      <c r="C3" s="1">
        <v>43100</v>
      </c>
      <c r="D3" s="1">
        <v>43465</v>
      </c>
      <c r="E3" s="1">
        <v>43830</v>
      </c>
      <c r="F3" s="1">
        <v>44196</v>
      </c>
      <c r="G3" s="1">
        <v>44561</v>
      </c>
      <c r="H3" s="1">
        <v>44926</v>
      </c>
      <c r="I3" s="1">
        <v>45291</v>
      </c>
      <c r="J3" s="1">
        <v>45657</v>
      </c>
      <c r="K3" s="1">
        <v>46022</v>
      </c>
      <c r="M3" t="str">
        <f t="shared" si="0"/>
        <v>FYE December</v>
      </c>
    </row>
    <row r="4" spans="1:13" x14ac:dyDescent="0.15">
      <c r="A4" t="s">
        <v>87</v>
      </c>
      <c r="B4" t="s">
        <v>88</v>
      </c>
      <c r="C4" t="s">
        <v>88</v>
      </c>
      <c r="D4" t="s">
        <v>88</v>
      </c>
      <c r="E4" t="s">
        <v>88</v>
      </c>
      <c r="F4" t="s">
        <v>88</v>
      </c>
      <c r="G4" t="s">
        <v>88</v>
      </c>
      <c r="H4" t="s">
        <v>88</v>
      </c>
      <c r="I4" t="s">
        <v>88</v>
      </c>
      <c r="J4" t="s">
        <v>88</v>
      </c>
      <c r="K4" t="s">
        <v>88</v>
      </c>
      <c r="M4" t="str">
        <f t="shared" si="0"/>
        <v>Currency</v>
      </c>
    </row>
    <row r="5" spans="1:13" x14ac:dyDescent="0.15">
      <c r="A5" t="s">
        <v>89</v>
      </c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H5" t="s">
        <v>90</v>
      </c>
      <c r="I5" t="s">
        <v>90</v>
      </c>
      <c r="J5" t="s">
        <v>90</v>
      </c>
      <c r="K5" t="s">
        <v>90</v>
      </c>
      <c r="M5" t="str">
        <f t="shared" si="0"/>
        <v>Scale</v>
      </c>
    </row>
    <row r="6" spans="1:13" x14ac:dyDescent="0.15">
      <c r="A6" t="s">
        <v>91</v>
      </c>
      <c r="B6">
        <v>9657</v>
      </c>
      <c r="C6">
        <v>8358</v>
      </c>
      <c r="D6">
        <v>9379</v>
      </c>
      <c r="E6">
        <v>6797</v>
      </c>
      <c r="F6">
        <v>6018</v>
      </c>
      <c r="G6">
        <v>8453</v>
      </c>
      <c r="H6">
        <v>8023</v>
      </c>
      <c r="I6">
        <v>6111</v>
      </c>
      <c r="J6">
        <v>6036</v>
      </c>
      <c r="K6">
        <v>5683</v>
      </c>
      <c r="M6" t="str">
        <f t="shared" si="0"/>
        <v>Total Revenue</v>
      </c>
    </row>
    <row r="7" spans="1:13" x14ac:dyDescent="0.15">
      <c r="A7" t="s">
        <v>92</v>
      </c>
      <c r="B7">
        <v>7979</v>
      </c>
      <c r="C7">
        <v>6546</v>
      </c>
      <c r="D7">
        <v>7354</v>
      </c>
      <c r="E7">
        <v>5415</v>
      </c>
      <c r="F7">
        <v>4918</v>
      </c>
      <c r="G7">
        <v>6678</v>
      </c>
      <c r="H7">
        <v>6477</v>
      </c>
      <c r="I7">
        <v>5205</v>
      </c>
      <c r="J7">
        <v>5170</v>
      </c>
      <c r="K7">
        <v>4932</v>
      </c>
      <c r="M7" t="str">
        <f t="shared" si="0"/>
        <v>Cost of Revenue, Total</v>
      </c>
    </row>
    <row r="8" spans="1:13" x14ac:dyDescent="0.15">
      <c r="A8" t="s">
        <v>93</v>
      </c>
      <c r="B8">
        <v>1678</v>
      </c>
      <c r="C8">
        <v>1812</v>
      </c>
      <c r="D8">
        <v>2025</v>
      </c>
      <c r="E8">
        <v>1382</v>
      </c>
      <c r="F8">
        <v>1100</v>
      </c>
      <c r="G8">
        <v>1775</v>
      </c>
      <c r="H8">
        <v>1546</v>
      </c>
      <c r="I8">
        <v>906</v>
      </c>
      <c r="J8">
        <v>866</v>
      </c>
      <c r="K8">
        <v>751</v>
      </c>
      <c r="M8" t="str">
        <f t="shared" si="0"/>
        <v>Gross Profit</v>
      </c>
    </row>
    <row r="9" spans="1:13" x14ac:dyDescent="0.15">
      <c r="A9" t="s">
        <v>94</v>
      </c>
      <c r="B9">
        <v>920</v>
      </c>
      <c r="C9">
        <v>798</v>
      </c>
      <c r="D9">
        <v>830</v>
      </c>
      <c r="E9">
        <v>786</v>
      </c>
      <c r="F9">
        <v>775</v>
      </c>
      <c r="G9">
        <v>851</v>
      </c>
      <c r="H9">
        <v>711</v>
      </c>
      <c r="I9">
        <v>689</v>
      </c>
      <c r="J9">
        <v>671</v>
      </c>
      <c r="K9">
        <v>670</v>
      </c>
      <c r="M9" t="str">
        <f t="shared" si="0"/>
        <v>Selling/General/Admin. Expenses, Total</v>
      </c>
    </row>
    <row r="10" spans="1:13" x14ac:dyDescent="0.15">
      <c r="A10" t="s">
        <v>95</v>
      </c>
      <c r="B10">
        <v>152</v>
      </c>
      <c r="C10">
        <v>138</v>
      </c>
      <c r="D10">
        <v>152</v>
      </c>
      <c r="E10">
        <v>137</v>
      </c>
      <c r="F10">
        <v>135</v>
      </c>
      <c r="G10">
        <v>150</v>
      </c>
      <c r="H10">
        <v>125</v>
      </c>
      <c r="I10">
        <v>115</v>
      </c>
      <c r="J10">
        <v>121</v>
      </c>
      <c r="K10">
        <v>120</v>
      </c>
      <c r="M10" t="str">
        <f t="shared" si="0"/>
        <v>Research &amp; Development</v>
      </c>
    </row>
    <row r="11" spans="1:13" x14ac:dyDescent="0.15">
      <c r="A11" t="s">
        <v>96</v>
      </c>
      <c r="M11" t="str">
        <f t="shared" si="0"/>
        <v>Depreciation/Amortization</v>
      </c>
    </row>
    <row r="12" spans="1:13" x14ac:dyDescent="0.15">
      <c r="A12" t="s">
        <v>97</v>
      </c>
      <c r="M12" t="str">
        <f t="shared" si="0"/>
        <v>Interest Exp.(Inc.), Net-Operating, Total</v>
      </c>
    </row>
    <row r="13" spans="1:13" x14ac:dyDescent="0.15">
      <c r="A13" t="s">
        <v>98</v>
      </c>
      <c r="B13">
        <v>102</v>
      </c>
      <c r="C13">
        <v>102</v>
      </c>
      <c r="D13">
        <v>0</v>
      </c>
      <c r="E13">
        <v>-18</v>
      </c>
      <c r="F13">
        <v>-198</v>
      </c>
      <c r="G13">
        <v>-426</v>
      </c>
      <c r="H13">
        <v>89</v>
      </c>
      <c r="I13">
        <v>18</v>
      </c>
      <c r="J13">
        <v>98</v>
      </c>
      <c r="K13">
        <v>110</v>
      </c>
      <c r="M13" t="str">
        <f t="shared" si="0"/>
        <v>Unusual Expense (Income)</v>
      </c>
    </row>
    <row r="14" spans="1:13" x14ac:dyDescent="0.15">
      <c r="A14" t="s">
        <v>99</v>
      </c>
      <c r="B14">
        <v>-140</v>
      </c>
      <c r="C14">
        <v>-23</v>
      </c>
      <c r="D14">
        <v>8</v>
      </c>
      <c r="E14">
        <v>31</v>
      </c>
      <c r="F14">
        <v>-45</v>
      </c>
      <c r="G14">
        <v>-33</v>
      </c>
      <c r="H14">
        <v>-48</v>
      </c>
      <c r="I14">
        <v>0</v>
      </c>
      <c r="J14">
        <v>1</v>
      </c>
      <c r="K14">
        <v>-18</v>
      </c>
      <c r="M14" t="str">
        <f t="shared" si="0"/>
        <v>Other Operating Expenses, Total</v>
      </c>
    </row>
    <row r="15" spans="1:13" x14ac:dyDescent="0.15">
      <c r="A15" t="s">
        <v>100</v>
      </c>
      <c r="B15">
        <v>9013</v>
      </c>
      <c r="C15">
        <v>7561</v>
      </c>
      <c r="D15">
        <v>8344</v>
      </c>
      <c r="E15">
        <v>6351</v>
      </c>
      <c r="F15">
        <v>5585</v>
      </c>
      <c r="G15">
        <v>7220</v>
      </c>
      <c r="H15">
        <v>7354</v>
      </c>
      <c r="I15">
        <v>6027</v>
      </c>
      <c r="J15">
        <v>6061</v>
      </c>
      <c r="K15">
        <v>5814</v>
      </c>
      <c r="M15" t="str">
        <f t="shared" si="0"/>
        <v>Total Operating Expense</v>
      </c>
    </row>
    <row r="16" spans="1:13" x14ac:dyDescent="0.15">
      <c r="A16" t="s">
        <v>101</v>
      </c>
      <c r="B16">
        <v>644</v>
      </c>
      <c r="C16">
        <v>797</v>
      </c>
      <c r="D16">
        <v>1035</v>
      </c>
      <c r="E16">
        <v>446</v>
      </c>
      <c r="F16">
        <v>433</v>
      </c>
      <c r="G16">
        <v>1233</v>
      </c>
      <c r="H16">
        <v>669</v>
      </c>
      <c r="I16">
        <v>84</v>
      </c>
      <c r="J16">
        <v>-25</v>
      </c>
      <c r="K16">
        <v>-131</v>
      </c>
      <c r="M16" t="str">
        <f t="shared" si="0"/>
        <v>Operating Income</v>
      </c>
    </row>
    <row r="17" spans="1:13" x14ac:dyDescent="0.15">
      <c r="A17" t="s">
        <v>102</v>
      </c>
      <c r="B17">
        <v>-197</v>
      </c>
      <c r="C17">
        <v>-152</v>
      </c>
      <c r="D17">
        <v>-122</v>
      </c>
      <c r="E17">
        <v>-75</v>
      </c>
      <c r="F17">
        <v>-132</v>
      </c>
      <c r="G17">
        <v>48</v>
      </c>
      <c r="H17">
        <v>-7</v>
      </c>
      <c r="I17">
        <v>13</v>
      </c>
      <c r="J17">
        <v>-35</v>
      </c>
      <c r="K17">
        <v>-75</v>
      </c>
      <c r="M17" t="str">
        <f t="shared" si="0"/>
        <v>Interest Inc.(Exp.),Net-Non-Op., Total</v>
      </c>
    </row>
    <row r="18" spans="1:13" x14ac:dyDescent="0.15">
      <c r="A18" t="s">
        <v>103</v>
      </c>
      <c r="M18" t="str">
        <f t="shared" si="0"/>
        <v>Gain (Loss) on Sale of Assets</v>
      </c>
    </row>
    <row r="19" spans="1:13" x14ac:dyDescent="0.15">
      <c r="A19" t="s">
        <v>104</v>
      </c>
      <c r="B19">
        <v>1</v>
      </c>
      <c r="C19">
        <v>2</v>
      </c>
      <c r="D19">
        <v>29</v>
      </c>
      <c r="E19">
        <v>20</v>
      </c>
      <c r="F19">
        <v>36</v>
      </c>
      <c r="G19">
        <v>32</v>
      </c>
      <c r="H19">
        <v>35</v>
      </c>
      <c r="I19">
        <v>2</v>
      </c>
      <c r="J19">
        <v>21</v>
      </c>
      <c r="K19">
        <v>14</v>
      </c>
      <c r="M19" t="str">
        <f t="shared" si="0"/>
        <v>Other, Net</v>
      </c>
    </row>
    <row r="20" spans="1:13" x14ac:dyDescent="0.15">
      <c r="A20" t="s">
        <v>105</v>
      </c>
      <c r="B20">
        <v>448</v>
      </c>
      <c r="C20">
        <v>647</v>
      </c>
      <c r="D20">
        <v>942</v>
      </c>
      <c r="E20">
        <v>391</v>
      </c>
      <c r="F20">
        <v>337</v>
      </c>
      <c r="G20">
        <v>1313</v>
      </c>
      <c r="H20">
        <v>697</v>
      </c>
      <c r="I20">
        <v>99</v>
      </c>
      <c r="J20">
        <v>-39</v>
      </c>
      <c r="K20">
        <v>-192</v>
      </c>
      <c r="M20" t="str">
        <f t="shared" si="0"/>
        <v>Net Income Before Taxes</v>
      </c>
    </row>
    <row r="21" spans="1:13" x14ac:dyDescent="0.15">
      <c r="A21" t="s">
        <v>106</v>
      </c>
      <c r="B21">
        <v>87</v>
      </c>
      <c r="C21">
        <v>116</v>
      </c>
      <c r="D21">
        <v>65</v>
      </c>
      <c r="E21">
        <v>-37</v>
      </c>
      <c r="F21">
        <v>46</v>
      </c>
      <c r="G21">
        <v>209</v>
      </c>
      <c r="H21">
        <v>186</v>
      </c>
      <c r="I21">
        <v>64</v>
      </c>
      <c r="J21">
        <v>61</v>
      </c>
      <c r="K21">
        <v>26</v>
      </c>
      <c r="M21" t="str">
        <f t="shared" si="0"/>
        <v>Provision for Income Taxes</v>
      </c>
    </row>
    <row r="22" spans="1:13" x14ac:dyDescent="0.15">
      <c r="A22" t="s">
        <v>107</v>
      </c>
      <c r="B22">
        <v>326</v>
      </c>
      <c r="C22">
        <v>636</v>
      </c>
      <c r="D22">
        <v>337</v>
      </c>
      <c r="E22">
        <v>562</v>
      </c>
      <c r="F22">
        <v>1034</v>
      </c>
      <c r="G22">
        <v>1045</v>
      </c>
      <c r="H22">
        <v>460</v>
      </c>
      <c r="I22">
        <v>101</v>
      </c>
      <c r="J22">
        <v>-189</v>
      </c>
      <c r="K22">
        <v>-284</v>
      </c>
      <c r="M22" t="str">
        <f t="shared" si="0"/>
        <v>Net Income</v>
      </c>
    </row>
    <row r="23" spans="1:13" x14ac:dyDescent="0.15">
      <c r="A23" t="s">
        <v>108</v>
      </c>
      <c r="M23" t="str">
        <f t="shared" si="0"/>
        <v>Preferred Dividends</v>
      </c>
    </row>
    <row r="24" spans="1:13" x14ac:dyDescent="0.15">
      <c r="A24" t="s">
        <v>109</v>
      </c>
      <c r="B24">
        <v>1.4</v>
      </c>
      <c r="C24">
        <v>1.79</v>
      </c>
      <c r="D24">
        <v>2.39</v>
      </c>
      <c r="E24">
        <v>1.71</v>
      </c>
      <c r="F24">
        <v>1.17</v>
      </c>
      <c r="G24">
        <v>4.7699999999999996</v>
      </c>
      <c r="H24">
        <v>2.23</v>
      </c>
      <c r="I24">
        <v>-0.1</v>
      </c>
      <c r="J24">
        <v>-0.94</v>
      </c>
      <c r="K24">
        <v>-1.59</v>
      </c>
      <c r="M24" t="str">
        <f t="shared" si="0"/>
        <v>Basic EPS Excluding Extraordinary Items</v>
      </c>
    </row>
    <row r="25" spans="1:13" x14ac:dyDescent="0.15">
      <c r="A25" t="s">
        <v>110</v>
      </c>
      <c r="B25">
        <v>1.38</v>
      </c>
      <c r="C25">
        <v>2.67</v>
      </c>
      <c r="D25">
        <v>1.42</v>
      </c>
      <c r="E25">
        <v>2.46</v>
      </c>
      <c r="F25">
        <v>4.6900000000000004</v>
      </c>
      <c r="G25">
        <v>4.7699999999999996</v>
      </c>
      <c r="H25">
        <v>2.29</v>
      </c>
      <c r="I25">
        <v>0.56999999999999995</v>
      </c>
      <c r="J25">
        <v>-1.1000000000000001</v>
      </c>
      <c r="K25">
        <v>-1.65</v>
      </c>
      <c r="M25" t="str">
        <f t="shared" si="0"/>
        <v>Basic EPS Including Extraordinary Items</v>
      </c>
    </row>
    <row r="26" spans="1:13" x14ac:dyDescent="0.15">
      <c r="A26" t="s">
        <v>111</v>
      </c>
      <c r="B26">
        <v>2.2400000000000002</v>
      </c>
      <c r="C26">
        <v>2.15</v>
      </c>
      <c r="D26">
        <v>2.4300000000000002</v>
      </c>
      <c r="E26">
        <v>1.79</v>
      </c>
      <c r="F26">
        <v>0.41</v>
      </c>
      <c r="G26">
        <v>3.15</v>
      </c>
      <c r="H26">
        <v>3.01</v>
      </c>
      <c r="I26">
        <v>0.12</v>
      </c>
      <c r="J26">
        <v>-0.26</v>
      </c>
      <c r="K26">
        <v>-1.1299999999999999</v>
      </c>
      <c r="M26" t="str">
        <f t="shared" si="0"/>
        <v>Normalized Basic EPS</v>
      </c>
    </row>
    <row r="27" spans="1:13" x14ac:dyDescent="0.15">
      <c r="A27" t="s">
        <v>112</v>
      </c>
      <c r="B27">
        <v>236</v>
      </c>
      <c r="C27">
        <v>238</v>
      </c>
      <c r="D27">
        <v>238</v>
      </c>
      <c r="E27">
        <v>229</v>
      </c>
      <c r="F27">
        <v>221</v>
      </c>
      <c r="G27">
        <v>219</v>
      </c>
      <c r="H27">
        <v>201</v>
      </c>
      <c r="I27">
        <v>177</v>
      </c>
      <c r="J27">
        <v>172</v>
      </c>
      <c r="K27">
        <v>173</v>
      </c>
      <c r="M27" t="str">
        <f t="shared" si="0"/>
        <v>Basic Weighted Average Shares</v>
      </c>
    </row>
    <row r="28" spans="1:13" x14ac:dyDescent="0.15">
      <c r="A28" t="s">
        <v>113</v>
      </c>
      <c r="B28">
        <v>1.38</v>
      </c>
      <c r="C28">
        <v>1.75</v>
      </c>
      <c r="D28">
        <v>2.36</v>
      </c>
      <c r="E28">
        <v>1.7</v>
      </c>
      <c r="F28">
        <v>1.17</v>
      </c>
      <c r="G28">
        <v>4.72</v>
      </c>
      <c r="H28">
        <v>2.21</v>
      </c>
      <c r="I28">
        <v>-0.1</v>
      </c>
      <c r="J28">
        <v>-0.94</v>
      </c>
      <c r="K28">
        <v>-1.59</v>
      </c>
      <c r="M28" t="str">
        <f t="shared" si="0"/>
        <v>Diluted EPS Excluding ExtraOrd Items</v>
      </c>
    </row>
    <row r="29" spans="1:13" x14ac:dyDescent="0.15">
      <c r="A29" t="s">
        <v>114</v>
      </c>
      <c r="B29">
        <v>1.36</v>
      </c>
      <c r="C29">
        <v>2.61</v>
      </c>
      <c r="D29">
        <v>1.39</v>
      </c>
      <c r="E29">
        <v>2.44</v>
      </c>
      <c r="F29">
        <v>4.66</v>
      </c>
      <c r="G29">
        <v>4.72</v>
      </c>
      <c r="H29">
        <v>2.27</v>
      </c>
      <c r="I29">
        <v>0.56999999999999995</v>
      </c>
      <c r="J29">
        <v>-1.1000000000000001</v>
      </c>
      <c r="K29">
        <v>-1.65</v>
      </c>
      <c r="M29" t="str">
        <f t="shared" si="0"/>
        <v>Diluted EPS Including ExtraOrd Items</v>
      </c>
    </row>
    <row r="30" spans="1:13" x14ac:dyDescent="0.15">
      <c r="A30" t="s">
        <v>115</v>
      </c>
      <c r="B30">
        <v>2.2000000000000002</v>
      </c>
      <c r="C30">
        <v>2.1</v>
      </c>
      <c r="D30">
        <v>2.39</v>
      </c>
      <c r="E30">
        <v>1.77</v>
      </c>
      <c r="F30">
        <v>0.41</v>
      </c>
      <c r="G30">
        <v>3.12</v>
      </c>
      <c r="H30">
        <v>2.98</v>
      </c>
      <c r="I30">
        <v>0.12</v>
      </c>
      <c r="J30">
        <v>-0.26</v>
      </c>
      <c r="K30">
        <v>-1.1299999999999999</v>
      </c>
      <c r="M30" t="str">
        <f t="shared" si="0"/>
        <v>Normalized Diluted EPS</v>
      </c>
    </row>
    <row r="31" spans="1:13" x14ac:dyDescent="0.15">
      <c r="A31" t="s">
        <v>116</v>
      </c>
      <c r="B31">
        <v>240</v>
      </c>
      <c r="C31">
        <v>244</v>
      </c>
      <c r="D31">
        <v>242</v>
      </c>
      <c r="E31">
        <v>231</v>
      </c>
      <c r="F31">
        <v>222</v>
      </c>
      <c r="G31">
        <v>221</v>
      </c>
      <c r="H31">
        <v>203</v>
      </c>
      <c r="I31">
        <v>177</v>
      </c>
      <c r="J31">
        <v>172</v>
      </c>
      <c r="K31">
        <v>173</v>
      </c>
      <c r="M31" t="str">
        <f t="shared" si="0"/>
        <v>Diluted Weighted Average Shares</v>
      </c>
    </row>
    <row r="32" spans="1:13" x14ac:dyDescent="0.15">
      <c r="A32" t="s">
        <v>117</v>
      </c>
      <c r="B32">
        <v>0.5</v>
      </c>
      <c r="C32">
        <v>0.5</v>
      </c>
      <c r="D32">
        <v>0.65</v>
      </c>
      <c r="E32">
        <v>0.65</v>
      </c>
      <c r="F32">
        <v>0.65</v>
      </c>
      <c r="G32">
        <v>0.72499999999999998</v>
      </c>
      <c r="H32">
        <v>0.85</v>
      </c>
      <c r="I32">
        <v>0.95</v>
      </c>
      <c r="J32">
        <v>1</v>
      </c>
      <c r="K32">
        <v>0.83799999999999997</v>
      </c>
      <c r="M32" t="str">
        <f t="shared" si="0"/>
        <v>Dividends Per Share</v>
      </c>
    </row>
    <row r="33" spans="1:13" x14ac:dyDescent="0.15">
      <c r="A33" t="s">
        <v>118</v>
      </c>
      <c r="B33">
        <v>15000</v>
      </c>
      <c r="C33">
        <v>10000</v>
      </c>
      <c r="D33">
        <v>10000</v>
      </c>
      <c r="E33">
        <v>10000</v>
      </c>
      <c r="F33">
        <v>9000</v>
      </c>
      <c r="G33">
        <v>9000</v>
      </c>
      <c r="H33">
        <v>7000</v>
      </c>
      <c r="I33">
        <v>6000</v>
      </c>
      <c r="J33">
        <v>6300</v>
      </c>
      <c r="K33">
        <v>6000</v>
      </c>
      <c r="M33" t="str">
        <f t="shared" si="0"/>
        <v>Number of Employees</v>
      </c>
    </row>
    <row r="34" spans="1:13" x14ac:dyDescent="0.15">
      <c r="M34" t="str">
        <f t="shared" si="0"/>
        <v/>
      </c>
    </row>
    <row r="35" spans="1:13" x14ac:dyDescent="0.15">
      <c r="M35" t="str">
        <f t="shared" si="0"/>
        <v/>
      </c>
    </row>
    <row r="36" spans="1:13" x14ac:dyDescent="0.15">
      <c r="A36" t="s">
        <v>81</v>
      </c>
      <c r="M36" t="str">
        <f t="shared" si="0"/>
        <v>Huntsman Corporation (44701110)</v>
      </c>
    </row>
    <row r="37" spans="1:13" x14ac:dyDescent="0.15">
      <c r="A37" t="s">
        <v>83</v>
      </c>
      <c r="M37" t="str">
        <f t="shared" si="0"/>
        <v>Balance Sheet - Annual (As Originally Reported)</v>
      </c>
    </row>
    <row r="38" spans="1:13" x14ac:dyDescent="0.15">
      <c r="A38" t="s">
        <v>86</v>
      </c>
      <c r="B38" s="1">
        <v>42735</v>
      </c>
      <c r="C38" s="1">
        <v>43100</v>
      </c>
      <c r="D38" s="1">
        <v>43465</v>
      </c>
      <c r="E38" s="1">
        <v>43830</v>
      </c>
      <c r="F38" s="1">
        <v>44196</v>
      </c>
      <c r="G38" s="1">
        <v>44561</v>
      </c>
      <c r="H38" s="1">
        <v>44926</v>
      </c>
      <c r="I38" s="1">
        <v>45291</v>
      </c>
      <c r="J38" s="1">
        <v>45657</v>
      </c>
      <c r="K38" s="1">
        <v>46022</v>
      </c>
      <c r="M38" t="str">
        <f t="shared" si="0"/>
        <v>FYE December</v>
      </c>
    </row>
    <row r="39" spans="1:13" x14ac:dyDescent="0.15">
      <c r="A39" t="s">
        <v>87</v>
      </c>
      <c r="B39" t="s">
        <v>88</v>
      </c>
      <c r="C39" t="s">
        <v>88</v>
      </c>
      <c r="D39" t="s">
        <v>88</v>
      </c>
      <c r="E39" t="s">
        <v>88</v>
      </c>
      <c r="F39" t="s">
        <v>88</v>
      </c>
      <c r="G39" t="s">
        <v>88</v>
      </c>
      <c r="H39" t="s">
        <v>88</v>
      </c>
      <c r="I39" t="s">
        <v>88</v>
      </c>
      <c r="J39" t="s">
        <v>88</v>
      </c>
      <c r="K39" t="s">
        <v>88</v>
      </c>
      <c r="M39" t="str">
        <f t="shared" si="0"/>
        <v>Currency</v>
      </c>
    </row>
    <row r="40" spans="1:13" x14ac:dyDescent="0.15">
      <c r="A40" t="s">
        <v>89</v>
      </c>
      <c r="B40" t="s">
        <v>90</v>
      </c>
      <c r="C40" t="s">
        <v>90</v>
      </c>
      <c r="D40" t="s">
        <v>90</v>
      </c>
      <c r="E40" t="s">
        <v>90</v>
      </c>
      <c r="F40" t="s">
        <v>90</v>
      </c>
      <c r="G40" t="s">
        <v>90</v>
      </c>
      <c r="H40" t="s">
        <v>90</v>
      </c>
      <c r="I40" t="s">
        <v>90</v>
      </c>
      <c r="J40" t="s">
        <v>90</v>
      </c>
      <c r="K40" t="s">
        <v>90</v>
      </c>
      <c r="M40" t="str">
        <f t="shared" si="0"/>
        <v>Scale</v>
      </c>
    </row>
    <row r="41" spans="1:13" x14ac:dyDescent="0.15">
      <c r="A41" t="s">
        <v>119</v>
      </c>
      <c r="B41">
        <v>414</v>
      </c>
      <c r="C41">
        <v>470</v>
      </c>
      <c r="D41">
        <v>340</v>
      </c>
      <c r="E41">
        <v>525</v>
      </c>
      <c r="F41">
        <v>1593</v>
      </c>
      <c r="G41">
        <v>1041</v>
      </c>
      <c r="H41">
        <v>654</v>
      </c>
      <c r="I41">
        <v>540</v>
      </c>
      <c r="J41">
        <v>340</v>
      </c>
      <c r="K41">
        <v>429</v>
      </c>
      <c r="M41" t="str">
        <f t="shared" si="0"/>
        <v>Cash &amp; Equivalents</v>
      </c>
    </row>
    <row r="42" spans="1:13" x14ac:dyDescent="0.15">
      <c r="A42" t="s">
        <v>120</v>
      </c>
      <c r="B42">
        <v>414</v>
      </c>
      <c r="C42">
        <v>470</v>
      </c>
      <c r="D42">
        <v>340</v>
      </c>
      <c r="E42">
        <v>525</v>
      </c>
      <c r="F42">
        <v>1593</v>
      </c>
      <c r="G42">
        <v>1041</v>
      </c>
      <c r="H42">
        <v>654</v>
      </c>
      <c r="I42">
        <v>540</v>
      </c>
      <c r="J42">
        <v>340</v>
      </c>
      <c r="K42">
        <v>429</v>
      </c>
      <c r="M42" t="str">
        <f t="shared" si="0"/>
        <v>Cash, Cash Equiv. &amp; Short Term Inv.</v>
      </c>
    </row>
    <row r="43" spans="1:13" x14ac:dyDescent="0.15">
      <c r="A43" t="s">
        <v>121</v>
      </c>
      <c r="B43">
        <v>1435</v>
      </c>
      <c r="C43">
        <v>1283</v>
      </c>
      <c r="D43">
        <v>1272</v>
      </c>
      <c r="E43">
        <v>953</v>
      </c>
      <c r="F43">
        <v>910</v>
      </c>
      <c r="G43">
        <v>1519</v>
      </c>
      <c r="H43">
        <v>834</v>
      </c>
      <c r="I43">
        <v>753</v>
      </c>
      <c r="J43">
        <v>725</v>
      </c>
      <c r="K43">
        <v>677</v>
      </c>
      <c r="M43" t="str">
        <f t="shared" si="0"/>
        <v>Total Receivables, Net</v>
      </c>
    </row>
    <row r="44" spans="1:13" x14ac:dyDescent="0.15">
      <c r="A44" t="s">
        <v>122</v>
      </c>
      <c r="B44">
        <v>1344</v>
      </c>
      <c r="C44">
        <v>1073</v>
      </c>
      <c r="D44">
        <v>1134</v>
      </c>
      <c r="E44">
        <v>914</v>
      </c>
      <c r="F44">
        <v>848</v>
      </c>
      <c r="G44">
        <v>1201</v>
      </c>
      <c r="H44">
        <v>995</v>
      </c>
      <c r="I44">
        <v>867</v>
      </c>
      <c r="J44">
        <v>917</v>
      </c>
      <c r="K44">
        <v>818</v>
      </c>
      <c r="M44" t="str">
        <f t="shared" si="0"/>
        <v>Total Inventory</v>
      </c>
    </row>
    <row r="45" spans="1:13" x14ac:dyDescent="0.15">
      <c r="A45" t="s">
        <v>123</v>
      </c>
      <c r="B45">
        <v>60</v>
      </c>
      <c r="C45">
        <v>60</v>
      </c>
      <c r="D45">
        <v>66</v>
      </c>
      <c r="E45">
        <v>83</v>
      </c>
      <c r="J45">
        <v>114</v>
      </c>
      <c r="K45">
        <v>94</v>
      </c>
      <c r="M45" t="str">
        <f t="shared" si="0"/>
        <v>Prepaid Expenses</v>
      </c>
    </row>
    <row r="46" spans="1:13" x14ac:dyDescent="0.15">
      <c r="A46" t="s">
        <v>124</v>
      </c>
      <c r="B46">
        <v>302</v>
      </c>
      <c r="C46">
        <v>3093</v>
      </c>
      <c r="D46">
        <v>146</v>
      </c>
      <c r="E46">
        <v>1280</v>
      </c>
      <c r="F46">
        <v>217</v>
      </c>
      <c r="G46">
        <v>167</v>
      </c>
      <c r="H46">
        <v>662</v>
      </c>
      <c r="I46">
        <v>154</v>
      </c>
      <c r="J46">
        <v>29</v>
      </c>
      <c r="K46">
        <v>46</v>
      </c>
      <c r="M46" t="str">
        <f t="shared" si="0"/>
        <v>Other Current Assets, Total</v>
      </c>
    </row>
    <row r="47" spans="1:13" x14ac:dyDescent="0.15">
      <c r="A47" t="s">
        <v>125</v>
      </c>
      <c r="B47">
        <v>3555</v>
      </c>
      <c r="C47">
        <v>5979</v>
      </c>
      <c r="D47">
        <v>2958</v>
      </c>
      <c r="E47">
        <v>3755</v>
      </c>
      <c r="F47">
        <v>3568</v>
      </c>
      <c r="G47">
        <v>3928</v>
      </c>
      <c r="H47">
        <v>3145</v>
      </c>
      <c r="I47">
        <v>2314</v>
      </c>
      <c r="J47">
        <v>2125</v>
      </c>
      <c r="K47">
        <v>2064</v>
      </c>
      <c r="M47" t="str">
        <f t="shared" si="0"/>
        <v>Total Current Assets</v>
      </c>
    </row>
    <row r="48" spans="1:13" x14ac:dyDescent="0.15">
      <c r="A48" t="s">
        <v>126</v>
      </c>
      <c r="B48">
        <v>8778</v>
      </c>
      <c r="C48">
        <v>7083</v>
      </c>
      <c r="D48">
        <v>7209</v>
      </c>
      <c r="E48">
        <v>6084</v>
      </c>
      <c r="F48">
        <v>6478</v>
      </c>
      <c r="G48">
        <v>6713</v>
      </c>
      <c r="H48">
        <v>6404</v>
      </c>
      <c r="I48">
        <v>6651</v>
      </c>
      <c r="J48">
        <v>6804</v>
      </c>
      <c r="K48">
        <v>7079</v>
      </c>
      <c r="M48" t="str">
        <f t="shared" si="0"/>
        <v>Property/Plant/Equipment, Total - Gross</v>
      </c>
    </row>
    <row r="49" spans="1:13" x14ac:dyDescent="0.15">
      <c r="A49" t="s">
        <v>127</v>
      </c>
      <c r="B49">
        <v>-4566</v>
      </c>
      <c r="C49">
        <v>-3985</v>
      </c>
      <c r="D49">
        <v>-4145</v>
      </c>
      <c r="E49">
        <v>-3305</v>
      </c>
      <c r="F49">
        <v>-3528</v>
      </c>
      <c r="G49">
        <v>-3734</v>
      </c>
      <c r="H49">
        <v>-3653</v>
      </c>
      <c r="I49">
        <v>-3909</v>
      </c>
      <c r="J49">
        <v>-3929</v>
      </c>
      <c r="K49">
        <v>-4228</v>
      </c>
      <c r="M49" t="str">
        <f t="shared" si="0"/>
        <v>Accumulated Depreciation, Total</v>
      </c>
    </row>
    <row r="50" spans="1:13" x14ac:dyDescent="0.15">
      <c r="A50" t="s">
        <v>128</v>
      </c>
      <c r="B50">
        <v>4212</v>
      </c>
      <c r="C50">
        <v>3098</v>
      </c>
      <c r="D50">
        <v>3064</v>
      </c>
      <c r="E50">
        <v>2779</v>
      </c>
      <c r="F50">
        <v>2950</v>
      </c>
      <c r="G50">
        <v>2979</v>
      </c>
      <c r="H50">
        <v>2751</v>
      </c>
      <c r="I50">
        <v>2742</v>
      </c>
      <c r="J50">
        <v>2875</v>
      </c>
      <c r="K50">
        <v>2851</v>
      </c>
      <c r="M50" t="str">
        <f t="shared" si="0"/>
        <v>Property/Plant/Equipment, Total - Net</v>
      </c>
    </row>
    <row r="51" spans="1:13" x14ac:dyDescent="0.15">
      <c r="A51" t="s">
        <v>129</v>
      </c>
      <c r="B51">
        <v>121</v>
      </c>
      <c r="C51">
        <v>140</v>
      </c>
      <c r="D51">
        <v>275</v>
      </c>
      <c r="E51">
        <v>276</v>
      </c>
      <c r="F51">
        <v>533</v>
      </c>
      <c r="G51">
        <v>650</v>
      </c>
      <c r="H51">
        <v>641</v>
      </c>
      <c r="I51">
        <v>644</v>
      </c>
      <c r="J51">
        <v>633</v>
      </c>
      <c r="K51">
        <v>630</v>
      </c>
      <c r="M51" t="str">
        <f t="shared" si="0"/>
        <v>Goodwill, Net</v>
      </c>
    </row>
    <row r="52" spans="1:13" x14ac:dyDescent="0.15">
      <c r="A52" t="s">
        <v>130</v>
      </c>
      <c r="B52">
        <v>66</v>
      </c>
      <c r="C52">
        <v>56</v>
      </c>
      <c r="D52">
        <v>219</v>
      </c>
      <c r="E52">
        <v>197</v>
      </c>
      <c r="F52">
        <v>453</v>
      </c>
      <c r="G52">
        <v>469</v>
      </c>
      <c r="H52">
        <v>425</v>
      </c>
      <c r="I52">
        <v>387</v>
      </c>
      <c r="J52">
        <v>344</v>
      </c>
      <c r="K52">
        <v>308</v>
      </c>
      <c r="M52" t="str">
        <f t="shared" si="0"/>
        <v>Intangibles, Net</v>
      </c>
    </row>
    <row r="53" spans="1:13" x14ac:dyDescent="0.15">
      <c r="A53" t="s">
        <v>131</v>
      </c>
      <c r="B53">
        <v>350</v>
      </c>
      <c r="C53">
        <v>266</v>
      </c>
      <c r="D53">
        <v>526</v>
      </c>
      <c r="E53">
        <v>535</v>
      </c>
      <c r="F53">
        <v>373</v>
      </c>
      <c r="G53">
        <v>470</v>
      </c>
      <c r="H53">
        <v>425</v>
      </c>
      <c r="I53">
        <v>438</v>
      </c>
      <c r="J53">
        <v>346</v>
      </c>
      <c r="K53">
        <v>309</v>
      </c>
      <c r="M53" t="str">
        <f t="shared" si="0"/>
        <v>Long Term Investments</v>
      </c>
    </row>
    <row r="54" spans="1:13" x14ac:dyDescent="0.15">
      <c r="A54" t="s">
        <v>132</v>
      </c>
      <c r="D54">
        <v>34</v>
      </c>
      <c r="E54">
        <v>34</v>
      </c>
      <c r="F54">
        <v>0</v>
      </c>
      <c r="M54" t="str">
        <f t="shared" si="0"/>
        <v>Note Receivable - Long Term</v>
      </c>
    </row>
    <row r="55" spans="1:13" x14ac:dyDescent="0.15">
      <c r="A55" t="s">
        <v>133</v>
      </c>
      <c r="B55">
        <v>885</v>
      </c>
      <c r="C55">
        <v>705</v>
      </c>
      <c r="D55">
        <v>877</v>
      </c>
      <c r="E55">
        <v>744</v>
      </c>
      <c r="F55">
        <v>836</v>
      </c>
      <c r="G55">
        <v>896</v>
      </c>
      <c r="H55">
        <v>833</v>
      </c>
      <c r="I55">
        <v>723</v>
      </c>
      <c r="J55">
        <v>791</v>
      </c>
      <c r="K55">
        <v>853</v>
      </c>
      <c r="M55" t="str">
        <f t="shared" si="0"/>
        <v>Other Long Term Assets, Total</v>
      </c>
    </row>
    <row r="56" spans="1:13" x14ac:dyDescent="0.15">
      <c r="A56" t="s">
        <v>134</v>
      </c>
      <c r="M56" t="str">
        <f t="shared" si="0"/>
        <v>Other Assets, Total</v>
      </c>
    </row>
    <row r="57" spans="1:13" x14ac:dyDescent="0.15">
      <c r="A57" t="s">
        <v>135</v>
      </c>
      <c r="B57">
        <v>9189</v>
      </c>
      <c r="C57">
        <v>10244</v>
      </c>
      <c r="D57">
        <v>7953</v>
      </c>
      <c r="E57">
        <v>8320</v>
      </c>
      <c r="F57">
        <v>8713</v>
      </c>
      <c r="G57">
        <v>9392</v>
      </c>
      <c r="H57">
        <v>8220</v>
      </c>
      <c r="I57">
        <v>7248</v>
      </c>
      <c r="J57">
        <v>7114</v>
      </c>
      <c r="K57">
        <v>7015</v>
      </c>
      <c r="M57" t="str">
        <f t="shared" si="0"/>
        <v>Total Assets</v>
      </c>
    </row>
    <row r="58" spans="1:13" x14ac:dyDescent="0.15">
      <c r="A58" t="s">
        <v>136</v>
      </c>
      <c r="B58">
        <v>1102</v>
      </c>
      <c r="C58">
        <v>964</v>
      </c>
      <c r="D58">
        <v>961</v>
      </c>
      <c r="E58">
        <v>822</v>
      </c>
      <c r="F58">
        <v>876</v>
      </c>
      <c r="G58">
        <v>1208</v>
      </c>
      <c r="H58">
        <v>961</v>
      </c>
      <c r="I58">
        <v>719</v>
      </c>
      <c r="J58">
        <v>770</v>
      </c>
      <c r="K58">
        <v>721</v>
      </c>
      <c r="M58" t="str">
        <f t="shared" si="0"/>
        <v>Accounts Payable</v>
      </c>
    </row>
    <row r="59" spans="1:13" x14ac:dyDescent="0.15">
      <c r="A59" t="s">
        <v>137</v>
      </c>
      <c r="M59" t="str">
        <f t="shared" si="0"/>
        <v>Payable/Accrued</v>
      </c>
    </row>
    <row r="60" spans="1:13" x14ac:dyDescent="0.15">
      <c r="A60" t="s">
        <v>138</v>
      </c>
      <c r="B60">
        <v>565</v>
      </c>
      <c r="C60">
        <v>485</v>
      </c>
      <c r="D60">
        <v>451</v>
      </c>
      <c r="E60">
        <v>403</v>
      </c>
      <c r="F60">
        <v>437</v>
      </c>
      <c r="G60">
        <v>696</v>
      </c>
      <c r="H60">
        <v>412</v>
      </c>
      <c r="I60">
        <v>374</v>
      </c>
      <c r="J60">
        <v>392</v>
      </c>
      <c r="K60">
        <v>483</v>
      </c>
      <c r="M60" t="str">
        <f t="shared" si="0"/>
        <v>Accrued Expenses</v>
      </c>
    </row>
    <row r="61" spans="1:13" x14ac:dyDescent="0.15">
      <c r="A61" t="s">
        <v>139</v>
      </c>
      <c r="B61">
        <v>60</v>
      </c>
      <c r="C61">
        <v>40</v>
      </c>
      <c r="D61">
        <v>96</v>
      </c>
      <c r="E61">
        <v>212</v>
      </c>
      <c r="F61">
        <v>593</v>
      </c>
      <c r="G61">
        <v>12</v>
      </c>
      <c r="H61">
        <v>66</v>
      </c>
      <c r="I61">
        <v>12</v>
      </c>
      <c r="J61">
        <v>325</v>
      </c>
      <c r="K61">
        <v>353</v>
      </c>
      <c r="M61" t="str">
        <f t="shared" si="0"/>
        <v>Current Port. of LT Debt/Capital Leases</v>
      </c>
    </row>
    <row r="62" spans="1:13" x14ac:dyDescent="0.15">
      <c r="A62" t="s">
        <v>140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M62" t="str">
        <f t="shared" si="0"/>
        <v>Notes Payable/Short Term Debt</v>
      </c>
    </row>
    <row r="63" spans="1:13" x14ac:dyDescent="0.15">
      <c r="A63" t="s">
        <v>141</v>
      </c>
      <c r="B63">
        <v>51</v>
      </c>
      <c r="C63">
        <v>1776</v>
      </c>
      <c r="D63">
        <v>103</v>
      </c>
      <c r="E63">
        <v>571</v>
      </c>
      <c r="F63">
        <v>73</v>
      </c>
      <c r="G63">
        <v>135</v>
      </c>
      <c r="H63">
        <v>262</v>
      </c>
      <c r="I63">
        <v>67</v>
      </c>
      <c r="J63">
        <v>78</v>
      </c>
      <c r="K63">
        <v>32</v>
      </c>
      <c r="M63" t="str">
        <f t="shared" si="0"/>
        <v>Other Current Liabilities, Total</v>
      </c>
    </row>
    <row r="64" spans="1:13" x14ac:dyDescent="0.15">
      <c r="A64" t="s">
        <v>142</v>
      </c>
      <c r="B64">
        <v>1778</v>
      </c>
      <c r="C64">
        <v>3265</v>
      </c>
      <c r="D64">
        <v>1611</v>
      </c>
      <c r="E64">
        <v>2008</v>
      </c>
      <c r="F64">
        <v>1979</v>
      </c>
      <c r="G64">
        <v>2051</v>
      </c>
      <c r="H64">
        <v>1701</v>
      </c>
      <c r="I64">
        <v>1172</v>
      </c>
      <c r="J64">
        <v>1565</v>
      </c>
      <c r="K64">
        <v>1589</v>
      </c>
      <c r="M64" t="str">
        <f t="shared" si="0"/>
        <v>Total Current Liabilities</v>
      </c>
    </row>
    <row r="65" spans="1:13" x14ac:dyDescent="0.15">
      <c r="A65" t="s">
        <v>143</v>
      </c>
      <c r="B65">
        <v>4136</v>
      </c>
      <c r="C65">
        <v>2258</v>
      </c>
      <c r="D65">
        <v>2224</v>
      </c>
      <c r="E65">
        <v>2177</v>
      </c>
      <c r="F65">
        <v>1528</v>
      </c>
      <c r="G65">
        <v>1538</v>
      </c>
      <c r="H65">
        <v>1671</v>
      </c>
      <c r="I65">
        <v>1676</v>
      </c>
      <c r="J65">
        <v>1510</v>
      </c>
      <c r="K65">
        <v>1658</v>
      </c>
      <c r="M65" t="str">
        <f t="shared" si="0"/>
        <v>Long Term Debt</v>
      </c>
    </row>
    <row r="66" spans="1:13" x14ac:dyDescent="0.15">
      <c r="A66" t="s">
        <v>144</v>
      </c>
      <c r="M66" t="str">
        <f t="shared" ref="M66:M129" si="1">TRIM(A66)</f>
        <v>Capital Lease Obligations</v>
      </c>
    </row>
    <row r="67" spans="1:13" x14ac:dyDescent="0.15">
      <c r="A67" t="s">
        <v>145</v>
      </c>
      <c r="B67">
        <v>4136</v>
      </c>
      <c r="C67">
        <v>2258</v>
      </c>
      <c r="D67">
        <v>2224</v>
      </c>
      <c r="E67">
        <v>2177</v>
      </c>
      <c r="F67">
        <v>1528</v>
      </c>
      <c r="G67">
        <v>1538</v>
      </c>
      <c r="H67">
        <v>1671</v>
      </c>
      <c r="I67">
        <v>1676</v>
      </c>
      <c r="J67">
        <v>1510</v>
      </c>
      <c r="K67">
        <v>1658</v>
      </c>
      <c r="M67" t="str">
        <f t="shared" si="1"/>
        <v>Total Long Term Debt</v>
      </c>
    </row>
    <row r="68" spans="1:13" x14ac:dyDescent="0.15">
      <c r="A68" t="s">
        <v>146</v>
      </c>
      <c r="B68">
        <v>427</v>
      </c>
      <c r="C68">
        <v>264</v>
      </c>
      <c r="D68">
        <v>296</v>
      </c>
      <c r="E68">
        <v>29</v>
      </c>
      <c r="F68">
        <v>212</v>
      </c>
      <c r="G68">
        <v>161</v>
      </c>
      <c r="H68">
        <v>250</v>
      </c>
      <c r="I68">
        <v>243</v>
      </c>
      <c r="J68">
        <v>204</v>
      </c>
      <c r="K68">
        <v>156</v>
      </c>
      <c r="M68" t="str">
        <f t="shared" si="1"/>
        <v>Deferred Income Tax</v>
      </c>
    </row>
    <row r="69" spans="1:13" x14ac:dyDescent="0.15">
      <c r="A69" t="s">
        <v>147</v>
      </c>
      <c r="B69">
        <v>1381</v>
      </c>
      <c r="C69">
        <v>1086</v>
      </c>
      <c r="D69">
        <v>1073</v>
      </c>
      <c r="E69">
        <v>1282</v>
      </c>
      <c r="F69">
        <v>1321</v>
      </c>
      <c r="G69">
        <v>1083</v>
      </c>
      <c r="H69">
        <v>758</v>
      </c>
      <c r="I69">
        <v>679</v>
      </c>
      <c r="J69">
        <v>672</v>
      </c>
      <c r="K69">
        <v>655</v>
      </c>
      <c r="M69" t="str">
        <f t="shared" si="1"/>
        <v>Other Liabilities, Total</v>
      </c>
    </row>
    <row r="70" spans="1:13" x14ac:dyDescent="0.15">
      <c r="A70" t="s">
        <v>148</v>
      </c>
      <c r="B70">
        <v>216</v>
      </c>
      <c r="C70">
        <v>894</v>
      </c>
      <c r="D70">
        <v>265</v>
      </c>
      <c r="E70">
        <v>163</v>
      </c>
      <c r="F70">
        <v>174</v>
      </c>
      <c r="G70">
        <v>193</v>
      </c>
      <c r="H70">
        <v>241</v>
      </c>
      <c r="I70">
        <v>255</v>
      </c>
      <c r="J70">
        <v>231</v>
      </c>
      <c r="K70">
        <v>230</v>
      </c>
      <c r="M70" t="str">
        <f t="shared" si="1"/>
        <v>Minority Interest</v>
      </c>
    </row>
    <row r="71" spans="1:13" x14ac:dyDescent="0.15">
      <c r="A71" t="s">
        <v>149</v>
      </c>
      <c r="B71">
        <v>7938</v>
      </c>
      <c r="C71">
        <v>7767</v>
      </c>
      <c r="D71">
        <v>5469</v>
      </c>
      <c r="E71">
        <v>5659</v>
      </c>
      <c r="F71">
        <v>5214</v>
      </c>
      <c r="G71">
        <v>5026</v>
      </c>
      <c r="H71">
        <v>4621</v>
      </c>
      <c r="I71">
        <v>4025</v>
      </c>
      <c r="J71">
        <v>4182</v>
      </c>
      <c r="K71">
        <v>4288</v>
      </c>
      <c r="M71" t="str">
        <f t="shared" si="1"/>
        <v>Total Liabilities</v>
      </c>
    </row>
    <row r="72" spans="1:13" x14ac:dyDescent="0.15">
      <c r="A72" t="s">
        <v>150</v>
      </c>
      <c r="M72" t="str">
        <f t="shared" si="1"/>
        <v>Redeemable Preferred Stock, Total</v>
      </c>
    </row>
    <row r="73" spans="1:13" x14ac:dyDescent="0.15">
      <c r="A73" t="s">
        <v>151</v>
      </c>
      <c r="M73" t="str">
        <f t="shared" si="1"/>
        <v>Preferred Stock - Non Redeemable, Net</v>
      </c>
    </row>
    <row r="74" spans="1:13" x14ac:dyDescent="0.15">
      <c r="A74" t="s">
        <v>152</v>
      </c>
      <c r="M74" t="str">
        <f t="shared" si="1"/>
        <v>Limited Partner</v>
      </c>
    </row>
    <row r="75" spans="1:13" x14ac:dyDescent="0.15">
      <c r="A75" t="s">
        <v>60</v>
      </c>
      <c r="B75">
        <v>3</v>
      </c>
      <c r="C75">
        <v>3</v>
      </c>
      <c r="D75">
        <v>3</v>
      </c>
      <c r="E75">
        <v>3</v>
      </c>
      <c r="F75">
        <v>3</v>
      </c>
      <c r="G75">
        <v>3</v>
      </c>
      <c r="H75">
        <v>3</v>
      </c>
      <c r="I75">
        <v>3</v>
      </c>
      <c r="J75">
        <v>3</v>
      </c>
      <c r="K75">
        <v>3</v>
      </c>
      <c r="M75" t="str">
        <f t="shared" si="1"/>
        <v>Common Stock</v>
      </c>
    </row>
    <row r="76" spans="1:13" x14ac:dyDescent="0.15">
      <c r="A76" t="s">
        <v>153</v>
      </c>
      <c r="B76">
        <v>3447</v>
      </c>
      <c r="C76">
        <v>3889</v>
      </c>
      <c r="D76">
        <v>3984</v>
      </c>
      <c r="E76">
        <v>4008</v>
      </c>
      <c r="F76">
        <v>4048</v>
      </c>
      <c r="G76">
        <v>4102</v>
      </c>
      <c r="H76">
        <v>4156</v>
      </c>
      <c r="I76">
        <v>4202</v>
      </c>
      <c r="J76">
        <v>4233</v>
      </c>
      <c r="K76">
        <v>4261</v>
      </c>
      <c r="M76" t="str">
        <f t="shared" si="1"/>
        <v>Additional Paid-In Capital</v>
      </c>
    </row>
    <row r="77" spans="1:13" x14ac:dyDescent="0.15">
      <c r="A77" t="s">
        <v>154</v>
      </c>
      <c r="B77">
        <v>-325</v>
      </c>
      <c r="C77">
        <v>161</v>
      </c>
      <c r="D77">
        <v>292</v>
      </c>
      <c r="E77">
        <v>690</v>
      </c>
      <c r="F77">
        <v>1564</v>
      </c>
      <c r="G77">
        <v>2435</v>
      </c>
      <c r="H77">
        <v>2705</v>
      </c>
      <c r="I77">
        <v>2622</v>
      </c>
      <c r="J77">
        <v>2245</v>
      </c>
      <c r="K77">
        <v>1810</v>
      </c>
      <c r="M77" t="str">
        <f t="shared" si="1"/>
        <v>Retained Earnings (Accumulated Deficit)</v>
      </c>
    </row>
    <row r="78" spans="1:13" x14ac:dyDescent="0.15">
      <c r="A78" t="s">
        <v>155</v>
      </c>
      <c r="B78">
        <v>-150</v>
      </c>
      <c r="C78">
        <v>-150</v>
      </c>
      <c r="D78">
        <v>-427</v>
      </c>
      <c r="E78">
        <v>-635</v>
      </c>
      <c r="F78">
        <v>-731</v>
      </c>
      <c r="G78">
        <v>-934</v>
      </c>
      <c r="H78">
        <v>-1937</v>
      </c>
      <c r="I78">
        <v>-2290</v>
      </c>
      <c r="J78">
        <v>-2290</v>
      </c>
      <c r="K78">
        <v>-2290</v>
      </c>
      <c r="M78" t="str">
        <f t="shared" si="1"/>
        <v>Treasury Stock - Common</v>
      </c>
    </row>
    <row r="79" spans="1:13" x14ac:dyDescent="0.15">
      <c r="A79" t="s">
        <v>156</v>
      </c>
      <c r="M79" t="str">
        <f t="shared" si="1"/>
        <v>ESOP Debt Guarantee</v>
      </c>
    </row>
    <row r="80" spans="1:13" x14ac:dyDescent="0.15">
      <c r="A80" t="s">
        <v>157</v>
      </c>
      <c r="M80" t="str">
        <f t="shared" si="1"/>
        <v>Unrealized Gain (Loss)</v>
      </c>
    </row>
    <row r="81" spans="1:13" x14ac:dyDescent="0.15">
      <c r="A81" t="s">
        <v>158</v>
      </c>
      <c r="B81">
        <v>-1724</v>
      </c>
      <c r="C81">
        <v>-1426</v>
      </c>
      <c r="D81">
        <v>-1368</v>
      </c>
      <c r="E81">
        <v>-1405</v>
      </c>
      <c r="F81">
        <v>-1385</v>
      </c>
      <c r="G81">
        <v>-1240</v>
      </c>
      <c r="H81">
        <v>-1328</v>
      </c>
      <c r="I81">
        <v>-1314</v>
      </c>
      <c r="J81">
        <v>-1259</v>
      </c>
      <c r="K81">
        <v>-1057</v>
      </c>
      <c r="M81" t="str">
        <f t="shared" si="1"/>
        <v>Other Equity, Total</v>
      </c>
    </row>
    <row r="82" spans="1:13" x14ac:dyDescent="0.15">
      <c r="A82" t="s">
        <v>159</v>
      </c>
      <c r="B82">
        <v>1251</v>
      </c>
      <c r="C82">
        <v>2477</v>
      </c>
      <c r="D82">
        <v>2484</v>
      </c>
      <c r="E82">
        <v>2661</v>
      </c>
      <c r="F82">
        <v>3499</v>
      </c>
      <c r="G82">
        <v>4366</v>
      </c>
      <c r="H82">
        <v>3599</v>
      </c>
      <c r="I82">
        <v>3223</v>
      </c>
      <c r="J82">
        <v>2932</v>
      </c>
      <c r="K82">
        <v>2727</v>
      </c>
      <c r="M82" t="str">
        <f t="shared" si="1"/>
        <v>Total Equity</v>
      </c>
    </row>
    <row r="83" spans="1:13" x14ac:dyDescent="0.15">
      <c r="A83" t="s">
        <v>160</v>
      </c>
      <c r="B83">
        <v>9189</v>
      </c>
      <c r="C83">
        <v>10244</v>
      </c>
      <c r="D83">
        <v>7953</v>
      </c>
      <c r="E83">
        <v>8320</v>
      </c>
      <c r="F83">
        <v>8713</v>
      </c>
      <c r="G83">
        <v>9392</v>
      </c>
      <c r="H83">
        <v>8220</v>
      </c>
      <c r="I83">
        <v>7248</v>
      </c>
      <c r="J83">
        <v>7114</v>
      </c>
      <c r="K83">
        <v>7015</v>
      </c>
      <c r="M83" t="str">
        <f t="shared" si="1"/>
        <v>Total Liabilities &amp; Shareholders' Equity</v>
      </c>
    </row>
    <row r="84" spans="1:13" x14ac:dyDescent="0.15">
      <c r="A84" t="s">
        <v>161</v>
      </c>
      <c r="B84">
        <v>236</v>
      </c>
      <c r="C84">
        <v>240</v>
      </c>
      <c r="D84">
        <v>233</v>
      </c>
      <c r="E84">
        <v>224</v>
      </c>
      <c r="F84">
        <v>220</v>
      </c>
      <c r="G84">
        <v>214</v>
      </c>
      <c r="H84">
        <v>184</v>
      </c>
      <c r="I84">
        <v>172</v>
      </c>
      <c r="J84">
        <v>172</v>
      </c>
      <c r="K84">
        <v>173</v>
      </c>
      <c r="M84" t="str">
        <f t="shared" si="1"/>
        <v>Total Common Shares Outstanding</v>
      </c>
    </row>
    <row r="85" spans="1:13" x14ac:dyDescent="0.15">
      <c r="M85" t="str">
        <f t="shared" si="1"/>
        <v/>
      </c>
    </row>
    <row r="86" spans="1:13" x14ac:dyDescent="0.15">
      <c r="M86" t="str">
        <f t="shared" si="1"/>
        <v/>
      </c>
    </row>
    <row r="87" spans="1:13" x14ac:dyDescent="0.15">
      <c r="A87" t="s">
        <v>81</v>
      </c>
      <c r="M87" t="str">
        <f t="shared" si="1"/>
        <v>Huntsman Corporation (44701110)</v>
      </c>
    </row>
    <row r="88" spans="1:13" x14ac:dyDescent="0.15">
      <c r="A88" t="s">
        <v>84</v>
      </c>
      <c r="M88" t="str">
        <f t="shared" si="1"/>
        <v>Cash Flow - Annual (As Originally Reported)</v>
      </c>
    </row>
    <row r="89" spans="1:13" x14ac:dyDescent="0.15">
      <c r="A89" t="s">
        <v>86</v>
      </c>
      <c r="B89" s="1">
        <v>42735</v>
      </c>
      <c r="C89" s="1">
        <v>43100</v>
      </c>
      <c r="D89" s="1">
        <v>43465</v>
      </c>
      <c r="E89" s="1">
        <v>43830</v>
      </c>
      <c r="F89" s="1">
        <v>44196</v>
      </c>
      <c r="G89" s="1">
        <v>44561</v>
      </c>
      <c r="H89" s="1">
        <v>44926</v>
      </c>
      <c r="I89" s="1">
        <v>45291</v>
      </c>
      <c r="J89" s="1">
        <v>45657</v>
      </c>
      <c r="K89" s="1">
        <v>46022</v>
      </c>
      <c r="M89" t="str">
        <f t="shared" si="1"/>
        <v>FYE December</v>
      </c>
    </row>
    <row r="90" spans="1:13" x14ac:dyDescent="0.15">
      <c r="A90" t="s">
        <v>87</v>
      </c>
      <c r="B90" t="s">
        <v>88</v>
      </c>
      <c r="C90" t="s">
        <v>88</v>
      </c>
      <c r="D90" t="s">
        <v>88</v>
      </c>
      <c r="E90" t="s">
        <v>88</v>
      </c>
      <c r="F90" t="s">
        <v>88</v>
      </c>
      <c r="G90" t="s">
        <v>88</v>
      </c>
      <c r="H90" t="s">
        <v>88</v>
      </c>
      <c r="I90" t="s">
        <v>88</v>
      </c>
      <c r="J90" t="s">
        <v>88</v>
      </c>
      <c r="K90" t="s">
        <v>88</v>
      </c>
      <c r="M90" t="str">
        <f t="shared" si="1"/>
        <v>Currency</v>
      </c>
    </row>
    <row r="91" spans="1:13" x14ac:dyDescent="0.15">
      <c r="A91" t="s">
        <v>89</v>
      </c>
      <c r="B91" t="s">
        <v>90</v>
      </c>
      <c r="C91" t="s">
        <v>90</v>
      </c>
      <c r="D91" t="s">
        <v>90</v>
      </c>
      <c r="E91" t="s">
        <v>90</v>
      </c>
      <c r="F91" t="s">
        <v>90</v>
      </c>
      <c r="G91" t="s">
        <v>90</v>
      </c>
      <c r="H91" t="s">
        <v>90</v>
      </c>
      <c r="I91" t="s">
        <v>90</v>
      </c>
      <c r="J91" t="s">
        <v>90</v>
      </c>
      <c r="K91" t="s">
        <v>90</v>
      </c>
      <c r="M91" t="str">
        <f t="shared" si="1"/>
        <v>Scale</v>
      </c>
    </row>
    <row r="92" spans="1:13" x14ac:dyDescent="0.15">
      <c r="A92" t="s">
        <v>107</v>
      </c>
      <c r="B92">
        <v>357</v>
      </c>
      <c r="C92">
        <v>741</v>
      </c>
      <c r="D92">
        <v>650</v>
      </c>
      <c r="E92">
        <v>598</v>
      </c>
      <c r="F92">
        <v>1066</v>
      </c>
      <c r="G92">
        <v>1104</v>
      </c>
      <c r="H92">
        <v>523</v>
      </c>
      <c r="I92">
        <v>153</v>
      </c>
      <c r="J92">
        <v>-127</v>
      </c>
      <c r="K92">
        <v>-227</v>
      </c>
      <c r="M92" t="str">
        <f t="shared" si="1"/>
        <v>Net Income</v>
      </c>
    </row>
    <row r="93" spans="1:13" x14ac:dyDescent="0.15">
      <c r="A93" t="s">
        <v>162</v>
      </c>
      <c r="B93">
        <v>355</v>
      </c>
      <c r="C93">
        <v>-86</v>
      </c>
      <c r="D93">
        <v>-285</v>
      </c>
      <c r="E93">
        <v>-20</v>
      </c>
      <c r="F93">
        <v>-358</v>
      </c>
      <c r="G93">
        <v>-461</v>
      </c>
      <c r="H93">
        <v>-64</v>
      </c>
      <c r="I93">
        <v>-159</v>
      </c>
      <c r="J93">
        <v>-130</v>
      </c>
      <c r="K93">
        <v>38</v>
      </c>
      <c r="M93" t="str">
        <f t="shared" si="1"/>
        <v>Changes in Working Capital</v>
      </c>
    </row>
    <row r="94" spans="1:13" x14ac:dyDescent="0.15">
      <c r="A94" t="s">
        <v>163</v>
      </c>
      <c r="B94">
        <v>1088</v>
      </c>
      <c r="C94">
        <v>1219</v>
      </c>
      <c r="D94">
        <v>1053</v>
      </c>
      <c r="E94">
        <v>897</v>
      </c>
      <c r="F94">
        <v>253</v>
      </c>
      <c r="G94">
        <v>952</v>
      </c>
      <c r="H94">
        <v>914</v>
      </c>
      <c r="I94">
        <v>209</v>
      </c>
      <c r="J94">
        <v>263</v>
      </c>
      <c r="K94">
        <v>289</v>
      </c>
      <c r="M94" t="str">
        <f t="shared" si="1"/>
        <v>Cash from Operating Activities</v>
      </c>
    </row>
    <row r="95" spans="1:13" x14ac:dyDescent="0.15">
      <c r="A95" t="s">
        <v>164</v>
      </c>
      <c r="B95">
        <v>-421</v>
      </c>
      <c r="C95">
        <v>-282</v>
      </c>
      <c r="D95">
        <v>-313</v>
      </c>
      <c r="E95">
        <v>-274</v>
      </c>
      <c r="F95">
        <v>-249</v>
      </c>
      <c r="G95">
        <v>-342</v>
      </c>
      <c r="H95">
        <v>-272</v>
      </c>
      <c r="I95">
        <v>-230</v>
      </c>
      <c r="J95">
        <v>-184</v>
      </c>
      <c r="K95">
        <v>-173</v>
      </c>
      <c r="M95" t="str">
        <f t="shared" si="1"/>
        <v>Capital Expenditures</v>
      </c>
    </row>
    <row r="96" spans="1:13" x14ac:dyDescent="0.15">
      <c r="A96" t="s">
        <v>165</v>
      </c>
      <c r="M96" t="str">
        <f t="shared" si="1"/>
        <v>Investment, Net</v>
      </c>
    </row>
    <row r="97" spans="1:13" x14ac:dyDescent="0.15">
      <c r="A97" t="s">
        <v>166</v>
      </c>
      <c r="M97" t="str">
        <f t="shared" si="1"/>
        <v>Software Development Costs</v>
      </c>
    </row>
    <row r="98" spans="1:13" x14ac:dyDescent="0.15">
      <c r="A98" t="s">
        <v>167</v>
      </c>
      <c r="E98">
        <v>50</v>
      </c>
      <c r="F98">
        <v>75</v>
      </c>
      <c r="G98">
        <v>0</v>
      </c>
      <c r="J98">
        <v>11</v>
      </c>
      <c r="K98">
        <v>0</v>
      </c>
      <c r="M98" t="str">
        <f t="shared" si="1"/>
        <v>Sale of Fixed Assets</v>
      </c>
    </row>
    <row r="99" spans="1:13" x14ac:dyDescent="0.15">
      <c r="A99" t="s">
        <v>168</v>
      </c>
      <c r="B99">
        <v>0</v>
      </c>
      <c r="C99">
        <v>-14</v>
      </c>
      <c r="D99">
        <v>-366</v>
      </c>
      <c r="E99">
        <v>0</v>
      </c>
      <c r="F99">
        <v>-650</v>
      </c>
      <c r="G99">
        <v>-245</v>
      </c>
      <c r="I99">
        <v>0</v>
      </c>
      <c r="M99" t="str">
        <f t="shared" si="1"/>
        <v>Acquisition of Business</v>
      </c>
    </row>
    <row r="100" spans="1:13" x14ac:dyDescent="0.15">
      <c r="A100" t="s">
        <v>169</v>
      </c>
      <c r="B100">
        <v>33</v>
      </c>
      <c r="C100">
        <v>0</v>
      </c>
      <c r="D100">
        <v>0</v>
      </c>
      <c r="J100">
        <v>30</v>
      </c>
      <c r="K100">
        <v>41</v>
      </c>
      <c r="M100" t="str">
        <f t="shared" si="1"/>
        <v>Sale/Maturity of Investment</v>
      </c>
    </row>
    <row r="101" spans="1:13" x14ac:dyDescent="0.15">
      <c r="A101" t="s">
        <v>170</v>
      </c>
      <c r="B101">
        <v>219</v>
      </c>
      <c r="C101">
        <v>-142</v>
      </c>
      <c r="D101">
        <v>-660</v>
      </c>
      <c r="E101">
        <v>14</v>
      </c>
      <c r="F101">
        <v>1712</v>
      </c>
      <c r="G101">
        <v>-182</v>
      </c>
      <c r="H101">
        <v>-7</v>
      </c>
      <c r="I101">
        <v>535</v>
      </c>
      <c r="J101">
        <v>58</v>
      </c>
      <c r="K101">
        <v>41</v>
      </c>
      <c r="M101" t="str">
        <f t="shared" si="1"/>
        <v>Other Investing Cash Flow Items, Total</v>
      </c>
    </row>
    <row r="102" spans="1:13" x14ac:dyDescent="0.15">
      <c r="A102" t="s">
        <v>171</v>
      </c>
      <c r="B102">
        <v>-202</v>
      </c>
      <c r="C102">
        <v>-424</v>
      </c>
      <c r="D102">
        <v>-973</v>
      </c>
      <c r="E102">
        <v>-260</v>
      </c>
      <c r="F102">
        <v>1463</v>
      </c>
      <c r="G102">
        <v>-524</v>
      </c>
      <c r="H102">
        <v>-279</v>
      </c>
      <c r="I102">
        <v>305</v>
      </c>
      <c r="J102">
        <v>-126</v>
      </c>
      <c r="K102">
        <v>-132</v>
      </c>
      <c r="M102" t="str">
        <f t="shared" si="1"/>
        <v>Cash from Investing Activities</v>
      </c>
    </row>
    <row r="103" spans="1:13" x14ac:dyDescent="0.15">
      <c r="A103" t="s">
        <v>172</v>
      </c>
      <c r="B103">
        <v>-47</v>
      </c>
      <c r="C103">
        <v>-47</v>
      </c>
      <c r="D103">
        <v>122</v>
      </c>
      <c r="E103">
        <v>13</v>
      </c>
      <c r="F103">
        <v>-312</v>
      </c>
      <c r="G103">
        <v>-8</v>
      </c>
      <c r="H103">
        <v>219</v>
      </c>
      <c r="I103">
        <v>-51</v>
      </c>
      <c r="J103">
        <v>-169</v>
      </c>
      <c r="K103">
        <v>460</v>
      </c>
      <c r="M103" t="str">
        <f t="shared" si="1"/>
        <v>Short Term Debt, Net</v>
      </c>
    </row>
    <row r="104" spans="1:13" x14ac:dyDescent="0.15">
      <c r="A104" t="s">
        <v>173</v>
      </c>
      <c r="B104">
        <v>-560</v>
      </c>
      <c r="C104">
        <v>-1327</v>
      </c>
      <c r="D104">
        <v>52</v>
      </c>
      <c r="E104">
        <v>68</v>
      </c>
      <c r="F104">
        <v>-365</v>
      </c>
      <c r="G104">
        <v>-577</v>
      </c>
      <c r="H104">
        <v>207</v>
      </c>
      <c r="I104">
        <v>-62</v>
      </c>
      <c r="J104">
        <v>-51</v>
      </c>
      <c r="K104">
        <v>132</v>
      </c>
      <c r="M104" t="str">
        <f t="shared" si="1"/>
        <v>Issuance (Retirement) of Debt, Net</v>
      </c>
    </row>
    <row r="105" spans="1:13" x14ac:dyDescent="0.15">
      <c r="A105" t="s">
        <v>174</v>
      </c>
      <c r="B105">
        <v>-2</v>
      </c>
      <c r="C105">
        <v>1035</v>
      </c>
      <c r="D105">
        <v>-246</v>
      </c>
      <c r="E105">
        <v>-218</v>
      </c>
      <c r="F105">
        <v>-101</v>
      </c>
      <c r="G105">
        <v>-197</v>
      </c>
      <c r="H105">
        <v>-1013</v>
      </c>
      <c r="I105">
        <v>-354</v>
      </c>
      <c r="J105">
        <v>-9</v>
      </c>
      <c r="K105">
        <v>-3</v>
      </c>
      <c r="M105" t="str">
        <f t="shared" si="1"/>
        <v>Issuance (Retirement) of Stock, Net</v>
      </c>
    </row>
    <row r="106" spans="1:13" x14ac:dyDescent="0.15">
      <c r="A106" t="s">
        <v>175</v>
      </c>
      <c r="B106">
        <v>-120</v>
      </c>
      <c r="C106">
        <v>-120</v>
      </c>
      <c r="D106">
        <v>-156</v>
      </c>
      <c r="E106">
        <v>-150</v>
      </c>
      <c r="F106">
        <v>-144</v>
      </c>
      <c r="G106">
        <v>-159</v>
      </c>
      <c r="H106">
        <v>-171</v>
      </c>
      <c r="I106">
        <v>-169</v>
      </c>
      <c r="J106">
        <v>-174</v>
      </c>
      <c r="K106">
        <v>-146</v>
      </c>
      <c r="M106" t="str">
        <f t="shared" si="1"/>
        <v>Total Cash Dividends Paid</v>
      </c>
    </row>
    <row r="107" spans="1:13" x14ac:dyDescent="0.15">
      <c r="A107" t="s">
        <v>176</v>
      </c>
      <c r="B107">
        <v>-723</v>
      </c>
      <c r="C107">
        <v>-519</v>
      </c>
      <c r="D107">
        <v>-424</v>
      </c>
      <c r="E107">
        <v>-450</v>
      </c>
      <c r="F107">
        <v>-655</v>
      </c>
      <c r="G107">
        <v>-977</v>
      </c>
      <c r="H107">
        <v>-994</v>
      </c>
      <c r="I107">
        <v>-620</v>
      </c>
      <c r="J107">
        <v>-326</v>
      </c>
      <c r="K107">
        <v>-76</v>
      </c>
      <c r="M107" t="str">
        <f t="shared" si="1"/>
        <v>Cash from Financing Activities</v>
      </c>
    </row>
    <row r="108" spans="1:13" x14ac:dyDescent="0.15">
      <c r="A108" t="s">
        <v>177</v>
      </c>
      <c r="B108">
        <v>-6</v>
      </c>
      <c r="C108">
        <v>18</v>
      </c>
      <c r="D108">
        <v>-35</v>
      </c>
      <c r="E108">
        <v>-2</v>
      </c>
      <c r="F108">
        <v>7</v>
      </c>
      <c r="G108">
        <v>-3</v>
      </c>
      <c r="H108">
        <v>-28</v>
      </c>
      <c r="I108">
        <v>-8</v>
      </c>
      <c r="J108">
        <v>-11</v>
      </c>
      <c r="K108">
        <v>8</v>
      </c>
      <c r="M108" t="str">
        <f t="shared" si="1"/>
        <v>Foreign Exchange Effects</v>
      </c>
    </row>
    <row r="109" spans="1:13" x14ac:dyDescent="0.15">
      <c r="A109" t="s">
        <v>178</v>
      </c>
      <c r="B109">
        <v>157</v>
      </c>
      <c r="C109">
        <v>294</v>
      </c>
      <c r="D109">
        <v>-379</v>
      </c>
      <c r="E109">
        <v>185</v>
      </c>
      <c r="F109">
        <v>1068</v>
      </c>
      <c r="G109">
        <v>-552</v>
      </c>
      <c r="H109">
        <v>-387</v>
      </c>
      <c r="I109">
        <v>-114</v>
      </c>
      <c r="J109">
        <v>-200</v>
      </c>
      <c r="K109">
        <v>89</v>
      </c>
      <c r="M109" t="str">
        <f t="shared" si="1"/>
        <v>Net Change in Cash</v>
      </c>
    </row>
    <row r="110" spans="1:13" x14ac:dyDescent="0.15">
      <c r="A110" t="s">
        <v>179</v>
      </c>
      <c r="B110">
        <v>257</v>
      </c>
      <c r="C110">
        <v>414</v>
      </c>
      <c r="D110">
        <v>719</v>
      </c>
      <c r="E110">
        <v>340</v>
      </c>
      <c r="F110">
        <v>525</v>
      </c>
      <c r="G110">
        <v>1593</v>
      </c>
      <c r="H110">
        <v>1041</v>
      </c>
      <c r="I110">
        <v>654</v>
      </c>
      <c r="J110">
        <v>540</v>
      </c>
      <c r="K110">
        <v>340</v>
      </c>
      <c r="M110" t="str">
        <f t="shared" si="1"/>
        <v>Net Cash - Beginning Balance</v>
      </c>
    </row>
    <row r="111" spans="1:13" x14ac:dyDescent="0.15">
      <c r="A111" t="s">
        <v>180</v>
      </c>
      <c r="B111">
        <v>414</v>
      </c>
      <c r="C111">
        <v>708</v>
      </c>
      <c r="D111">
        <v>340</v>
      </c>
      <c r="E111">
        <v>525</v>
      </c>
      <c r="F111">
        <v>1593</v>
      </c>
      <c r="G111">
        <v>1041</v>
      </c>
      <c r="H111">
        <v>654</v>
      </c>
      <c r="I111">
        <v>540</v>
      </c>
      <c r="J111">
        <v>340</v>
      </c>
      <c r="K111">
        <v>429</v>
      </c>
      <c r="M111" t="str">
        <f t="shared" si="1"/>
        <v>Net Cash - Ending Balance</v>
      </c>
    </row>
    <row r="112" spans="1:13" x14ac:dyDescent="0.15">
      <c r="M112" t="str">
        <f t="shared" si="1"/>
        <v/>
      </c>
    </row>
    <row r="113" spans="1:13" x14ac:dyDescent="0.15">
      <c r="M113" t="str">
        <f t="shared" si="1"/>
        <v/>
      </c>
    </row>
    <row r="114" spans="1:13" x14ac:dyDescent="0.15">
      <c r="A114" t="s">
        <v>81</v>
      </c>
      <c r="M114" t="str">
        <f t="shared" si="1"/>
        <v>Huntsman Corporation (44701110)</v>
      </c>
    </row>
    <row r="115" spans="1:13" x14ac:dyDescent="0.15">
      <c r="A115" t="s">
        <v>85</v>
      </c>
      <c r="M115" t="str">
        <f t="shared" si="1"/>
        <v>Ratio Analysis - Annual (As Originally Reported)</v>
      </c>
    </row>
    <row r="116" spans="1:13" x14ac:dyDescent="0.15">
      <c r="A116" t="s">
        <v>86</v>
      </c>
      <c r="B116" s="1">
        <v>42735</v>
      </c>
      <c r="C116" s="1">
        <v>43100</v>
      </c>
      <c r="D116" s="1">
        <v>43465</v>
      </c>
      <c r="E116" s="1">
        <v>43830</v>
      </c>
      <c r="F116" s="1">
        <v>44196</v>
      </c>
      <c r="G116" s="1">
        <v>44561</v>
      </c>
      <c r="H116" s="1">
        <v>44926</v>
      </c>
      <c r="I116" s="1">
        <v>45291</v>
      </c>
      <c r="J116" s="1">
        <v>45657</v>
      </c>
      <c r="K116" s="1">
        <v>46022</v>
      </c>
      <c r="M116" t="str">
        <f t="shared" si="1"/>
        <v>FYE December</v>
      </c>
    </row>
    <row r="117" spans="1:13" x14ac:dyDescent="0.15">
      <c r="A117" t="s">
        <v>87</v>
      </c>
      <c r="M117" t="str">
        <f t="shared" si="1"/>
        <v>Currency</v>
      </c>
    </row>
    <row r="118" spans="1:13" x14ac:dyDescent="0.15">
      <c r="A118" t="s">
        <v>89</v>
      </c>
      <c r="M118" t="str">
        <f t="shared" si="1"/>
        <v>Scale</v>
      </c>
    </row>
    <row r="119" spans="1:13" x14ac:dyDescent="0.15">
      <c r="A119" t="s">
        <v>181</v>
      </c>
      <c r="M119" t="str">
        <f t="shared" si="1"/>
        <v>Profitability</v>
      </c>
    </row>
    <row r="120" spans="1:13" x14ac:dyDescent="0.15">
      <c r="A120" t="s">
        <v>182</v>
      </c>
      <c r="B120">
        <v>17.38</v>
      </c>
      <c r="C120">
        <v>21.68</v>
      </c>
      <c r="D120">
        <v>21.59</v>
      </c>
      <c r="E120">
        <v>20.329999999999998</v>
      </c>
      <c r="F120">
        <v>18.28</v>
      </c>
      <c r="G120">
        <v>21</v>
      </c>
      <c r="H120">
        <v>19.27</v>
      </c>
      <c r="I120">
        <v>14.83</v>
      </c>
      <c r="J120">
        <v>14.35</v>
      </c>
      <c r="K120">
        <v>13.21</v>
      </c>
      <c r="M120" t="str">
        <f t="shared" si="1"/>
        <v>Gross Margin</v>
      </c>
    </row>
    <row r="121" spans="1:13" x14ac:dyDescent="0.15">
      <c r="A121" t="s">
        <v>183</v>
      </c>
      <c r="B121">
        <v>6.67</v>
      </c>
      <c r="C121">
        <v>9.5399999999999991</v>
      </c>
      <c r="D121">
        <v>11.04</v>
      </c>
      <c r="E121">
        <v>6.56</v>
      </c>
      <c r="F121">
        <v>7.2</v>
      </c>
      <c r="G121">
        <v>14.59</v>
      </c>
      <c r="H121">
        <v>8.34</v>
      </c>
      <c r="I121">
        <v>1.37</v>
      </c>
      <c r="J121">
        <v>-0.41</v>
      </c>
      <c r="K121">
        <v>-2.31</v>
      </c>
      <c r="M121" t="str">
        <f t="shared" si="1"/>
        <v>Operating Margin</v>
      </c>
    </row>
    <row r="122" spans="1:13" x14ac:dyDescent="0.15">
      <c r="A122" t="s">
        <v>184</v>
      </c>
      <c r="B122">
        <v>4.6399999999999997</v>
      </c>
      <c r="C122">
        <v>7.74</v>
      </c>
      <c r="D122">
        <v>10.039999999999999</v>
      </c>
      <c r="E122">
        <v>5.75</v>
      </c>
      <c r="F122">
        <v>5.6</v>
      </c>
      <c r="G122">
        <v>15.53</v>
      </c>
      <c r="H122">
        <v>8.69</v>
      </c>
      <c r="I122">
        <v>1.62</v>
      </c>
      <c r="J122">
        <v>-0.65</v>
      </c>
      <c r="K122">
        <v>-3.38</v>
      </c>
      <c r="M122" t="str">
        <f t="shared" si="1"/>
        <v>Pretax Margin</v>
      </c>
    </row>
    <row r="123" spans="1:13" x14ac:dyDescent="0.15">
      <c r="A123" t="s">
        <v>185</v>
      </c>
      <c r="B123">
        <v>19.420000000000002</v>
      </c>
      <c r="C123">
        <v>17.93</v>
      </c>
      <c r="D123">
        <v>6.9</v>
      </c>
      <c r="E123">
        <v>-9.4600000000000009</v>
      </c>
      <c r="F123">
        <v>13.65</v>
      </c>
      <c r="G123">
        <v>15.92</v>
      </c>
      <c r="H123">
        <v>26.69</v>
      </c>
      <c r="I123">
        <v>64.650000000000006</v>
      </c>
      <c r="M123" t="str">
        <f t="shared" si="1"/>
        <v>Effective Tax Rate</v>
      </c>
    </row>
    <row r="124" spans="1:13" x14ac:dyDescent="0.15">
      <c r="A124" t="s">
        <v>186</v>
      </c>
      <c r="B124">
        <v>3.42</v>
      </c>
      <c r="C124">
        <v>5.0999999999999996</v>
      </c>
      <c r="D124">
        <v>6.08</v>
      </c>
      <c r="E124">
        <v>5.77</v>
      </c>
      <c r="F124">
        <v>4.3</v>
      </c>
      <c r="G124">
        <v>12.36</v>
      </c>
      <c r="H124">
        <v>5.58</v>
      </c>
      <c r="I124">
        <v>-0.28000000000000003</v>
      </c>
      <c r="J124">
        <v>-2.68</v>
      </c>
      <c r="K124">
        <v>-4.84</v>
      </c>
      <c r="M124" t="str">
        <f t="shared" si="1"/>
        <v>Net Profit Margin</v>
      </c>
    </row>
    <row r="125" spans="1:13" x14ac:dyDescent="0.15">
      <c r="A125" t="s">
        <v>187</v>
      </c>
      <c r="B125">
        <v>890</v>
      </c>
      <c r="C125">
        <v>902</v>
      </c>
      <c r="D125">
        <v>1044</v>
      </c>
      <c r="E125">
        <v>472</v>
      </c>
      <c r="F125">
        <v>239</v>
      </c>
      <c r="G125">
        <v>812</v>
      </c>
      <c r="H125">
        <v>883</v>
      </c>
      <c r="I125">
        <v>142</v>
      </c>
      <c r="J125">
        <v>115</v>
      </c>
      <c r="K125">
        <v>-45</v>
      </c>
      <c r="M125" t="str">
        <f t="shared" si="1"/>
        <v>Normalized EBIT</v>
      </c>
    </row>
    <row r="126" spans="1:13" x14ac:dyDescent="0.15">
      <c r="A126" t="s">
        <v>188</v>
      </c>
      <c r="B126">
        <v>1322</v>
      </c>
      <c r="C126">
        <v>1221</v>
      </c>
      <c r="D126">
        <v>1387</v>
      </c>
      <c r="E126">
        <v>742</v>
      </c>
      <c r="F126">
        <v>522</v>
      </c>
      <c r="G126">
        <v>1108</v>
      </c>
      <c r="H126">
        <v>1164</v>
      </c>
      <c r="I126">
        <v>420</v>
      </c>
      <c r="J126">
        <v>404</v>
      </c>
      <c r="K126">
        <v>242</v>
      </c>
      <c r="M126" t="str">
        <f t="shared" si="1"/>
        <v>Normalized EBITDA</v>
      </c>
    </row>
    <row r="127" spans="1:13" x14ac:dyDescent="0.15">
      <c r="A127" t="s">
        <v>189</v>
      </c>
      <c r="B127">
        <v>11.1</v>
      </c>
      <c r="C127">
        <v>12.5</v>
      </c>
      <c r="D127">
        <v>14.7</v>
      </c>
      <c r="E127">
        <v>10.5</v>
      </c>
      <c r="F127">
        <v>11.9</v>
      </c>
      <c r="G127">
        <v>18.100000000000001</v>
      </c>
      <c r="H127">
        <v>11.7</v>
      </c>
      <c r="I127">
        <v>5.9</v>
      </c>
      <c r="J127">
        <v>4.4000000000000004</v>
      </c>
      <c r="K127">
        <v>2.8</v>
      </c>
      <c r="M127" t="str">
        <f t="shared" si="1"/>
        <v>EBITDA Margin %</v>
      </c>
    </row>
    <row r="128" spans="1:13" x14ac:dyDescent="0.15">
      <c r="A128" t="s">
        <v>190</v>
      </c>
      <c r="M128" t="str">
        <f t="shared" si="1"/>
        <v>Management Effectiveness</v>
      </c>
    </row>
    <row r="129" spans="1:13" x14ac:dyDescent="0.15">
      <c r="A129" t="s">
        <v>191</v>
      </c>
      <c r="B129">
        <v>28.5</v>
      </c>
      <c r="C129">
        <v>30.8</v>
      </c>
      <c r="D129">
        <v>20.7</v>
      </c>
      <c r="E129">
        <v>18.100000000000001</v>
      </c>
      <c r="F129">
        <v>2</v>
      </c>
      <c r="G129">
        <v>17.3</v>
      </c>
      <c r="H129">
        <v>14.7</v>
      </c>
      <c r="I129">
        <v>0.4</v>
      </c>
      <c r="J129">
        <v>-1.5</v>
      </c>
      <c r="K129">
        <v>-8.1999999999999993</v>
      </c>
      <c r="M129" t="str">
        <f t="shared" si="1"/>
        <v>Normalized Return on Equity % TTM</v>
      </c>
    </row>
    <row r="130" spans="1:13" x14ac:dyDescent="0.15">
      <c r="A130" t="s">
        <v>192</v>
      </c>
      <c r="B130">
        <v>6.8</v>
      </c>
      <c r="C130">
        <v>10.4</v>
      </c>
      <c r="D130">
        <v>9.6999999999999993</v>
      </c>
      <c r="E130">
        <v>9.3000000000000007</v>
      </c>
      <c r="F130">
        <v>1.3</v>
      </c>
      <c r="G130">
        <v>12.1</v>
      </c>
      <c r="H130">
        <v>10.4</v>
      </c>
      <c r="I130">
        <v>0.3</v>
      </c>
      <c r="J130">
        <v>-0.9</v>
      </c>
      <c r="K130">
        <v>-4.9000000000000004</v>
      </c>
      <c r="M130" t="str">
        <f t="shared" ref="M130:M164" si="2">TRIM(A130)</f>
        <v>Normalized Return on Capital % TTM</v>
      </c>
    </row>
    <row r="131" spans="1:13" x14ac:dyDescent="0.15">
      <c r="A131" t="s">
        <v>193</v>
      </c>
      <c r="B131">
        <v>4.3</v>
      </c>
      <c r="C131">
        <v>6</v>
      </c>
      <c r="D131">
        <v>5.7</v>
      </c>
      <c r="E131">
        <v>5.6</v>
      </c>
      <c r="F131">
        <v>0.8</v>
      </c>
      <c r="G131">
        <v>7.8</v>
      </c>
      <c r="H131">
        <v>6.9</v>
      </c>
      <c r="I131">
        <v>0.2</v>
      </c>
      <c r="J131">
        <v>-0.6</v>
      </c>
      <c r="K131">
        <v>-3.2</v>
      </c>
      <c r="M131" t="str">
        <f t="shared" si="2"/>
        <v>Normalized Return on Assets % TTM</v>
      </c>
    </row>
    <row r="132" spans="1:13" x14ac:dyDescent="0.15">
      <c r="A132" t="s">
        <v>194</v>
      </c>
      <c r="M132" t="str">
        <f t="shared" si="2"/>
        <v>Financial Strength</v>
      </c>
    </row>
    <row r="133" spans="1:13" x14ac:dyDescent="0.15">
      <c r="A133" t="s">
        <v>195</v>
      </c>
      <c r="B133">
        <v>2211</v>
      </c>
      <c r="C133">
        <v>4906</v>
      </c>
      <c r="D133">
        <v>1824</v>
      </c>
      <c r="E133">
        <v>2841</v>
      </c>
      <c r="F133">
        <v>2720</v>
      </c>
      <c r="G133">
        <v>2727</v>
      </c>
      <c r="H133">
        <v>2150</v>
      </c>
      <c r="I133">
        <v>1447</v>
      </c>
      <c r="J133">
        <v>1208</v>
      </c>
      <c r="K133">
        <v>1246</v>
      </c>
      <c r="M133" t="str">
        <f t="shared" si="2"/>
        <v>Total Current Assets less Inventory</v>
      </c>
    </row>
    <row r="134" spans="1:13" x14ac:dyDescent="0.15">
      <c r="A134" t="s">
        <v>196</v>
      </c>
      <c r="B134">
        <v>1.24</v>
      </c>
      <c r="C134">
        <v>1.5</v>
      </c>
      <c r="D134">
        <v>1.1299999999999999</v>
      </c>
      <c r="E134">
        <v>1.41</v>
      </c>
      <c r="F134">
        <v>1.37</v>
      </c>
      <c r="G134">
        <v>1.33</v>
      </c>
      <c r="H134">
        <v>1.26</v>
      </c>
      <c r="I134">
        <v>1.23</v>
      </c>
      <c r="J134">
        <v>0.77</v>
      </c>
      <c r="K134">
        <v>0.78</v>
      </c>
      <c r="M134" t="str">
        <f t="shared" si="2"/>
        <v>Quick Ratio</v>
      </c>
    </row>
    <row r="135" spans="1:13" x14ac:dyDescent="0.15">
      <c r="A135" t="s">
        <v>197</v>
      </c>
      <c r="B135">
        <v>2</v>
      </c>
      <c r="C135">
        <v>1.83</v>
      </c>
      <c r="D135">
        <v>1.84</v>
      </c>
      <c r="E135">
        <v>1.87</v>
      </c>
      <c r="F135">
        <v>1.8</v>
      </c>
      <c r="G135">
        <v>1.92</v>
      </c>
      <c r="H135">
        <v>1.85</v>
      </c>
      <c r="I135">
        <v>1.97</v>
      </c>
      <c r="J135">
        <v>1.36</v>
      </c>
      <c r="K135">
        <v>1.3</v>
      </c>
      <c r="M135" t="str">
        <f t="shared" si="2"/>
        <v>Current Ratio</v>
      </c>
    </row>
    <row r="136" spans="1:13" x14ac:dyDescent="0.15">
      <c r="A136" t="s">
        <v>198</v>
      </c>
      <c r="B136">
        <v>3998</v>
      </c>
      <c r="C136">
        <v>2722</v>
      </c>
      <c r="D136">
        <v>2245</v>
      </c>
      <c r="E136">
        <v>2027</v>
      </c>
      <c r="F136">
        <v>702</v>
      </c>
      <c r="G136">
        <v>702</v>
      </c>
      <c r="H136">
        <v>1324</v>
      </c>
      <c r="I136">
        <v>1403</v>
      </c>
      <c r="J136">
        <v>1726</v>
      </c>
      <c r="K136">
        <v>1812</v>
      </c>
      <c r="M136" t="str">
        <f t="shared" si="2"/>
        <v>Net Debt</v>
      </c>
    </row>
    <row r="137" spans="1:13" x14ac:dyDescent="0.15">
      <c r="A137" t="s">
        <v>199</v>
      </c>
      <c r="B137">
        <v>100</v>
      </c>
      <c r="C137">
        <v>91.2</v>
      </c>
      <c r="D137">
        <v>89.5</v>
      </c>
      <c r="E137">
        <v>81.8</v>
      </c>
      <c r="F137">
        <v>43.7</v>
      </c>
      <c r="G137">
        <v>35.200000000000003</v>
      </c>
      <c r="H137">
        <v>46.4</v>
      </c>
      <c r="I137">
        <v>52</v>
      </c>
      <c r="J137">
        <v>51.5</v>
      </c>
      <c r="K137">
        <v>60.8</v>
      </c>
      <c r="M137" t="str">
        <f t="shared" si="2"/>
        <v>Long Term Debt / Equity %</v>
      </c>
    </row>
    <row r="138" spans="1:13" x14ac:dyDescent="0.15">
      <c r="A138" t="s">
        <v>200</v>
      </c>
      <c r="B138">
        <v>73.8</v>
      </c>
      <c r="C138">
        <v>40.1</v>
      </c>
      <c r="D138">
        <v>44.7</v>
      </c>
      <c r="E138">
        <v>43.5</v>
      </c>
      <c r="F138">
        <v>29.4</v>
      </c>
      <c r="G138">
        <v>25.2</v>
      </c>
      <c r="H138">
        <v>30.3</v>
      </c>
      <c r="I138">
        <v>32.5</v>
      </c>
      <c r="J138">
        <v>32.299999999999997</v>
      </c>
      <c r="K138">
        <v>35.9</v>
      </c>
      <c r="M138" t="str">
        <f t="shared" si="2"/>
        <v>Long Term Debt / Capital %</v>
      </c>
    </row>
    <row r="139" spans="1:13" x14ac:dyDescent="0.15">
      <c r="A139" t="s">
        <v>201</v>
      </c>
      <c r="B139">
        <v>297.5</v>
      </c>
      <c r="C139">
        <v>72.2</v>
      </c>
      <c r="D139">
        <v>75.8</v>
      </c>
      <c r="E139">
        <v>62.1</v>
      </c>
      <c r="F139">
        <v>0</v>
      </c>
      <c r="G139">
        <v>11.4</v>
      </c>
      <c r="H139">
        <v>28.3</v>
      </c>
      <c r="I139">
        <v>35.200000000000003</v>
      </c>
      <c r="J139">
        <v>39.9</v>
      </c>
      <c r="K139">
        <v>45.1</v>
      </c>
      <c r="M139" t="str">
        <f t="shared" si="2"/>
        <v>Net Debt / Equity %</v>
      </c>
    </row>
    <row r="140" spans="1:13" x14ac:dyDescent="0.15">
      <c r="A140" t="s">
        <v>202</v>
      </c>
      <c r="B140">
        <v>330.6</v>
      </c>
      <c r="C140">
        <v>91.2</v>
      </c>
      <c r="D140">
        <v>89.5</v>
      </c>
      <c r="E140">
        <v>81.8</v>
      </c>
      <c r="F140">
        <v>43.7</v>
      </c>
      <c r="G140">
        <v>35.200000000000003</v>
      </c>
      <c r="H140">
        <v>46.4</v>
      </c>
      <c r="I140">
        <v>52</v>
      </c>
      <c r="J140">
        <v>51.5</v>
      </c>
      <c r="K140">
        <v>60.8</v>
      </c>
      <c r="M140" t="str">
        <f t="shared" si="2"/>
        <v>Total Debt / Total Equity %</v>
      </c>
    </row>
    <row r="141" spans="1:13" x14ac:dyDescent="0.15">
      <c r="A141" t="s">
        <v>203</v>
      </c>
      <c r="B141">
        <v>73.8</v>
      </c>
      <c r="C141">
        <v>40.1</v>
      </c>
      <c r="D141">
        <v>44.7</v>
      </c>
      <c r="E141">
        <v>43.5</v>
      </c>
      <c r="F141">
        <v>29.4</v>
      </c>
      <c r="G141">
        <v>25.2</v>
      </c>
      <c r="H141">
        <v>30.3</v>
      </c>
      <c r="I141">
        <v>32.5</v>
      </c>
      <c r="J141">
        <v>32.299999999999997</v>
      </c>
      <c r="K141">
        <v>35.9</v>
      </c>
      <c r="M141" t="str">
        <f t="shared" si="2"/>
        <v>Total Debt / Total Capital %</v>
      </c>
    </row>
    <row r="142" spans="1:13" x14ac:dyDescent="0.15">
      <c r="A142" t="s">
        <v>204</v>
      </c>
      <c r="B142">
        <v>45</v>
      </c>
      <c r="C142">
        <v>22</v>
      </c>
      <c r="D142">
        <v>28</v>
      </c>
      <c r="E142">
        <v>26.2</v>
      </c>
      <c r="F142">
        <v>17.5</v>
      </c>
      <c r="G142">
        <v>16.399999999999999</v>
      </c>
      <c r="H142">
        <v>20.3</v>
      </c>
      <c r="I142">
        <v>23.1</v>
      </c>
      <c r="J142">
        <v>21.2</v>
      </c>
      <c r="K142">
        <v>23.6</v>
      </c>
      <c r="M142" t="str">
        <f t="shared" si="2"/>
        <v>Total Debt / Assets %</v>
      </c>
    </row>
    <row r="143" spans="1:13" x14ac:dyDescent="0.15">
      <c r="A143" t="s">
        <v>205</v>
      </c>
      <c r="B143">
        <v>4.3</v>
      </c>
      <c r="C143">
        <v>8</v>
      </c>
      <c r="D143">
        <v>4.5999999999999996</v>
      </c>
      <c r="E143">
        <v>5.6</v>
      </c>
      <c r="F143">
        <v>18.600000000000001</v>
      </c>
      <c r="G143">
        <v>47.6</v>
      </c>
      <c r="H143">
        <v>-0.6</v>
      </c>
      <c r="I143">
        <v>-2.5</v>
      </c>
      <c r="J143">
        <v>-3.3</v>
      </c>
      <c r="M143" t="str">
        <f t="shared" si="2"/>
        <v>Interest Coverage</v>
      </c>
    </row>
    <row r="144" spans="1:13" x14ac:dyDescent="0.15">
      <c r="A144" t="s">
        <v>206</v>
      </c>
      <c r="B144">
        <v>7.4</v>
      </c>
      <c r="C144">
        <v>4.0999999999999996</v>
      </c>
      <c r="D144">
        <v>3.2</v>
      </c>
      <c r="E144">
        <v>3.1</v>
      </c>
      <c r="F144">
        <v>2.5</v>
      </c>
      <c r="G144">
        <v>2.2000000000000002</v>
      </c>
      <c r="H144">
        <v>2.2999999999999998</v>
      </c>
      <c r="I144">
        <v>2.2999999999999998</v>
      </c>
      <c r="J144">
        <v>2.4</v>
      </c>
      <c r="K144">
        <v>2.6</v>
      </c>
      <c r="M144" t="str">
        <f t="shared" si="2"/>
        <v>Financial Leverage Ratio</v>
      </c>
    </row>
    <row r="145" spans="1:13" x14ac:dyDescent="0.15">
      <c r="A145" t="s">
        <v>207</v>
      </c>
      <c r="M145" t="str">
        <f t="shared" si="2"/>
        <v>Efficiency</v>
      </c>
    </row>
    <row r="146" spans="1:13" x14ac:dyDescent="0.15">
      <c r="A146" t="s">
        <v>208</v>
      </c>
      <c r="B146">
        <v>61</v>
      </c>
      <c r="C146">
        <v>52</v>
      </c>
      <c r="D146">
        <v>56</v>
      </c>
      <c r="E146">
        <v>55</v>
      </c>
      <c r="F146">
        <v>63</v>
      </c>
      <c r="G146">
        <v>66</v>
      </c>
      <c r="H146">
        <v>54</v>
      </c>
      <c r="I146">
        <v>61</v>
      </c>
      <c r="J146">
        <v>65</v>
      </c>
      <c r="K146">
        <v>61</v>
      </c>
      <c r="M146" t="str">
        <f t="shared" si="2"/>
        <v>Days Inventory (DOH)</v>
      </c>
    </row>
    <row r="147" spans="1:13" x14ac:dyDescent="0.15">
      <c r="A147" t="s">
        <v>209</v>
      </c>
      <c r="B147">
        <v>53</v>
      </c>
      <c r="C147">
        <v>48</v>
      </c>
      <c r="D147">
        <v>49</v>
      </c>
      <c r="E147">
        <v>45</v>
      </c>
      <c r="F147">
        <v>55</v>
      </c>
      <c r="G147">
        <v>50</v>
      </c>
      <c r="H147">
        <v>35</v>
      </c>
      <c r="I147">
        <v>45</v>
      </c>
      <c r="J147">
        <v>43</v>
      </c>
      <c r="M147" t="str">
        <f t="shared" si="2"/>
        <v>Days Receivable (DSO)</v>
      </c>
    </row>
    <row r="148" spans="1:13" x14ac:dyDescent="0.15">
      <c r="A148" t="s">
        <v>210</v>
      </c>
      <c r="B148">
        <v>50</v>
      </c>
      <c r="C148">
        <v>47</v>
      </c>
      <c r="D148">
        <v>48</v>
      </c>
      <c r="E148">
        <v>49</v>
      </c>
      <c r="F148">
        <v>65</v>
      </c>
      <c r="G148">
        <v>66</v>
      </c>
      <c r="H148">
        <v>52</v>
      </c>
      <c r="I148">
        <v>50</v>
      </c>
      <c r="J148">
        <v>54</v>
      </c>
      <c r="K148">
        <v>53</v>
      </c>
      <c r="M148" t="str">
        <f t="shared" si="2"/>
        <v>Days Payable (DP)</v>
      </c>
    </row>
    <row r="149" spans="1:13" x14ac:dyDescent="0.15">
      <c r="A149" t="s">
        <v>211</v>
      </c>
      <c r="B149">
        <v>64</v>
      </c>
      <c r="C149">
        <v>54</v>
      </c>
      <c r="D149">
        <v>57</v>
      </c>
      <c r="E149">
        <v>51</v>
      </c>
      <c r="F149">
        <v>53</v>
      </c>
      <c r="G149">
        <v>50</v>
      </c>
      <c r="H149">
        <v>37</v>
      </c>
      <c r="I149">
        <v>55</v>
      </c>
      <c r="J149">
        <v>54</v>
      </c>
      <c r="M149" t="str">
        <f t="shared" si="2"/>
        <v>Cash Cycle (DOH+DSO-DP)</v>
      </c>
    </row>
    <row r="150" spans="1:13" x14ac:dyDescent="0.15">
      <c r="A150" t="s">
        <v>212</v>
      </c>
      <c r="B150">
        <v>1.0509999999999999</v>
      </c>
      <c r="C150">
        <v>0.92300000000000004</v>
      </c>
      <c r="D150">
        <v>1.179</v>
      </c>
      <c r="E150">
        <v>0.91</v>
      </c>
      <c r="F150">
        <v>0.69099999999999995</v>
      </c>
      <c r="G150">
        <v>0.9</v>
      </c>
      <c r="H150">
        <v>1.0229999999999999</v>
      </c>
      <c r="I150">
        <v>0.84299999999999997</v>
      </c>
      <c r="J150">
        <v>0.84799999999999998</v>
      </c>
      <c r="K150">
        <v>0.81</v>
      </c>
      <c r="M150" t="str">
        <f t="shared" si="2"/>
        <v>Asset Turnover TTM</v>
      </c>
    </row>
    <row r="151" spans="1:13" x14ac:dyDescent="0.15">
      <c r="A151" t="s">
        <v>213</v>
      </c>
      <c r="B151">
        <v>6.9</v>
      </c>
      <c r="C151">
        <v>7.5</v>
      </c>
      <c r="D151">
        <v>7.5</v>
      </c>
      <c r="E151">
        <v>8.1</v>
      </c>
      <c r="F151">
        <v>6.7</v>
      </c>
      <c r="G151">
        <v>7.3</v>
      </c>
      <c r="H151">
        <v>10.3</v>
      </c>
      <c r="I151">
        <v>8.1999999999999993</v>
      </c>
      <c r="J151">
        <v>8.4</v>
      </c>
      <c r="M151" t="str">
        <f t="shared" si="2"/>
        <v>Receivables Turnover TTM</v>
      </c>
    </row>
    <row r="152" spans="1:13" x14ac:dyDescent="0.15">
      <c r="A152" t="s">
        <v>214</v>
      </c>
      <c r="B152">
        <v>5.9</v>
      </c>
      <c r="C152">
        <v>7</v>
      </c>
      <c r="D152">
        <v>6.5</v>
      </c>
      <c r="E152">
        <v>6.7</v>
      </c>
      <c r="F152">
        <v>5.8</v>
      </c>
      <c r="G152">
        <v>5.6</v>
      </c>
      <c r="H152">
        <v>6.8</v>
      </c>
      <c r="I152">
        <v>6</v>
      </c>
      <c r="J152">
        <v>5.6</v>
      </c>
      <c r="K152">
        <v>6</v>
      </c>
      <c r="M152" t="str">
        <f t="shared" si="2"/>
        <v>Inventory Turnover TTM</v>
      </c>
    </row>
    <row r="153" spans="1:13" x14ac:dyDescent="0.15">
      <c r="A153" t="s">
        <v>215</v>
      </c>
      <c r="B153">
        <v>7.2</v>
      </c>
      <c r="C153">
        <v>7.8</v>
      </c>
      <c r="D153">
        <v>7.7</v>
      </c>
      <c r="E153">
        <v>7.4</v>
      </c>
      <c r="F153">
        <v>5.6</v>
      </c>
      <c r="G153">
        <v>5.5</v>
      </c>
      <c r="H153">
        <v>7</v>
      </c>
      <c r="I153">
        <v>7.2</v>
      </c>
      <c r="J153">
        <v>6.7</v>
      </c>
      <c r="K153">
        <v>6.8</v>
      </c>
      <c r="M153" t="str">
        <f t="shared" si="2"/>
        <v>Payables Turnover TTM</v>
      </c>
    </row>
    <row r="154" spans="1:13" x14ac:dyDescent="0.15">
      <c r="A154" t="s">
        <v>216</v>
      </c>
      <c r="B154">
        <v>7.2</v>
      </c>
      <c r="C154">
        <v>8.8000000000000007</v>
      </c>
      <c r="D154">
        <v>8.3000000000000007</v>
      </c>
      <c r="E154">
        <v>8.3000000000000007</v>
      </c>
      <c r="F154">
        <v>7.1</v>
      </c>
      <c r="G154">
        <v>7</v>
      </c>
      <c r="H154">
        <v>8.5</v>
      </c>
      <c r="I154">
        <v>7.1</v>
      </c>
      <c r="J154">
        <v>6.6</v>
      </c>
      <c r="K154">
        <v>7</v>
      </c>
      <c r="M154" t="str">
        <f t="shared" si="2"/>
        <v>Sales / Inventory TTM</v>
      </c>
    </row>
    <row r="155" spans="1:13" x14ac:dyDescent="0.15">
      <c r="A155" t="s">
        <v>217</v>
      </c>
      <c r="B155">
        <v>5.4</v>
      </c>
      <c r="C155">
        <v>3.5</v>
      </c>
      <c r="D155">
        <v>7</v>
      </c>
      <c r="E155">
        <v>4.3</v>
      </c>
      <c r="F155">
        <v>3.8</v>
      </c>
      <c r="G155">
        <v>4.5</v>
      </c>
      <c r="H155">
        <v>5.8</v>
      </c>
      <c r="I155">
        <v>5.4</v>
      </c>
      <c r="J155">
        <v>10.8</v>
      </c>
      <c r="K155">
        <v>12</v>
      </c>
      <c r="M155" t="str">
        <f t="shared" si="2"/>
        <v>Sales / Working Capital TTM</v>
      </c>
    </row>
    <row r="156" spans="1:13" x14ac:dyDescent="0.15">
      <c r="A156" t="s">
        <v>218</v>
      </c>
      <c r="B156">
        <v>23.3</v>
      </c>
      <c r="C156">
        <v>20.100000000000001</v>
      </c>
      <c r="D156">
        <v>27.6</v>
      </c>
      <c r="E156">
        <v>14.4</v>
      </c>
      <c r="F156">
        <v>3.8</v>
      </c>
      <c r="G156">
        <v>8.1</v>
      </c>
      <c r="H156">
        <v>12.9</v>
      </c>
      <c r="I156">
        <v>11.3</v>
      </c>
      <c r="J156">
        <v>17.8</v>
      </c>
      <c r="K156">
        <v>13.3</v>
      </c>
      <c r="M156" t="str">
        <f t="shared" si="2"/>
        <v>Sales / Cash TTM</v>
      </c>
    </row>
    <row r="157" spans="1:13" x14ac:dyDescent="0.15">
      <c r="A157" t="s">
        <v>219</v>
      </c>
      <c r="B157">
        <v>2.2999999999999998</v>
      </c>
      <c r="C157">
        <v>3.1</v>
      </c>
      <c r="D157">
        <v>3.1</v>
      </c>
      <c r="E157">
        <v>2.7</v>
      </c>
      <c r="F157">
        <v>2</v>
      </c>
      <c r="G157">
        <v>2.8</v>
      </c>
      <c r="H157">
        <v>3.1</v>
      </c>
      <c r="I157">
        <v>2.2000000000000002</v>
      </c>
      <c r="J157">
        <v>2.1</v>
      </c>
      <c r="K157">
        <v>2</v>
      </c>
      <c r="M157" t="str">
        <f t="shared" si="2"/>
        <v>Sales / Fixed Assets TTM</v>
      </c>
    </row>
    <row r="158" spans="1:13" x14ac:dyDescent="0.15">
      <c r="A158" t="s">
        <v>220</v>
      </c>
      <c r="M158" t="str">
        <f t="shared" si="2"/>
        <v>Miscellaneous</v>
      </c>
    </row>
    <row r="159" spans="1:13" x14ac:dyDescent="0.15">
      <c r="A159" t="s">
        <v>221</v>
      </c>
      <c r="B159">
        <v>667</v>
      </c>
      <c r="C159">
        <v>937</v>
      </c>
      <c r="D159">
        <v>740</v>
      </c>
      <c r="E159">
        <v>623</v>
      </c>
      <c r="F159">
        <v>4</v>
      </c>
      <c r="G159">
        <v>610</v>
      </c>
      <c r="H159">
        <v>642</v>
      </c>
      <c r="I159">
        <v>-21</v>
      </c>
      <c r="J159">
        <v>79</v>
      </c>
      <c r="K159">
        <v>116</v>
      </c>
      <c r="M159" t="str">
        <f t="shared" si="2"/>
        <v>Free Cash Flow TTM</v>
      </c>
    </row>
    <row r="160" spans="1:13" x14ac:dyDescent="0.15">
      <c r="A160" t="s">
        <v>222</v>
      </c>
      <c r="B160">
        <v>2.78</v>
      </c>
      <c r="C160">
        <v>3.84</v>
      </c>
      <c r="D160">
        <v>3.08</v>
      </c>
      <c r="E160">
        <v>2.71</v>
      </c>
      <c r="F160">
        <v>0.02</v>
      </c>
      <c r="G160">
        <v>2.75</v>
      </c>
      <c r="H160">
        <v>3.17</v>
      </c>
      <c r="I160">
        <v>-0.12</v>
      </c>
      <c r="J160">
        <v>0.46</v>
      </c>
      <c r="K160">
        <v>0.67</v>
      </c>
      <c r="M160" t="str">
        <f t="shared" si="2"/>
        <v>Free Cash Flow Per Share TTM</v>
      </c>
    </row>
    <row r="161" spans="1:13" x14ac:dyDescent="0.15">
      <c r="A161" t="s">
        <v>223</v>
      </c>
      <c r="B161">
        <v>5.29</v>
      </c>
      <c r="C161">
        <v>10.31</v>
      </c>
      <c r="D161">
        <v>10.66</v>
      </c>
      <c r="E161">
        <v>11.86</v>
      </c>
      <c r="F161">
        <v>15.9</v>
      </c>
      <c r="G161">
        <v>20.39</v>
      </c>
      <c r="H161">
        <v>19.600000000000001</v>
      </c>
      <c r="I161">
        <v>18.78</v>
      </c>
      <c r="J161">
        <v>17.03</v>
      </c>
      <c r="K161">
        <v>15.8</v>
      </c>
      <c r="M161" t="str">
        <f t="shared" si="2"/>
        <v>Book Value Per Share</v>
      </c>
    </row>
    <row r="162" spans="1:13" x14ac:dyDescent="0.15">
      <c r="A162" t="s">
        <v>224</v>
      </c>
      <c r="B162">
        <v>1064</v>
      </c>
      <c r="C162">
        <v>2281</v>
      </c>
      <c r="D162">
        <v>1990</v>
      </c>
      <c r="E162">
        <v>2188</v>
      </c>
      <c r="F162">
        <v>2513</v>
      </c>
      <c r="G162">
        <v>3247</v>
      </c>
      <c r="H162">
        <v>2533</v>
      </c>
      <c r="I162">
        <v>2192</v>
      </c>
      <c r="J162">
        <v>1955</v>
      </c>
      <c r="K162">
        <v>1789</v>
      </c>
      <c r="M162" t="str">
        <f t="shared" si="2"/>
        <v>Tangible Book Value</v>
      </c>
    </row>
    <row r="163" spans="1:13" x14ac:dyDescent="0.15">
      <c r="A163" t="s">
        <v>225</v>
      </c>
      <c r="B163">
        <v>4.5010000000000003</v>
      </c>
      <c r="C163">
        <v>9.4960000000000004</v>
      </c>
      <c r="D163">
        <v>8.5410000000000004</v>
      </c>
      <c r="E163">
        <v>9.7550000000000008</v>
      </c>
      <c r="F163">
        <v>11.42</v>
      </c>
      <c r="G163">
        <v>15.161</v>
      </c>
      <c r="H163">
        <v>13.794</v>
      </c>
      <c r="I163">
        <v>12.775</v>
      </c>
      <c r="J163">
        <v>11.356999999999999</v>
      </c>
      <c r="K163">
        <v>10.364000000000001</v>
      </c>
      <c r="M163" t="str">
        <f t="shared" si="2"/>
        <v>Tangible Book Value per Share</v>
      </c>
    </row>
    <row r="164" spans="1:13" x14ac:dyDescent="0.15">
      <c r="A164" t="s">
        <v>226</v>
      </c>
      <c r="M164" t="str">
        <f t="shared" si="2"/>
        <v>Bank Total Revenue</v>
      </c>
    </row>
  </sheetData>
  <sortState xmlns:xlrd2="http://schemas.microsoft.com/office/spreadsheetml/2017/richdata2" columnSort="1" ref="B1:K166">
    <sortCondition descending="1" ref="B2:K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</vt:i4>
      </vt:variant>
    </vt:vector>
  </HeadingPairs>
  <TitlesOfParts>
    <vt:vector size="22" baseType="lpstr">
      <vt:lpstr>Table of Contents</vt:lpstr>
      <vt:lpstr>Main Page &amp; Assumptions</vt:lpstr>
      <vt:lpstr>Summary</vt:lpstr>
      <vt:lpstr>Pro Forma Financials</vt:lpstr>
      <vt:lpstr>Sources and Uses</vt:lpstr>
      <vt:lpstr>Pro Forma Opening BS</vt:lpstr>
      <vt:lpstr>PPA &amp; Goodwill</vt:lpstr>
      <vt:lpstr>Synergies &amp; Integration</vt:lpstr>
      <vt:lpstr>Transaction &amp; Refinancing Debt</vt:lpstr>
      <vt:lpstr>Pro Forma D&amp;A</vt:lpstr>
      <vt:lpstr>Olin Standalone</vt:lpstr>
      <vt:lpstr>Olin Debt</vt:lpstr>
      <vt:lpstr>Olin Equity Schedule</vt:lpstr>
      <vt:lpstr>Olin D&amp;A</vt:lpstr>
      <vt:lpstr>Huntsman Standalone</vt:lpstr>
      <vt:lpstr>Huntsman Equity Schedule</vt:lpstr>
      <vt:lpstr>Huntsman D&amp;A</vt:lpstr>
      <vt:lpstr>Huntsman Debt</vt:lpstr>
      <vt:lpstr>Olin Raw</vt:lpstr>
      <vt:lpstr>Huntsman Raw</vt:lpstr>
      <vt:lpstr>'Huntsman Raw'!_44701110___AllReports</vt:lpstr>
      <vt:lpstr>'Olin Raw'!OLN___AllReports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Hassan</dc:creator>
  <cp:lastModifiedBy>Evan Hassan</cp:lastModifiedBy>
  <dcterms:created xsi:type="dcterms:W3CDTF">2026-07-24T04:31:05Z</dcterms:created>
  <dcterms:modified xsi:type="dcterms:W3CDTF">2026-08-03T18:42:38Z</dcterms:modified>
</cp:coreProperties>
</file>