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Investment_Banking_Projects/MEGA project/"/>
    </mc:Choice>
  </mc:AlternateContent>
  <xr:revisionPtr revIDLastSave="0" documentId="13_ncr:1_{A8019171-2E49-174F-9305-4A21A45AABD0}" xr6:coauthVersionLast="47" xr6:coauthVersionMax="47" xr10:uidLastSave="{00000000-0000-0000-0000-000000000000}"/>
  <bookViews>
    <workbookView xWindow="0" yWindow="760" windowWidth="30240" windowHeight="18880" activeTab="1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HEET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iterate="1" iterateCount="1000" iterateDelta="9.9999999999999995E-7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2" l="1"/>
  <c r="M22" i="22"/>
  <c r="C102" i="32" l="1"/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E3" i="31" s="1"/>
  <c r="F3" i="31" s="1"/>
  <c r="G3" i="31" s="1"/>
  <c r="H3" i="31" s="1"/>
  <c r="I3" i="31" s="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D43" i="32" s="1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D92" i="32" l="1"/>
  <c r="F62" i="13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D28" i="32"/>
  <c r="D44" i="22"/>
  <c r="D82" i="13"/>
  <c r="D127" i="13"/>
  <c r="D66" i="6"/>
  <c r="D123" i="6"/>
  <c r="C17" i="9" s="1"/>
  <c r="E28" i="32"/>
  <c r="D118" i="13"/>
  <c r="D119" i="6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E43" i="32" s="1"/>
  <c r="F28" i="32"/>
  <c r="D46" i="13"/>
  <c r="D99" i="13"/>
  <c r="D31" i="16" s="1"/>
  <c r="C37" i="16"/>
  <c r="D49" i="13"/>
  <c r="D90" i="13"/>
  <c r="D128" i="13"/>
  <c r="D80" i="6"/>
  <c r="D144" i="6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92" i="32" l="1"/>
  <c r="E70" i="19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F43" i="32" s="1"/>
  <c r="C32" i="16"/>
  <c r="C21" i="25"/>
  <c r="G32" i="13"/>
  <c r="G84" i="13" s="1"/>
  <c r="F44" i="13"/>
  <c r="N83" i="13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95" i="32"/>
  <c r="D46" i="32"/>
  <c r="D1" i="32"/>
  <c r="E38" i="10"/>
  <c r="E37" i="10"/>
  <c r="E11" i="10" s="1"/>
  <c r="F5" i="10"/>
  <c r="D34" i="7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C5" i="20"/>
  <c r="G18" i="2"/>
  <c r="G20" i="2" s="1"/>
  <c r="F92" i="32" l="1"/>
  <c r="E103" i="19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G22" i="15" s="1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F114" i="13" s="1"/>
  <c r="G15" i="13"/>
  <c r="G86" i="13"/>
  <c r="G36" i="13"/>
  <c r="G88" i="13"/>
  <c r="G99" i="13"/>
  <c r="G31" i="16" s="1"/>
  <c r="G37" i="13"/>
  <c r="G127" i="13"/>
  <c r="G118" i="13"/>
  <c r="F4" i="25"/>
  <c r="G4" i="25" s="1"/>
  <c r="G142" i="13"/>
  <c r="E8" i="25"/>
  <c r="G126" i="13"/>
  <c r="G121" i="13"/>
  <c r="G93" i="13"/>
  <c r="G39" i="13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E36" i="9"/>
  <c r="F115" i="6" s="1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G43" i="32" s="1"/>
  <c r="F10" i="6"/>
  <c r="F20" i="6"/>
  <c r="F21" i="6"/>
  <c r="E25" i="15"/>
  <c r="E27" i="15" s="1"/>
  <c r="F11" i="13"/>
  <c r="F16" i="16"/>
  <c r="F21" i="13"/>
  <c r="F20" i="13"/>
  <c r="F10" i="13"/>
  <c r="F8" i="13"/>
  <c r="C63" i="23"/>
  <c r="F24" i="13"/>
  <c r="F18" i="13"/>
  <c r="F117" i="13"/>
  <c r="F9" i="13"/>
  <c r="F56" i="6"/>
  <c r="E13" i="10" s="1"/>
  <c r="E20" i="10" s="1"/>
  <c r="E21" i="1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C25" i="25"/>
  <c r="C26" i="25" s="1"/>
  <c r="C28" i="25" s="1"/>
  <c r="F19" i="13"/>
  <c r="E13" i="15"/>
  <c r="F25" i="13"/>
  <c r="F12" i="13"/>
  <c r="F119" i="13"/>
  <c r="E35" i="10"/>
  <c r="E12" i="10" s="1"/>
  <c r="E34" i="10" s="1"/>
  <c r="F31" i="10"/>
  <c r="F38" i="10"/>
  <c r="G5" i="10"/>
  <c r="F37" i="10"/>
  <c r="F11" i="10" s="1"/>
  <c r="E8" i="15"/>
  <c r="E18" i="15" s="1"/>
  <c r="D12" i="16"/>
  <c r="D34" i="16" s="1"/>
  <c r="D27" i="15"/>
  <c r="D8" i="15"/>
  <c r="D18" i="15" s="1"/>
  <c r="F18" i="24"/>
  <c r="H17" i="21"/>
  <c r="E115" i="6"/>
  <c r="E34" i="7"/>
  <c r="J8" i="21"/>
  <c r="I12" i="21"/>
  <c r="I10" i="21"/>
  <c r="D21" i="16"/>
  <c r="D8" i="9"/>
  <c r="D18" i="9" s="1"/>
  <c r="D27" i="9"/>
  <c r="C40" i="24"/>
  <c r="C39" i="24"/>
  <c r="R10" i="10"/>
  <c r="Q28" i="10"/>
  <c r="R116" i="6"/>
  <c r="E8" i="9"/>
  <c r="E18" i="9" s="1"/>
  <c r="D115" i="32"/>
  <c r="D111" i="32"/>
  <c r="D109" i="32"/>
  <c r="D99" i="32"/>
  <c r="D120" i="32"/>
  <c r="D110" i="32"/>
  <c r="D116" i="32"/>
  <c r="D103" i="32"/>
  <c r="C25" i="24"/>
  <c r="E12" i="15"/>
  <c r="E31" i="15" s="1"/>
  <c r="E35" i="15" s="1"/>
  <c r="D9" i="24"/>
  <c r="E4" i="24"/>
  <c r="D36" i="24"/>
  <c r="D11" i="24"/>
  <c r="D10" i="24"/>
  <c r="D8" i="24"/>
  <c r="D7" i="24"/>
  <c r="C62" i="23"/>
  <c r="C25" i="20" s="1"/>
  <c r="E33" i="19"/>
  <c r="E46" i="32"/>
  <c r="E1" i="32"/>
  <c r="E95" i="32"/>
  <c r="E24" i="25"/>
  <c r="E19" i="32" s="1"/>
  <c r="E21" i="25"/>
  <c r="E22" i="25"/>
  <c r="F38" i="16"/>
  <c r="F37" i="16"/>
  <c r="F11" i="16" s="1"/>
  <c r="G5" i="16"/>
  <c r="G19" i="13" l="1"/>
  <c r="G9" i="13"/>
  <c r="G10" i="13"/>
  <c r="G92" i="32"/>
  <c r="H94" i="13"/>
  <c r="H36" i="13"/>
  <c r="H50" i="13"/>
  <c r="H86" i="13"/>
  <c r="H66" i="13"/>
  <c r="H143" i="13"/>
  <c r="H17" i="13"/>
  <c r="H73" i="13"/>
  <c r="E9" i="9"/>
  <c r="E23" i="9" s="1"/>
  <c r="F19" i="25"/>
  <c r="F22" i="25" s="1"/>
  <c r="H113" i="13"/>
  <c r="F8" i="25"/>
  <c r="H76" i="13"/>
  <c r="H79" i="13"/>
  <c r="H140" i="13"/>
  <c r="H88" i="13"/>
  <c r="H126" i="13"/>
  <c r="I32" i="13"/>
  <c r="I140" i="13" s="1"/>
  <c r="H136" i="13"/>
  <c r="H139" i="13"/>
  <c r="H97" i="13"/>
  <c r="G26" i="16" s="1"/>
  <c r="H71" i="13"/>
  <c r="G19" i="15" s="1"/>
  <c r="H54" i="13"/>
  <c r="H121" i="13"/>
  <c r="H34" i="13"/>
  <c r="H133" i="13"/>
  <c r="G24" i="16" s="1"/>
  <c r="G33" i="16" s="1"/>
  <c r="H132" i="13"/>
  <c r="H124" i="13"/>
  <c r="H100" i="13"/>
  <c r="G29" i="16" s="1"/>
  <c r="H83" i="13"/>
  <c r="H64" i="13"/>
  <c r="H91" i="13"/>
  <c r="H43" i="13"/>
  <c r="H51" i="13"/>
  <c r="H92" i="13"/>
  <c r="H68" i="13"/>
  <c r="H46" i="13"/>
  <c r="H128" i="13"/>
  <c r="H130" i="13"/>
  <c r="H99" i="13"/>
  <c r="H31" i="16" s="1"/>
  <c r="R10" i="16"/>
  <c r="R28" i="16" s="1"/>
  <c r="H38" i="13"/>
  <c r="H82" i="13"/>
  <c r="H138" i="13"/>
  <c r="H98" i="13"/>
  <c r="G27" i="16" s="1"/>
  <c r="H42" i="13"/>
  <c r="H16" i="13"/>
  <c r="H39" i="13"/>
  <c r="H75" i="13"/>
  <c r="G32" i="15" s="1"/>
  <c r="H127" i="13"/>
  <c r="H48" i="13"/>
  <c r="G16" i="16"/>
  <c r="H65" i="13"/>
  <c r="H58" i="13"/>
  <c r="G9" i="16" s="1"/>
  <c r="G23" i="16" s="1"/>
  <c r="H67" i="13"/>
  <c r="H18" i="13" s="1"/>
  <c r="H144" i="13"/>
  <c r="H78" i="13"/>
  <c r="D34" i="23" a="1"/>
  <c r="D34" i="23" s="1"/>
  <c r="F34" i="23" s="1"/>
  <c r="G34" i="23" s="1"/>
  <c r="I34" i="23" s="1"/>
  <c r="D18" i="23" a="1"/>
  <c r="D18" i="23" s="1"/>
  <c r="F18" i="23" s="1"/>
  <c r="G18" i="23" s="1"/>
  <c r="G11" i="13"/>
  <c r="D12" i="23" a="1"/>
  <c r="D12" i="23" s="1"/>
  <c r="F12" i="23" s="1"/>
  <c r="C23" i="20" s="1"/>
  <c r="D16" i="23" a="1"/>
  <c r="D16" i="23" s="1"/>
  <c r="F16" i="23" s="1"/>
  <c r="G16" i="23" s="1"/>
  <c r="H16" i="23" s="1"/>
  <c r="I16" i="23" s="1"/>
  <c r="D13" i="23" a="1"/>
  <c r="D13" i="23" s="1"/>
  <c r="F13" i="23" s="1"/>
  <c r="G13" i="23" s="1"/>
  <c r="F25" i="15"/>
  <c r="F27" i="15" s="1"/>
  <c r="F34" i="7"/>
  <c r="D17" i="23" a="1"/>
  <c r="D17" i="23" s="1"/>
  <c r="F17" i="23" s="1"/>
  <c r="G17" i="23" s="1"/>
  <c r="E71" i="23"/>
  <c r="E25" i="32" s="1"/>
  <c r="D71" i="23"/>
  <c r="D25" i="32" s="1"/>
  <c r="F70" i="19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95" i="13"/>
  <c r="H101" i="13"/>
  <c r="H134" i="13"/>
  <c r="H37" i="13"/>
  <c r="H107" i="13"/>
  <c r="G18" i="16" s="1"/>
  <c r="H16" i="16" s="1"/>
  <c r="H85" i="13"/>
  <c r="H21" i="13" s="1"/>
  <c r="H44" i="13"/>
  <c r="H104" i="13"/>
  <c r="H131" i="13"/>
  <c r="H49" i="13"/>
  <c r="H118" i="13"/>
  <c r="H47" i="13"/>
  <c r="H12" i="13" s="1"/>
  <c r="H123" i="13"/>
  <c r="G13" i="15" s="1"/>
  <c r="H141" i="13" a="1"/>
  <c r="H141" i="13" s="1"/>
  <c r="F33" i="19"/>
  <c r="D19" i="23" s="1" a="1"/>
  <c r="D19" i="23" s="1"/>
  <c r="F19" i="23" s="1"/>
  <c r="G19" i="23" s="1"/>
  <c r="H19" i="23" s="1"/>
  <c r="I19" i="23" s="1"/>
  <c r="H137" i="13"/>
  <c r="H56" i="13"/>
  <c r="H102" i="13"/>
  <c r="H72" i="13"/>
  <c r="G25" i="15" s="1"/>
  <c r="H15" i="13"/>
  <c r="H69" i="13"/>
  <c r="H77" i="13"/>
  <c r="H142" i="13"/>
  <c r="H41" i="13"/>
  <c r="H90" i="13"/>
  <c r="F13" i="15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H6" i="32"/>
  <c r="H43" i="32" s="1"/>
  <c r="G10" i="6"/>
  <c r="G11" i="6"/>
  <c r="G107" i="6"/>
  <c r="G22" i="6"/>
  <c r="G26" i="6"/>
  <c r="G20" i="6"/>
  <c r="F36" i="9"/>
  <c r="G115" i="6" s="1"/>
  <c r="E23" i="25"/>
  <c r="G21" i="6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H20" i="13"/>
  <c r="G12" i="6"/>
  <c r="F71" i="23"/>
  <c r="F25" i="32" s="1"/>
  <c r="I101" i="13"/>
  <c r="I65" i="13"/>
  <c r="I81" i="13"/>
  <c r="I90" i="13"/>
  <c r="I68" i="13"/>
  <c r="I86" i="13"/>
  <c r="I66" i="13"/>
  <c r="I72" i="13"/>
  <c r="I49" i="13"/>
  <c r="I42" i="13"/>
  <c r="I44" i="13"/>
  <c r="F95" i="32"/>
  <c r="F1" i="32"/>
  <c r="F46" i="32"/>
  <c r="G32" i="16"/>
  <c r="H52" i="13"/>
  <c r="E10" i="9"/>
  <c r="G38" i="10"/>
  <c r="H5" i="10"/>
  <c r="G37" i="10"/>
  <c r="G11" i="10" s="1"/>
  <c r="G18" i="24"/>
  <c r="I17" i="21"/>
  <c r="D25" i="25"/>
  <c r="D25" i="24"/>
  <c r="D26" i="24" s="1"/>
  <c r="D30" i="24" s="1"/>
  <c r="R28" i="10"/>
  <c r="S116" i="6"/>
  <c r="K8" i="21"/>
  <c r="J12" i="21"/>
  <c r="J10" i="21"/>
  <c r="F30" i="22"/>
  <c r="G30" i="22" s="1"/>
  <c r="G38" i="16"/>
  <c r="G37" i="16"/>
  <c r="G11" i="16" s="1"/>
  <c r="H5" i="16"/>
  <c r="E109" i="32"/>
  <c r="E99" i="32"/>
  <c r="E120" i="32"/>
  <c r="E110" i="32"/>
  <c r="E116" i="32"/>
  <c r="E103" i="32"/>
  <c r="E111" i="32"/>
  <c r="D40" i="24"/>
  <c r="D39" i="24"/>
  <c r="D38" i="24"/>
  <c r="D20" i="32" s="1"/>
  <c r="F8" i="15"/>
  <c r="F18" i="15" s="1"/>
  <c r="H4" i="25"/>
  <c r="G8" i="25"/>
  <c r="G19" i="25"/>
  <c r="E8" i="24"/>
  <c r="F4" i="24"/>
  <c r="E10" i="24"/>
  <c r="E36" i="24"/>
  <c r="E11" i="24"/>
  <c r="E9" i="24"/>
  <c r="E7" i="24"/>
  <c r="S115" i="13"/>
  <c r="C41" i="24"/>
  <c r="C21" i="32" s="1"/>
  <c r="H24" i="13" l="1"/>
  <c r="J32" i="13"/>
  <c r="I71" i="13"/>
  <c r="I88" i="13"/>
  <c r="I16" i="13"/>
  <c r="I98" i="13"/>
  <c r="H27" i="16" s="1"/>
  <c r="I84" i="13"/>
  <c r="I75" i="13"/>
  <c r="I34" i="13"/>
  <c r="I7" i="13" s="1"/>
  <c r="I57" i="13"/>
  <c r="I99" i="13"/>
  <c r="I82" i="13"/>
  <c r="I104" i="13"/>
  <c r="I77" i="13"/>
  <c r="H11" i="13"/>
  <c r="I47" i="13"/>
  <c r="I128" i="13"/>
  <c r="I107" i="13"/>
  <c r="H18" i="16" s="1"/>
  <c r="I48" i="13"/>
  <c r="I56" i="13"/>
  <c r="I144" i="13"/>
  <c r="I133" i="13"/>
  <c r="H24" i="16" s="1"/>
  <c r="H33" i="16" s="1"/>
  <c r="I85" i="13"/>
  <c r="I142" i="13"/>
  <c r="I43" i="13"/>
  <c r="I132" i="13"/>
  <c r="I94" i="13"/>
  <c r="I95" i="13"/>
  <c r="H19" i="13"/>
  <c r="I50" i="13"/>
  <c r="G35" i="16"/>
  <c r="I54" i="13"/>
  <c r="I124" i="13"/>
  <c r="I121" i="13"/>
  <c r="I78" i="13"/>
  <c r="C73" i="32"/>
  <c r="I92" i="13"/>
  <c r="I69" i="13"/>
  <c r="I73" i="13"/>
  <c r="I37" i="13"/>
  <c r="I93" i="13"/>
  <c r="I41" i="13"/>
  <c r="I83" i="13"/>
  <c r="I74" i="13"/>
  <c r="I136" i="13"/>
  <c r="I91" i="13"/>
  <c r="H30" i="15"/>
  <c r="I36" i="13"/>
  <c r="I126" i="13"/>
  <c r="I15" i="13"/>
  <c r="I138" i="13"/>
  <c r="I64" i="13"/>
  <c r="I143" i="13"/>
  <c r="I58" i="13"/>
  <c r="H9" i="16" s="1"/>
  <c r="H23" i="16" s="1"/>
  <c r="I79" i="13"/>
  <c r="I123" i="13"/>
  <c r="I46" i="13"/>
  <c r="I51" i="13"/>
  <c r="I113" i="13"/>
  <c r="I127" i="13"/>
  <c r="I139" i="13"/>
  <c r="H16" i="15"/>
  <c r="F24" i="25"/>
  <c r="F19" i="32" s="1"/>
  <c r="F21" i="25"/>
  <c r="H106" i="13"/>
  <c r="H92" i="32"/>
  <c r="H10" i="13"/>
  <c r="I141" i="13" a="1"/>
  <c r="I141" i="13" s="1"/>
  <c r="I67" i="13"/>
  <c r="I97" i="13"/>
  <c r="H26" i="16" s="1"/>
  <c r="I130" i="13"/>
  <c r="I137" i="13"/>
  <c r="I76" i="13"/>
  <c r="H8" i="13"/>
  <c r="H9" i="13"/>
  <c r="I125" i="13"/>
  <c r="I102" i="13"/>
  <c r="I17" i="13"/>
  <c r="I38" i="13"/>
  <c r="I118" i="13"/>
  <c r="I39" i="13"/>
  <c r="I100" i="13"/>
  <c r="H29" i="16" s="1"/>
  <c r="I131" i="13"/>
  <c r="I134" i="13"/>
  <c r="H55" i="13"/>
  <c r="G13" i="16" s="1"/>
  <c r="H25" i="13"/>
  <c r="H7" i="13"/>
  <c r="G34" i="7"/>
  <c r="H34" i="7" s="1"/>
  <c r="I34" i="7" s="1"/>
  <c r="D32" i="23" a="1"/>
  <c r="D32" i="23" s="1"/>
  <c r="F32" i="23" s="1"/>
  <c r="G32" i="23" s="1"/>
  <c r="I32" i="23" s="1"/>
  <c r="D30" i="23" a="1"/>
  <c r="D30" i="23" s="1"/>
  <c r="D31" i="23" a="1"/>
  <c r="D31" i="23" s="1"/>
  <c r="F31" i="23" s="1"/>
  <c r="G31" i="23" s="1"/>
  <c r="I31" i="23" s="1"/>
  <c r="D26" i="23" a="1"/>
  <c r="D26" i="23" s="1"/>
  <c r="F26" i="23" s="1"/>
  <c r="C13" i="20" s="1"/>
  <c r="D33" i="23" a="1"/>
  <c r="D33" i="23" s="1"/>
  <c r="D35" i="23" a="1"/>
  <c r="D35" i="23" s="1"/>
  <c r="F35" i="23" s="1"/>
  <c r="G35" i="23" s="1"/>
  <c r="I35" i="23" s="1"/>
  <c r="D27" i="23" a="1"/>
  <c r="D27" i="23" s="1"/>
  <c r="F27" i="23" s="1"/>
  <c r="C14" i="20" s="1"/>
  <c r="D24" i="23" a="1"/>
  <c r="D24" i="23" s="1"/>
  <c r="F24" i="23" s="1"/>
  <c r="C11" i="20" s="1"/>
  <c r="D28" i="23" a="1"/>
  <c r="D28" i="23" s="1"/>
  <c r="D29" i="23" a="1"/>
  <c r="D29" i="23" s="1"/>
  <c r="F29" i="23" s="1"/>
  <c r="G29" i="23" s="1"/>
  <c r="I29" i="23" s="1"/>
  <c r="G33" i="19"/>
  <c r="H33" i="19" s="1"/>
  <c r="I33" i="19" s="1"/>
  <c r="D11" i="23" a="1"/>
  <c r="D11" i="23" s="1"/>
  <c r="F11" i="23" s="1"/>
  <c r="C22" i="20" s="1"/>
  <c r="D14" i="23" a="1"/>
  <c r="D14" i="23" s="1"/>
  <c r="F14" i="23" s="1"/>
  <c r="G14" i="23" s="1"/>
  <c r="H14" i="23" s="1"/>
  <c r="I14" i="23" s="1"/>
  <c r="D8" i="23" a="1"/>
  <c r="D8" i="23" s="1"/>
  <c r="F8" i="23" s="1"/>
  <c r="C19" i="20" s="1"/>
  <c r="D20" i="23" a="1"/>
  <c r="D20" i="23" s="1"/>
  <c r="D15" i="23" a="1"/>
  <c r="D15" i="23" s="1"/>
  <c r="F15" i="23" s="1"/>
  <c r="G15" i="23" s="1"/>
  <c r="H15" i="23" s="1"/>
  <c r="I15" i="23" s="1"/>
  <c r="D10" i="23" a="1"/>
  <c r="D10" i="23" s="1"/>
  <c r="F10" i="23" s="1"/>
  <c r="C21" i="20" s="1"/>
  <c r="D21" i="23" a="1"/>
  <c r="D21" i="23" s="1"/>
  <c r="G12" i="23"/>
  <c r="H12" i="23" s="1"/>
  <c r="I12" i="23" s="1"/>
  <c r="F71" i="19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D23" i="23" s="1" a="1"/>
  <c r="D23" i="23" s="1"/>
  <c r="F23" i="23" s="1"/>
  <c r="C10" i="20" s="1"/>
  <c r="F76" i="7"/>
  <c r="F77" i="7" s="1"/>
  <c r="F78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D23" i="15"/>
  <c r="D34" i="15" s="1"/>
  <c r="G12" i="15"/>
  <c r="G31" i="15" s="1"/>
  <c r="G35" i="15" s="1"/>
  <c r="D10" i="9"/>
  <c r="I19" i="13"/>
  <c r="I6" i="32"/>
  <c r="I43" i="32" s="1"/>
  <c r="E25" i="25"/>
  <c r="E26" i="25" s="1"/>
  <c r="E28" i="25" s="1"/>
  <c r="H12" i="6"/>
  <c r="H19" i="6"/>
  <c r="H25" i="6"/>
  <c r="I11" i="13"/>
  <c r="H107" i="6"/>
  <c r="D41" i="24"/>
  <c r="D21" i="32" s="1"/>
  <c r="I106" i="13"/>
  <c r="I8" i="13"/>
  <c r="H11" i="6"/>
  <c r="F12" i="10"/>
  <c r="F34" i="10" s="1"/>
  <c r="F23" i="25"/>
  <c r="I24" i="13"/>
  <c r="H26" i="6"/>
  <c r="H9" i="6"/>
  <c r="G32" i="10"/>
  <c r="H53" i="6"/>
  <c r="G36" i="9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03" i="32"/>
  <c r="I9" i="13"/>
  <c r="I10" i="13"/>
  <c r="E23" i="15"/>
  <c r="E10" i="15"/>
  <c r="G22" i="25"/>
  <c r="G24" i="25"/>
  <c r="G19" i="32" s="1"/>
  <c r="G21" i="25"/>
  <c r="G27" i="15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G1" i="32"/>
  <c r="G46" i="32"/>
  <c r="G95" i="32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7" i="23"/>
  <c r="I17" i="23" s="1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I92" i="32" l="1"/>
  <c r="G24" i="23"/>
  <c r="I24" i="23" s="1"/>
  <c r="G27" i="23"/>
  <c r="I27" i="23" s="1"/>
  <c r="G26" i="23"/>
  <c r="I26" i="23" s="1"/>
  <c r="G74" i="7"/>
  <c r="G76" i="7" s="1"/>
  <c r="G77" i="7" s="1"/>
  <c r="G78" i="7" s="1"/>
  <c r="D25" i="23" a="1"/>
  <c r="D25" i="23" s="1"/>
  <c r="F28" i="23"/>
  <c r="C15" i="20" s="1"/>
  <c r="F33" i="23"/>
  <c r="G33" i="23" s="1"/>
  <c r="I33" i="23" s="1"/>
  <c r="G10" i="23"/>
  <c r="H10" i="23" s="1"/>
  <c r="I10" i="23" s="1"/>
  <c r="G11" i="23"/>
  <c r="H11" i="23" s="1"/>
  <c r="I11" i="23" s="1"/>
  <c r="G23" i="23"/>
  <c r="I23" i="23" s="1"/>
  <c r="G8" i="23"/>
  <c r="H8" i="23" s="1"/>
  <c r="I8" i="23" s="1"/>
  <c r="F30" i="23"/>
  <c r="G30" i="23" s="1"/>
  <c r="I30" i="23" s="1"/>
  <c r="F61" i="19"/>
  <c r="F62" i="19" s="1"/>
  <c r="D7" i="23" s="1" a="1"/>
  <c r="D7" i="23" s="1"/>
  <c r="F78" i="19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D11" i="15"/>
  <c r="D24" i="15" s="1"/>
  <c r="F10" i="15"/>
  <c r="D42" i="24"/>
  <c r="F25" i="25"/>
  <c r="F26" i="25" s="1"/>
  <c r="F28" i="25" s="1"/>
  <c r="J18" i="13"/>
  <c r="I22" i="6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D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I25" i="15"/>
  <c r="J22" i="15"/>
  <c r="J16" i="15"/>
  <c r="I19" i="15"/>
  <c r="F40" i="24"/>
  <c r="F39" i="24"/>
  <c r="F38" i="24"/>
  <c r="F20" i="32" s="1"/>
  <c r="H12" i="16"/>
  <c r="H34" i="16" s="1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G10" i="24"/>
  <c r="H4" i="24"/>
  <c r="G9" i="24"/>
  <c r="G8" i="24"/>
  <c r="G7" i="24"/>
  <c r="G36" i="24"/>
  <c r="G11" i="24"/>
  <c r="G28" i="23" l="1"/>
  <c r="I28" i="23" s="1"/>
  <c r="G74" i="19"/>
  <c r="G76" i="19" s="1"/>
  <c r="D9" i="23" a="1"/>
  <c r="D9" i="23" s="1"/>
  <c r="F7" i="23"/>
  <c r="C18" i="20" s="1"/>
  <c r="F25" i="23"/>
  <c r="C12" i="20" s="1"/>
  <c r="F79" i="19"/>
  <c r="F43" i="19"/>
  <c r="P131" i="13" s="1"/>
  <c r="G58" i="19"/>
  <c r="F63" i="19"/>
  <c r="G102" i="19"/>
  <c r="H98" i="19" s="1"/>
  <c r="H100" i="19" s="1"/>
  <c r="G86" i="19"/>
  <c r="H82" i="19" s="1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I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I67" i="32" l="1"/>
  <c r="E12" i="31"/>
  <c r="G25" i="23"/>
  <c r="I25" i="23" s="1"/>
  <c r="G7" i="23"/>
  <c r="H7" i="23" s="1"/>
  <c r="I7" i="23" s="1"/>
  <c r="F9" i="23"/>
  <c r="C20" i="20" s="1"/>
  <c r="G103" i="19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H18" i="32"/>
  <c r="K10" i="6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G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C31" i="22" s="1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C25" i="22" s="1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F12" i="31" l="1"/>
  <c r="H12" i="31"/>
  <c r="G9" i="23"/>
  <c r="H9" i="23" s="1"/>
  <c r="I9" i="23" s="1"/>
  <c r="C36" i="19"/>
  <c r="C37" i="19" s="1"/>
  <c r="C39" i="19" s="1"/>
  <c r="C47" i="19" s="1"/>
  <c r="G62" i="19"/>
  <c r="G43" i="19"/>
  <c r="I66" i="19"/>
  <c r="H71" i="19"/>
  <c r="I98" i="19"/>
  <c r="H103" i="19"/>
  <c r="H85" i="19"/>
  <c r="H86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C24" i="22" s="1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M75" i="6"/>
  <c r="M16" i="6"/>
  <c r="M58" i="6"/>
  <c r="M47" i="6"/>
  <c r="C47" i="7" s="1"/>
  <c r="M49" i="6"/>
  <c r="M140" i="6"/>
  <c r="M83" i="6"/>
  <c r="M131" i="6"/>
  <c r="C44" i="7" s="1"/>
  <c r="M65" i="6"/>
  <c r="M87" i="6"/>
  <c r="M136" i="6"/>
  <c r="C120" i="32" s="1"/>
  <c r="M45" i="6"/>
  <c r="M43" i="6"/>
  <c r="M123" i="6"/>
  <c r="C107" i="32" s="1"/>
  <c r="M77" i="6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M124" i="6"/>
  <c r="M119" i="6"/>
  <c r="N33" i="6"/>
  <c r="M38" i="6"/>
  <c r="M138" i="6"/>
  <c r="C122" i="32" s="1"/>
  <c r="M66" i="6"/>
  <c r="M103" i="6"/>
  <c r="M82" i="6"/>
  <c r="M95" i="6"/>
  <c r="M73" i="6"/>
  <c r="L25" i="9" s="1"/>
  <c r="M22" i="9" s="1"/>
  <c r="M80" i="6"/>
  <c r="M48" i="6"/>
  <c r="M13" i="6" s="1"/>
  <c r="M142" i="6"/>
  <c r="M128" i="6"/>
  <c r="M98" i="6"/>
  <c r="M67" i="6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M79" i="6"/>
  <c r="P79" i="6" s="1"/>
  <c r="M55" i="6"/>
  <c r="M68" i="6"/>
  <c r="M132" i="6"/>
  <c r="C116" i="32" s="1"/>
  <c r="M143" i="6"/>
  <c r="M137" i="6"/>
  <c r="M50" i="6"/>
  <c r="M91" i="6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D24" i="22" s="1"/>
  <c r="M52" i="6"/>
  <c r="M42" i="6"/>
  <c r="M127" i="6"/>
  <c r="C111" i="32" s="1"/>
  <c r="M134" i="6"/>
  <c r="L24" i="10" s="1"/>
  <c r="L33" i="10" s="1"/>
  <c r="M102" i="6"/>
  <c r="M100" i="6"/>
  <c r="L35" i="10" s="1"/>
  <c r="M31" i="10" s="1"/>
  <c r="M78" i="6"/>
  <c r="M37" i="6"/>
  <c r="M74" i="6"/>
  <c r="M51" i="6"/>
  <c r="M40" i="6"/>
  <c r="M85" i="6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17" i="22" l="1"/>
  <c r="C19" i="22"/>
  <c r="C15" i="22"/>
  <c r="C33" i="22"/>
  <c r="D25" i="22"/>
  <c r="G25" i="22" s="1"/>
  <c r="D31" i="22"/>
  <c r="G31" i="22" s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1" i="7"/>
  <c r="C43" i="7"/>
  <c r="L26" i="10"/>
  <c r="M26" i="10" s="1"/>
  <c r="N26" i="10" s="1"/>
  <c r="L36" i="9"/>
  <c r="M115" i="6" s="1"/>
  <c r="C91" i="32"/>
  <c r="M11" i="6"/>
  <c r="C29" i="32"/>
  <c r="C115" i="32"/>
  <c r="C118" i="32" s="1"/>
  <c r="C28" i="32"/>
  <c r="C33" i="32"/>
  <c r="C23" i="32"/>
  <c r="C27" i="32" s="1"/>
  <c r="O79" i="6"/>
  <c r="Q79" i="6"/>
  <c r="G62" i="32" s="1"/>
  <c r="R79" i="6"/>
  <c r="H62" i="32" s="1"/>
  <c r="M20" i="6"/>
  <c r="L12" i="9"/>
  <c r="L31" i="9" s="1"/>
  <c r="L35" i="9" s="1"/>
  <c r="C24" i="24" s="1"/>
  <c r="C38" i="24" s="1"/>
  <c r="C20" i="32" s="1"/>
  <c r="M9" i="6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O77" i="6"/>
  <c r="R77" i="6"/>
  <c r="H60" i="32" s="1"/>
  <c r="N77" i="6"/>
  <c r="S77" i="6"/>
  <c r="I60" i="32" s="1"/>
  <c r="R49" i="6"/>
  <c r="Q49" i="6"/>
  <c r="O49" i="6"/>
  <c r="N49" i="6"/>
  <c r="S49" i="6"/>
  <c r="P49" i="6"/>
  <c r="N79" i="6"/>
  <c r="D19" i="2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D38" i="32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N36" i="13"/>
  <c r="N37" i="13" s="1"/>
  <c r="N85" i="13"/>
  <c r="N82" i="13"/>
  <c r="N65" i="13"/>
  <c r="N93" i="13"/>
  <c r="N38" i="13"/>
  <c r="N67" i="13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N30" i="15"/>
  <c r="N32" i="15" s="1"/>
  <c r="N75" i="13"/>
  <c r="M37" i="10"/>
  <c r="L11" i="10"/>
  <c r="I41" i="24"/>
  <c r="I21" i="32" s="1"/>
  <c r="G19" i="22" l="1"/>
  <c r="D62" i="32" s="1"/>
  <c r="N37" i="10"/>
  <c r="O102" i="6" s="1"/>
  <c r="N102" i="6"/>
  <c r="D17" i="22"/>
  <c r="G17" i="22" s="1"/>
  <c r="D60" i="32" s="1"/>
  <c r="F62" i="32"/>
  <c r="E74" i="32"/>
  <c r="F74" i="32"/>
  <c r="E68" i="32"/>
  <c r="F68" i="32"/>
  <c r="E60" i="32"/>
  <c r="D33" i="22"/>
  <c r="G33" i="22" s="1"/>
  <c r="C76" i="32" s="1"/>
  <c r="E62" i="32"/>
  <c r="C74" i="32"/>
  <c r="D74" i="32"/>
  <c r="C68" i="32"/>
  <c r="D68" i="32"/>
  <c r="C60" i="32"/>
  <c r="C62" i="32"/>
  <c r="H60" i="19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N98" i="6"/>
  <c r="D29" i="32"/>
  <c r="H29" i="32"/>
  <c r="C26" i="24"/>
  <c r="C30" i="24" s="1"/>
  <c r="G29" i="32"/>
  <c r="E29" i="32"/>
  <c r="L9" i="9"/>
  <c r="L23" i="9" s="1"/>
  <c r="C16" i="24" s="1"/>
  <c r="F29" i="32"/>
  <c r="I29" i="32"/>
  <c r="C42" i="24"/>
  <c r="N13" i="10"/>
  <c r="N20" i="10" s="1"/>
  <c r="O56" i="6" s="1"/>
  <c r="N78" i="6"/>
  <c r="N83" i="6"/>
  <c r="N40" i="6"/>
  <c r="M17" i="9"/>
  <c r="N43" i="6"/>
  <c r="N94" i="6"/>
  <c r="N39" i="6"/>
  <c r="N86" i="6"/>
  <c r="O35" i="6"/>
  <c r="N37" i="6"/>
  <c r="N38" i="6" s="1"/>
  <c r="N68" i="6"/>
  <c r="N69" i="6"/>
  <c r="N66" i="6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I42" i="24"/>
  <c r="M19" i="15"/>
  <c r="N27" i="16"/>
  <c r="N34" i="16"/>
  <c r="N98" i="13"/>
  <c r="Q32" i="13"/>
  <c r="K34" i="15"/>
  <c r="K11" i="15"/>
  <c r="K24" i="15" s="1"/>
  <c r="N66" i="13"/>
  <c r="N81" i="13"/>
  <c r="N43" i="13"/>
  <c r="N44" i="13" s="1"/>
  <c r="O26" i="16"/>
  <c r="O97" i="13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S58" i="13"/>
  <c r="E76" i="32" l="1"/>
  <c r="D76" i="32"/>
  <c r="I76" i="32"/>
  <c r="O37" i="10"/>
  <c r="P102" i="6" s="1"/>
  <c r="F60" i="32"/>
  <c r="H76" i="32"/>
  <c r="G76" i="32"/>
  <c r="F76" i="32"/>
  <c r="H62" i="19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L23" i="15"/>
  <c r="L34" i="15" s="1"/>
  <c r="C15" i="24" s="1"/>
  <c r="L11" i="9"/>
  <c r="L24" i="9" s="1"/>
  <c r="C17" i="24"/>
  <c r="L34" i="9"/>
  <c r="L10" i="9"/>
  <c r="M10" i="9" s="1"/>
  <c r="N123" i="6"/>
  <c r="M19" i="9"/>
  <c r="K34" i="9"/>
  <c r="K11" i="9"/>
  <c r="K24" i="9" s="1"/>
  <c r="N120" i="6"/>
  <c r="N67" i="6"/>
  <c r="N82" i="6"/>
  <c r="N117" i="13"/>
  <c r="N118" i="13" s="1"/>
  <c r="P35" i="6"/>
  <c r="O40" i="6"/>
  <c r="O68" i="6"/>
  <c r="O83" i="6"/>
  <c r="O43" i="6"/>
  <c r="N17" i="9"/>
  <c r="O123" i="6" s="1"/>
  <c r="O128" i="6" s="1"/>
  <c r="O39" i="6"/>
  <c r="O94" i="6"/>
  <c r="O78" i="6"/>
  <c r="O69" i="6"/>
  <c r="O37" i="6"/>
  <c r="O86" i="6"/>
  <c r="O66" i="6"/>
  <c r="P26" i="10"/>
  <c r="P98" i="6"/>
  <c r="D38" i="22" s="1"/>
  <c r="E38" i="22" s="1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C23" i="22" s="1"/>
  <c r="P93" i="13"/>
  <c r="C34" i="22" s="1"/>
  <c r="P67" i="13"/>
  <c r="C8" i="22" s="1"/>
  <c r="P38" i="13"/>
  <c r="P85" i="13"/>
  <c r="C26" i="22" s="1"/>
  <c r="P42" i="13"/>
  <c r="P65" i="13"/>
  <c r="C6" i="22" s="1"/>
  <c r="P39" i="13"/>
  <c r="Q34" i="13"/>
  <c r="P77" i="13"/>
  <c r="C18" i="22" s="1"/>
  <c r="P68" i="13"/>
  <c r="C9" i="22" s="1"/>
  <c r="P36" i="13"/>
  <c r="N16" i="16"/>
  <c r="N107" i="13"/>
  <c r="P26" i="16"/>
  <c r="P97" i="13"/>
  <c r="C38" i="22" s="1"/>
  <c r="N16" i="15"/>
  <c r="N19" i="15" s="1"/>
  <c r="N71" i="13"/>
  <c r="M21" i="16"/>
  <c r="N56" i="13" s="1"/>
  <c r="N54" i="13"/>
  <c r="D37" i="32" s="1"/>
  <c r="D39" i="32" s="1"/>
  <c r="M24" i="16"/>
  <c r="M33" i="16" s="1"/>
  <c r="N133" i="13" s="1"/>
  <c r="P29" i="16"/>
  <c r="P100" i="13"/>
  <c r="C41" i="22" s="1"/>
  <c r="O120" i="13"/>
  <c r="R32" i="13"/>
  <c r="O81" i="13"/>
  <c r="O66" i="13"/>
  <c r="O43" i="13"/>
  <c r="O44" i="13" s="1"/>
  <c r="N141" i="13"/>
  <c r="P30" i="15"/>
  <c r="P32" i="15" s="1"/>
  <c r="P75" i="13"/>
  <c r="N86" i="13"/>
  <c r="O27" i="16"/>
  <c r="O98" i="13"/>
  <c r="O34" i="16"/>
  <c r="O37" i="16"/>
  <c r="O101" i="13"/>
  <c r="P37" i="10" l="1"/>
  <c r="Q102" i="6" s="1"/>
  <c r="D42" i="22"/>
  <c r="E42" i="22" s="1"/>
  <c r="C16" i="22"/>
  <c r="D16" i="22"/>
  <c r="E16" i="22" s="1"/>
  <c r="C16" i="21"/>
  <c r="G38" i="22"/>
  <c r="E81" i="32" s="1"/>
  <c r="C81" i="32"/>
  <c r="I93" i="19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E107" i="32"/>
  <c r="E112" i="32" s="1"/>
  <c r="M29" i="10"/>
  <c r="O67" i="6"/>
  <c r="O82" i="6"/>
  <c r="O87" i="6" s="1"/>
  <c r="O38" i="6"/>
  <c r="P40" i="6"/>
  <c r="P68" i="6"/>
  <c r="D8" i="22" s="1"/>
  <c r="G8" i="22" s="1"/>
  <c r="E51" i="32" s="1"/>
  <c r="P43" i="6"/>
  <c r="P83" i="6"/>
  <c r="D23" i="22" s="1"/>
  <c r="G23" i="22" s="1"/>
  <c r="C66" i="32" s="1"/>
  <c r="P66" i="6"/>
  <c r="D6" i="22" s="1"/>
  <c r="G6" i="22" s="1"/>
  <c r="E49" i="32" s="1"/>
  <c r="P39" i="6"/>
  <c r="O17" i="9"/>
  <c r="P123" i="6" s="1"/>
  <c r="P128" i="6" s="1"/>
  <c r="P86" i="6"/>
  <c r="P94" i="6"/>
  <c r="P78" i="6"/>
  <c r="Q35" i="6"/>
  <c r="P69" i="6"/>
  <c r="D9" i="22" s="1"/>
  <c r="G9" i="2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N55" i="6"/>
  <c r="M21" i="10"/>
  <c r="N57" i="6" s="1"/>
  <c r="N108" i="6"/>
  <c r="D91" i="32" s="1"/>
  <c r="D117" i="32" s="1"/>
  <c r="N87" i="6"/>
  <c r="N128" i="6"/>
  <c r="D107" i="32"/>
  <c r="D112" i="32" s="1"/>
  <c r="Q76" i="6"/>
  <c r="Q30" i="9"/>
  <c r="Q32" i="9" s="1"/>
  <c r="Q26" i="10"/>
  <c r="Q98" i="6"/>
  <c r="N118" i="6"/>
  <c r="N119" i="6" s="1"/>
  <c r="O117" i="13"/>
  <c r="Q29" i="16"/>
  <c r="Q100" i="13"/>
  <c r="P128" i="13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C22" i="22" s="1"/>
  <c r="P66" i="13"/>
  <c r="C7" i="22" s="1"/>
  <c r="P43" i="13"/>
  <c r="P44" i="13" s="1"/>
  <c r="P37" i="13"/>
  <c r="O86" i="13"/>
  <c r="Q26" i="16"/>
  <c r="Q97" i="13"/>
  <c r="G81" i="32" s="1"/>
  <c r="P120" i="13"/>
  <c r="P27" i="16"/>
  <c r="P98" i="13"/>
  <c r="C39" i="22" s="1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C52" i="32" l="1"/>
  <c r="D51" i="32"/>
  <c r="C51" i="32"/>
  <c r="C49" i="32"/>
  <c r="D49" i="32"/>
  <c r="Q37" i="10"/>
  <c r="R102" i="6" s="1"/>
  <c r="D18" i="22"/>
  <c r="G18" i="22" s="1"/>
  <c r="F81" i="32"/>
  <c r="D34" i="22"/>
  <c r="G34" i="22" s="1"/>
  <c r="D26" i="22"/>
  <c r="G26" i="22" s="1"/>
  <c r="E69" i="32" s="1"/>
  <c r="G16" i="22"/>
  <c r="F66" i="32"/>
  <c r="F52" i="32"/>
  <c r="F51" i="32"/>
  <c r="C42" i="22"/>
  <c r="G42" i="22" s="1"/>
  <c r="C85" i="32" s="1"/>
  <c r="D81" i="32"/>
  <c r="E52" i="32"/>
  <c r="D52" i="32"/>
  <c r="E66" i="32"/>
  <c r="D66" i="32"/>
  <c r="I60" i="19"/>
  <c r="I61" i="19" s="1"/>
  <c r="I78" i="19"/>
  <c r="I79" i="19" s="1"/>
  <c r="R131" i="13"/>
  <c r="H115" i="32" s="1"/>
  <c r="G67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E13" i="32"/>
  <c r="E12" i="32"/>
  <c r="E16" i="32"/>
  <c r="E17" i="32"/>
  <c r="E15" i="32"/>
  <c r="E10" i="32"/>
  <c r="D15" i="32"/>
  <c r="E11" i="32"/>
  <c r="D14" i="32"/>
  <c r="F12" i="32"/>
  <c r="F16" i="32"/>
  <c r="F8" i="32"/>
  <c r="F10" i="32"/>
  <c r="F13" i="32"/>
  <c r="G15" i="32"/>
  <c r="F15" i="32"/>
  <c r="G8" i="32"/>
  <c r="G14" i="32"/>
  <c r="F11" i="32"/>
  <c r="F14" i="32"/>
  <c r="H15" i="32"/>
  <c r="H14" i="32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F107" i="32"/>
  <c r="F112" i="32" s="1"/>
  <c r="Q108" i="6"/>
  <c r="Q55" i="6"/>
  <c r="O118" i="6"/>
  <c r="O119" i="6" s="1"/>
  <c r="P120" i="6"/>
  <c r="N29" i="10"/>
  <c r="N101" i="6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D7" i="22" s="1"/>
  <c r="G7" i="22" s="1"/>
  <c r="D50" i="32" s="1"/>
  <c r="P82" i="6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N23" i="9"/>
  <c r="O16" i="9"/>
  <c r="O19" i="9" s="1"/>
  <c r="F49" i="32"/>
  <c r="Q27" i="16"/>
  <c r="Q98" i="13"/>
  <c r="Q34" i="16"/>
  <c r="N22" i="15"/>
  <c r="N25" i="15" s="1"/>
  <c r="M27" i="15"/>
  <c r="N73" i="13" s="1"/>
  <c r="N72" i="13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R10" i="9"/>
  <c r="P86" i="13"/>
  <c r="C27" i="22" s="1"/>
  <c r="P16" i="15"/>
  <c r="P19" i="15" s="1"/>
  <c r="P71" i="13"/>
  <c r="C12" i="22" s="1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E50" i="32" l="1"/>
  <c r="C77" i="32"/>
  <c r="E77" i="32"/>
  <c r="C61" i="32"/>
  <c r="E61" i="32"/>
  <c r="F69" i="32"/>
  <c r="C69" i="32"/>
  <c r="C50" i="32"/>
  <c r="D59" i="32"/>
  <c r="C59" i="32"/>
  <c r="D69" i="32"/>
  <c r="D4" i="31"/>
  <c r="F77" i="32"/>
  <c r="D77" i="32"/>
  <c r="F61" i="32"/>
  <c r="D61" i="32"/>
  <c r="F85" i="32"/>
  <c r="E85" i="32"/>
  <c r="R37" i="10"/>
  <c r="S102" i="6" s="1"/>
  <c r="G85" i="32"/>
  <c r="E91" i="32"/>
  <c r="E117" i="32" s="1"/>
  <c r="E59" i="32"/>
  <c r="F59" i="32"/>
  <c r="P87" i="6"/>
  <c r="D27" i="22" s="1"/>
  <c r="D22" i="22"/>
  <c r="G22" i="22" s="1"/>
  <c r="F50" i="32"/>
  <c r="I62" i="19"/>
  <c r="I63" i="19" s="1"/>
  <c r="I43" i="19"/>
  <c r="I15" i="32"/>
  <c r="I34" i="32"/>
  <c r="I53" i="7"/>
  <c r="I43" i="7" s="1"/>
  <c r="F17" i="32"/>
  <c r="F22" i="32" s="1"/>
  <c r="M27" i="9"/>
  <c r="N74" i="6" s="1"/>
  <c r="N73" i="6"/>
  <c r="D22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G61" i="32"/>
  <c r="Q117" i="13"/>
  <c r="Q118" i="13" s="1"/>
  <c r="P118" i="6"/>
  <c r="P119" i="6" s="1"/>
  <c r="Q44" i="6"/>
  <c r="G17" i="32" s="1"/>
  <c r="N27" i="10"/>
  <c r="N99" i="6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I4" i="31" s="1"/>
  <c r="R68" i="6"/>
  <c r="R83" i="6"/>
  <c r="H66" i="32" s="1"/>
  <c r="O29" i="10"/>
  <c r="O101" i="6"/>
  <c r="P16" i="9"/>
  <c r="P19" i="9" s="1"/>
  <c r="P72" i="6"/>
  <c r="D12" i="22" s="1"/>
  <c r="G12" i="22" s="1"/>
  <c r="C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I85" i="32" s="1"/>
  <c r="R101" i="13"/>
  <c r="H85" i="32" s="1"/>
  <c r="R27" i="16"/>
  <c r="S98" i="13" s="1"/>
  <c r="R98" i="13"/>
  <c r="R34" i="16"/>
  <c r="C65" i="32" l="1"/>
  <c r="C101" i="32" s="1"/>
  <c r="E65" i="32"/>
  <c r="E101" i="32" s="1"/>
  <c r="G4" i="31"/>
  <c r="D104" i="32"/>
  <c r="F104" i="32"/>
  <c r="G104" i="32"/>
  <c r="F65" i="32"/>
  <c r="F101" i="32" s="1"/>
  <c r="D65" i="32"/>
  <c r="D101" i="32" s="1"/>
  <c r="E102" i="32" s="1"/>
  <c r="E104" i="32"/>
  <c r="F4" i="31"/>
  <c r="H4" i="31"/>
  <c r="F55" i="32"/>
  <c r="E55" i="32"/>
  <c r="D55" i="32"/>
  <c r="I54" i="7"/>
  <c r="H51" i="32"/>
  <c r="Q45" i="6"/>
  <c r="Q141" i="6" s="1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H107" i="32"/>
  <c r="H112" i="32" s="1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S66" i="13"/>
  <c r="S81" i="13"/>
  <c r="S43" i="13"/>
  <c r="R117" i="13"/>
  <c r="S120" i="13"/>
  <c r="E125" i="32"/>
  <c r="E126" i="32" s="1"/>
  <c r="D125" i="32"/>
  <c r="D126" i="32" s="1"/>
  <c r="O27" i="15"/>
  <c r="P73" i="13" s="1"/>
  <c r="C14" i="22" s="1"/>
  <c r="P22" i="15"/>
  <c r="P25" i="15" s="1"/>
  <c r="P72" i="13"/>
  <c r="C13" i="22" s="1"/>
  <c r="R16" i="15"/>
  <c r="R19" i="15" s="1"/>
  <c r="R71" i="13"/>
  <c r="Q23" i="15"/>
  <c r="R44" i="13"/>
  <c r="D102" i="32" l="1"/>
  <c r="F102" i="32"/>
  <c r="F117" i="32"/>
  <c r="D41" i="22"/>
  <c r="E41" i="22" s="1"/>
  <c r="G41" i="22" s="1"/>
  <c r="I38" i="7"/>
  <c r="I40" i="7" s="1"/>
  <c r="I55" i="7"/>
  <c r="I45" i="7" s="1"/>
  <c r="S131" i="13"/>
  <c r="S131" i="6"/>
  <c r="I51" i="32"/>
  <c r="R45" i="6"/>
  <c r="R141" i="6" s="1"/>
  <c r="P22" i="9"/>
  <c r="P25" i="9" s="1"/>
  <c r="Q22" i="9" s="1"/>
  <c r="O27" i="9"/>
  <c r="P74" i="6" s="1"/>
  <c r="P73" i="6"/>
  <c r="D13" i="22" s="1"/>
  <c r="G13" i="22" s="1"/>
  <c r="G14" i="22" s="1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D39" i="22" s="1"/>
  <c r="E39" i="22" s="1"/>
  <c r="G39" i="22" s="1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D57" i="32" l="1"/>
  <c r="D56" i="32" s="1"/>
  <c r="E57" i="32"/>
  <c r="E56" i="32" s="1"/>
  <c r="C57" i="32"/>
  <c r="C82" i="32"/>
  <c r="D82" i="32" s="1"/>
  <c r="E82" i="32" s="1"/>
  <c r="F82" i="32" s="1"/>
  <c r="G82" i="32" s="1"/>
  <c r="H82" i="32" s="1"/>
  <c r="I82" i="32" s="1"/>
  <c r="H102" i="32"/>
  <c r="G102" i="32"/>
  <c r="G84" i="32"/>
  <c r="C84" i="32"/>
  <c r="D84" i="32"/>
  <c r="E84" i="32"/>
  <c r="F57" i="32"/>
  <c r="F56" i="32" s="1"/>
  <c r="D14" i="22"/>
  <c r="F84" i="32"/>
  <c r="I115" i="32"/>
  <c r="H67" i="32" s="1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I84" i="32" s="1"/>
  <c r="R101" i="6"/>
  <c r="H84" i="32" s="1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I102" i="32" s="1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Q18" i="16"/>
  <c r="Q19" i="16" s="1"/>
  <c r="R27" i="15"/>
  <c r="S73" i="13" s="1"/>
  <c r="S72" i="13"/>
  <c r="R27" i="9" l="1"/>
  <c r="S74" i="6" s="1"/>
  <c r="I57" i="32" s="1"/>
  <c r="I126" i="32"/>
  <c r="I5" i="31" s="1"/>
  <c r="I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G5" i="31" l="1"/>
  <c r="G6" i="31" s="1"/>
  <c r="H5" i="31"/>
  <c r="H6" i="31" s="1"/>
  <c r="I56" i="32"/>
  <c r="R18" i="16"/>
  <c r="S107" i="13" s="1"/>
  <c r="I91" i="32" s="1"/>
  <c r="R19" i="16" l="1"/>
  <c r="R21" i="16" l="1"/>
  <c r="S56" i="13" s="1"/>
  <c r="S54" i="13"/>
  <c r="I37" i="32" s="1"/>
  <c r="I39" i="32" s="1"/>
  <c r="R24" i="16"/>
  <c r="R33" i="16" s="1"/>
  <c r="S133" i="13" s="1"/>
  <c r="I117" i="32" s="1"/>
  <c r="F125" i="32" l="1"/>
  <c r="F126" i="32" s="1"/>
  <c r="D5" i="31" s="1"/>
  <c r="D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E5" i="31" l="1"/>
  <c r="F5" i="31"/>
  <c r="F6" i="31" s="1"/>
  <c r="R87" i="6"/>
  <c r="H70" i="32"/>
  <c r="F22" i="23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N38" i="10" l="1"/>
  <c r="O103" i="6" s="1"/>
  <c r="O31" i="10"/>
  <c r="O35" i="10" s="1"/>
  <c r="O100" i="6"/>
  <c r="O38" i="10" l="1"/>
  <c r="P103" i="6" s="1"/>
  <c r="P31" i="10"/>
  <c r="P35" i="10" s="1"/>
  <c r="P100" i="6"/>
  <c r="D40" i="22" s="1"/>
  <c r="E40" i="22" s="1"/>
  <c r="D43" i="22" l="1"/>
  <c r="E43" i="22" s="1"/>
  <c r="C13" i="21"/>
  <c r="C25" i="21" s="1"/>
  <c r="P38" i="10"/>
  <c r="Q103" i="6" s="1"/>
  <c r="Q31" i="10"/>
  <c r="Q35" i="10" s="1"/>
  <c r="Q100" i="6"/>
  <c r="E15" i="22" l="1"/>
  <c r="G15" i="22" s="1"/>
  <c r="D58" i="32" s="1"/>
  <c r="G23" i="2"/>
  <c r="Q38" i="10"/>
  <c r="R103" i="6" s="1"/>
  <c r="R31" i="10"/>
  <c r="R35" i="10" s="1"/>
  <c r="R100" i="6"/>
  <c r="E58" i="32" l="1"/>
  <c r="C58" i="32"/>
  <c r="I58" i="32"/>
  <c r="G58" i="32"/>
  <c r="H58" i="32"/>
  <c r="F58" i="32"/>
  <c r="R38" i="10"/>
  <c r="S103" i="6" s="1"/>
  <c r="S100" i="6"/>
  <c r="N95" i="6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S144" i="6"/>
  <c r="Q137" i="6"/>
  <c r="Q144" i="6"/>
  <c r="P137" i="6"/>
  <c r="P144" i="6"/>
  <c r="O137" i="6"/>
  <c r="N137" i="6"/>
  <c r="N139" i="6" s="1"/>
  <c r="R137" i="6"/>
  <c r="R144" i="6"/>
  <c r="D35" i="22" l="1"/>
  <c r="G35" i="22" s="1"/>
  <c r="Q95" i="6"/>
  <c r="R95" i="6" s="1"/>
  <c r="O96" i="6"/>
  <c r="O105" i="6" s="1"/>
  <c r="D41" i="7"/>
  <c r="D48" i="7" s="1"/>
  <c r="N65" i="6"/>
  <c r="O138" i="6"/>
  <c r="O139" i="6" s="1"/>
  <c r="D45" i="22"/>
  <c r="C78" i="32" l="1"/>
  <c r="D78" i="32" s="1"/>
  <c r="E78" i="32" s="1"/>
  <c r="F78" i="32" s="1"/>
  <c r="G78" i="32" s="1"/>
  <c r="H78" i="32" s="1"/>
  <c r="I78" i="32" s="1"/>
  <c r="D36" i="22"/>
  <c r="Q96" i="6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R96" i="6"/>
  <c r="R105" i="6" s="1"/>
  <c r="S95" i="6"/>
  <c r="S96" i="6" s="1"/>
  <c r="S105" i="6" s="1"/>
  <c r="N80" i="6" l="1"/>
  <c r="F41" i="7"/>
  <c r="F48" i="7" s="1"/>
  <c r="P143" i="6" s="1"/>
  <c r="P65" i="6"/>
  <c r="Q138" i="6"/>
  <c r="Q139" i="6" s="1"/>
  <c r="P70" i="6" l="1"/>
  <c r="D5" i="22"/>
  <c r="N107" i="6"/>
  <c r="G41" i="7"/>
  <c r="G48" i="7" s="1"/>
  <c r="Q143" i="6" s="1"/>
  <c r="Q65" i="6"/>
  <c r="Q70" i="6" s="1"/>
  <c r="Q80" i="6" s="1"/>
  <c r="Q107" i="6" s="1"/>
  <c r="R138" i="6"/>
  <c r="R139" i="6" s="1"/>
  <c r="P80" i="6" l="1"/>
  <c r="D10" i="22"/>
  <c r="H41" i="7"/>
  <c r="H48" i="7" s="1"/>
  <c r="R143" i="6" s="1"/>
  <c r="R65" i="6"/>
  <c r="R70" i="6" s="1"/>
  <c r="R80" i="6" s="1"/>
  <c r="R107" i="6" s="1"/>
  <c r="S138" i="6"/>
  <c r="S139" i="6" s="1"/>
  <c r="P107" i="6" l="1"/>
  <c r="D20" i="22"/>
  <c r="I41" i="7"/>
  <c r="I48" i="7" s="1"/>
  <c r="S143" i="6" s="1"/>
  <c r="S65" i="6"/>
  <c r="S70" i="6" s="1"/>
  <c r="S80" i="6" s="1"/>
  <c r="S107" i="6" s="1"/>
  <c r="C56" i="32"/>
  <c r="G23" i="32" l="1"/>
  <c r="H23" i="32"/>
  <c r="I23" i="32"/>
  <c r="G114" i="32"/>
  <c r="G118" i="32" s="1"/>
  <c r="H114" i="32"/>
  <c r="H118" i="32" s="1"/>
  <c r="I114" i="32"/>
  <c r="I118" i="32" s="1"/>
  <c r="G70" i="32" l="1"/>
  <c r="D85" i="32"/>
  <c r="E4" i="31"/>
  <c r="E6" i="31" s="1"/>
  <c r="C83" i="32" l="1"/>
  <c r="C86" i="32" l="1"/>
  <c r="C67" i="32"/>
  <c r="C70" i="32" l="1"/>
  <c r="C72" i="32"/>
  <c r="C75" i="32" s="1"/>
  <c r="D70" i="23"/>
  <c r="D122" i="32" l="1"/>
  <c r="C48" i="32"/>
  <c r="C53" i="32" s="1"/>
  <c r="C63" i="32" s="1"/>
  <c r="C79" i="32"/>
  <c r="C88" i="32" s="1"/>
  <c r="C90" i="32" l="1"/>
  <c r="C127" i="32"/>
  <c r="D40" i="32" l="1"/>
  <c r="D73" i="32"/>
  <c r="D100" i="32"/>
  <c r="I7" i="31"/>
  <c r="I8" i="31"/>
  <c r="I9" i="31"/>
  <c r="I13" i="31"/>
  <c r="I14" i="31"/>
  <c r="D69" i="23"/>
  <c r="D24" i="32" s="1"/>
  <c r="D72" i="23"/>
  <c r="D26" i="32" s="1"/>
  <c r="I10" i="31" l="1"/>
  <c r="D73" i="23"/>
  <c r="E67" i="32" l="1"/>
  <c r="E70" i="32" s="1"/>
  <c r="E23" i="32" l="1"/>
  <c r="F23" i="32"/>
  <c r="F67" i="32"/>
  <c r="F70" i="32" s="1"/>
  <c r="E114" i="32"/>
  <c r="E118" i="32" s="1"/>
  <c r="F114" i="32"/>
  <c r="F118" i="32" s="1"/>
  <c r="G7" i="2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67" i="32"/>
  <c r="D70" i="32"/>
  <c r="D72" i="32"/>
  <c r="E72" i="32"/>
  <c r="F72" i="32"/>
  <c r="G72" i="32"/>
  <c r="H72" i="32"/>
  <c r="I72" i="32"/>
  <c r="E73" i="32"/>
  <c r="F73" i="32"/>
  <c r="G73" i="32"/>
  <c r="H73" i="32"/>
  <c r="I73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3" i="32"/>
  <c r="E83" i="32"/>
  <c r="F83" i="32"/>
  <c r="G83" i="32"/>
  <c r="H83" i="32"/>
  <c r="I83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E122" i="32"/>
  <c r="F122" i="32"/>
  <c r="G122" i="32"/>
  <c r="H122" i="32"/>
  <c r="I122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<sst xmlns="http://schemas.openxmlformats.org/spreadsheetml/2006/main" count="1950" uniqueCount="583">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</sst>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173" fontId="19" fillId="0" borderId="20" xfId="0" applyNumberFormat="1" applyFont="1" applyBorder="1"/>
    <xf numFmtId="9" fontId="17" fillId="0" borderId="0" xfId="0" applyNumberFormat="1" applyFont="1"/>
    <xf numFmtId="10" fontId="19" fillId="0" borderId="20" xfId="0" applyNumberFormat="1" applyFont="1" applyBorder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0" fontId="6" fillId="3" borderId="3" xfId="8" applyAlignment="1">
      <alignment horizontal="center"/>
    </xf>
    <xf numFmtId="0" fontId="6" fillId="3" borderId="31" xfId="8" applyBorder="1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2">
    <dxf>
      <font>
        <b val="0"/>
        <i val="0"/>
        <color theme="7"/>
      </font>
    </dxf>
    <dxf>
      <font>
        <b/>
        <i val="0"/>
        <color theme="7"/>
      </font>
    </dxf>
    <dxf>
      <font>
        <color theme="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381000</xdr:colOff>
      <xdr:row>1</xdr:row>
      <xdr:rowOff>63500</xdr:rowOff>
    </xdr:from>
    <xdr:to>
      <xdr:col>15</xdr:col>
      <xdr:colOff>596900</xdr:colOff>
      <xdr:row>39</xdr:row>
      <xdr:rowOff>161707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0926E9-C9F3-AAAE-E2EB-87F5F882A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0" y="266700"/>
          <a:ext cx="10121900" cy="78198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11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10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9" tableBorderDxfId="8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7" tableBorderDxfId="6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5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4" tableBorderDxfId="3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workbookViewId="0">
      <selection activeCell="B10" sqref="B10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548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575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tabSelected="1" zoomScaleNormal="178" workbookViewId="0">
      <selection activeCell="I20" sqref="I20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32" t="s">
        <v>556</v>
      </c>
      <c r="D2" s="332"/>
      <c r="E2" s="332"/>
      <c r="F2" s="332"/>
      <c r="G2" s="332"/>
      <c r="H2" s="332"/>
      <c r="I2" s="332"/>
      <c r="J2" s="332"/>
    </row>
    <row r="4" spans="1:11" ht="14" customHeight="1" x14ac:dyDescent="0.15">
      <c r="C4" s="333" t="s">
        <v>17</v>
      </c>
      <c r="D4" s="335"/>
      <c r="F4" s="333" t="s">
        <v>22</v>
      </c>
      <c r="G4" s="335"/>
      <c r="I4" s="333" t="s">
        <v>26</v>
      </c>
      <c r="J4" s="335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579</v>
      </c>
      <c r="D14" s="22">
        <v>2027</v>
      </c>
      <c r="G14" s="282"/>
      <c r="J14" s="282"/>
    </row>
    <row r="16" spans="1:11" ht="14" customHeight="1" x14ac:dyDescent="0.15">
      <c r="C16" s="333" t="s">
        <v>61</v>
      </c>
      <c r="D16" s="335"/>
      <c r="F16" s="336" t="s">
        <v>45</v>
      </c>
      <c r="G16" s="337"/>
      <c r="I16" s="336" t="s">
        <v>44</v>
      </c>
      <c r="J16" s="337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454.14365193777758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3" t="s">
        <v>571</v>
      </c>
      <c r="G26" s="335"/>
    </row>
    <row r="27" spans="3:10" ht="14" customHeight="1" x14ac:dyDescent="0.15">
      <c r="C27" s="3"/>
      <c r="D27" s="27"/>
      <c r="F27" s="19" t="s">
        <v>572</v>
      </c>
      <c r="G27" s="5"/>
      <c r="I27" s="333" t="s">
        <v>64</v>
      </c>
      <c r="J27" s="335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573</v>
      </c>
      <c r="G28" s="5"/>
      <c r="I28" s="3" t="s">
        <v>37</v>
      </c>
      <c r="J28" s="27">
        <f>D31</f>
        <v>4081.6628189239386</v>
      </c>
    </row>
    <row r="29" spans="3:10" ht="14" customHeight="1" x14ac:dyDescent="0.15">
      <c r="C29" s="19" t="s">
        <v>73</v>
      </c>
      <c r="D29" s="29">
        <f>'Huntsman Debt'!D48</f>
        <v>1651.2760237239386</v>
      </c>
      <c r="F29" s="19" t="s">
        <v>574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4081.6628189239386</v>
      </c>
      <c r="F31" s="7"/>
      <c r="G31" s="6"/>
      <c r="I31" s="7"/>
      <c r="J31" s="37"/>
    </row>
    <row r="33" spans="3:9" ht="14" customHeight="1" x14ac:dyDescent="0.15">
      <c r="D33" s="333" t="s">
        <v>457</v>
      </c>
      <c r="E33" s="334"/>
      <c r="F33" s="334"/>
      <c r="G33" s="334"/>
      <c r="H33" s="334"/>
      <c r="I33" s="335"/>
    </row>
    <row r="34" spans="3:9" ht="14" customHeight="1" x14ac:dyDescent="0.15">
      <c r="D34" s="3"/>
      <c r="I34" s="5" t="s">
        <v>551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31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31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2" priority="1">
      <formula>ISERROR(SEARCH(1,$D$13))</formula>
    </cfRule>
  </conditionalFormatting>
  <dataValidations count="2">
    <dataValidation type="list" allowBlank="1" showInputMessage="1" showErrorMessage="1" sqref="D10" xr:uid="{3B155C21-BF24-EF49-AE52-53D1C08DD8BE}">
      <formula1>"All Stock,All Cash,Mixed Cash / Stock"</formula1>
    </dataValidation>
    <dataValidation type="whole" operator="greaterThanOrEqual" allowBlank="1" showInputMessage="1" showErrorMessage="1" errorTitle="cant be less than trans. close" sqref="D14" xr:uid="{BC720D1B-FEB9-FB46-A340-6AEEC3EBCF63}">
      <formula1>YEAR($D$9)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H16" sqref="H16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555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570</v>
      </c>
      <c r="D3" s="60">
        <f>IF('Main Page &amp; Assumptions'!$D$14&gt;2031,"",DATE('Main Page &amp; Assumptions'!$D$14,12,31))</f>
        <v>46752</v>
      </c>
      <c r="E3" s="60">
        <f>IFERROR(IF(OR(D3="",YEAR(D3)&gt;=2031),"",EDATE(D3,12)),"")</f>
        <v>47118</v>
      </c>
      <c r="F3" s="60">
        <f t="shared" ref="F3:I3" si="0">IFERROR(IF(OR(E3="",YEAR(E3)&gt;=2031),"",EDATE(E3,12)),"")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557</v>
      </c>
      <c r="D4" s="57">
        <f>_xlfn.IFNA(INDEX(
'Pro Forma Financials'!$D$8:$I$144,
MATCH($B4,'Pro Forma Financials'!$B$8:$B$144,0),
MATCH(D$3,'Pro Forma Financials'!$D$6:$I$6,0)
),"")</f>
        <v>13780.560108560001</v>
      </c>
      <c r="E4" s="57">
        <f>_xlfn.IFNA(INDEX(
'Pro Forma Financials'!$D$8:$I$144,
MATCH($B4,'Pro Forma Financials'!$B$8:$B$144,0),
MATCH(E$3,'Pro Forma Financials'!$D$6:$I$6,0)
),"")</f>
        <v>14845.315591669027</v>
      </c>
      <c r="F4" s="57">
        <f>_xlfn.IFNA(INDEX(
'Pro Forma Financials'!$D$8:$I$144,
MATCH($B4,'Pro Forma Financials'!$B$8:$B$144,0),
MATCH(F$3,'Pro Forma Financials'!$D$6:$I$6,0)
),"")</f>
        <v>15497.091596038512</v>
      </c>
      <c r="G4" s="57">
        <f>_xlfn.IFNA(INDEX(
'Pro Forma Financials'!$D$8:$I$144,
MATCH($B4,'Pro Forma Financials'!$B$8:$B$144,0),
MATCH(G$3,'Pro Forma Financials'!$D$6:$I$6,0)
),"")</f>
        <v>16480.249407776741</v>
      </c>
      <c r="H4" s="57">
        <f>_xlfn.IFNA(INDEX(
'Pro Forma Financials'!$D$8:$I$144,
MATCH($B4,'Pro Forma Financials'!$B$8:$B$144,0),
MATCH(H$3,'Pro Forma Financials'!$D$6:$I$6,0)
),"")</f>
        <v>17300.788780843624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558</v>
      </c>
      <c r="D5" s="39">
        <f>_xlfn.IFNA(INDEX(
'Pro Forma Financials'!$D$8:$I$144,
MATCH($B5,'Pro Forma Financials'!$B$8:$B$144,0),
MATCH(D$3,'Pro Forma Financials'!$D$6:$I$6,0)
),"")</f>
        <v>1374.8923201806081</v>
      </c>
      <c r="E5" s="39">
        <f>_xlfn.IFNA(INDEX(
'Pro Forma Financials'!$D$8:$I$144,
MATCH($B5,'Pro Forma Financials'!$B$8:$B$144,0),
MATCH(E$3,'Pro Forma Financials'!$D$6:$I$6,0)
),"")</f>
        <v>2035.2243741102666</v>
      </c>
      <c r="F5" s="39">
        <f>_xlfn.IFNA(INDEX(
'Pro Forma Financials'!$D$8:$I$144,
MATCH($B5,'Pro Forma Financials'!$B$8:$B$144,0),
MATCH(F$3,'Pro Forma Financials'!$D$6:$I$6,0)
),"")</f>
        <v>2530.583839124618</v>
      </c>
      <c r="G5" s="39">
        <f>_xlfn.IFNA(INDEX(
'Pro Forma Financials'!$D$8:$I$144,
MATCH($B5,'Pro Forma Financials'!$B$8:$B$144,0),
MATCH(G$3,'Pro Forma Financials'!$D$6:$I$6,0)
),"")</f>
        <v>3070.7879943925545</v>
      </c>
      <c r="H5" s="39">
        <f>_xlfn.IFNA(INDEX(
'Pro Forma Financials'!$D$8:$I$144,
MATCH($B5,'Pro Forma Financials'!$B$8:$B$144,0),
MATCH(H$3,'Pro Forma Financials'!$D$6:$I$6,0)
),"")</f>
        <v>3521.3700863726071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581</v>
      </c>
      <c r="D6" s="329">
        <f>_xlfn.IFNA(D5/D4,"")</f>
        <v>9.9770423651109302E-2</v>
      </c>
      <c r="E6" s="329">
        <f t="shared" ref="E6:F6" si="1">_xlfn.IFNA(E5/E4,"")</f>
        <v>0.13709539292330064</v>
      </c>
      <c r="F6" s="329">
        <f t="shared" si="1"/>
        <v>0.16329411383046258</v>
      </c>
      <c r="G6" s="329">
        <f>IFERROR(G5/G4,"")</f>
        <v>0.18633140302740223</v>
      </c>
      <c r="H6" s="329">
        <f t="shared" ref="H6:I6" si="2">IFERROR(H5/H4,"")</f>
        <v>0.20353812366472329</v>
      </c>
      <c r="I6" s="329" t="str">
        <f t="shared" si="2"/>
        <v/>
      </c>
    </row>
    <row r="7" spans="1:11" x14ac:dyDescent="0.15">
      <c r="B7" t="s">
        <v>107</v>
      </c>
      <c r="C7" s="48" t="s">
        <v>559</v>
      </c>
      <c r="D7" s="57">
        <f ca="1">_xlfn.IFNA(INDEX(
'Pro Forma Financials'!$D$8:$I$144,
MATCH($B7,'Pro Forma Financials'!$B$8:$B$144,0),
MATCH(D$3,'Pro Forma Financials'!$D$6:$I$6,0)
),"")</f>
        <v>272.5209569287349</v>
      </c>
      <c r="E7" s="57">
        <f ca="1">_xlfn.IFNA(INDEX(
'Pro Forma Financials'!$D$8:$I$144,
MATCH($B7,'Pro Forma Financials'!$B$8:$B$144,0),
MATCH(E$3,'Pro Forma Financials'!$D$6:$I$6,0)
),"")</f>
        <v>760.00564564759884</v>
      </c>
      <c r="F7" s="57">
        <f ca="1">_xlfn.IFNA(INDEX(
'Pro Forma Financials'!$D$8:$I$144,
MATCH($B7,'Pro Forma Financials'!$B$8:$B$144,0),
MATCH(F$3,'Pro Forma Financials'!$D$6:$I$6,0)
),"")</f>
        <v>1120.7729998290529</v>
      </c>
      <c r="G7" s="57">
        <f ca="1">_xlfn.IFNA(INDEX(
'Pro Forma Financials'!$D$8:$I$144,
MATCH($B7,'Pro Forma Financials'!$B$8:$B$144,0),
MATCH(G$3,'Pro Forma Financials'!$D$6:$I$6,0)
),"")</f>
        <v>1534.3605621921665</v>
      </c>
      <c r="H7" s="57">
        <f ca="1">_xlfn.IFNA(INDEX(
'Pro Forma Financials'!$D$8:$I$144,
MATCH($B7,'Pro Forma Financials'!$B$8:$B$144,0),
MATCH(H$3,'Pro Forma Financials'!$D$6:$I$6,0)
),"")</f>
        <v>1871.4008427969438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560</v>
      </c>
      <c r="D8" s="40">
        <f ca="1">_xlfn.IFNA(INDEX(
'Pro Forma Financials'!$D$8:$I$144,
MATCH($B8,'Pro Forma Financials'!$B$8:$B$144,0),
MATCH(D$3,'Pro Forma Financials'!$D$6:$I$6,0)
),"")</f>
        <v>1.2601647266255278</v>
      </c>
      <c r="E8" s="40">
        <f ca="1">_xlfn.IFNA(INDEX(
'Pro Forma Financials'!$D$8:$I$144,
MATCH($B8,'Pro Forma Financials'!$B$8:$B$144,0),
MATCH(E$3,'Pro Forma Financials'!$D$6:$I$6,0)
),"")</f>
        <v>3.5311795024050041</v>
      </c>
      <c r="F8" s="40">
        <f ca="1">_xlfn.IFNA(INDEX(
'Pro Forma Financials'!$D$8:$I$144,
MATCH($B8,'Pro Forma Financials'!$B$8:$B$144,0),
MATCH(F$3,'Pro Forma Financials'!$D$6:$I$6,0)
),"")</f>
        <v>5.2019066105788472</v>
      </c>
      <c r="G8" s="40">
        <f ca="1">_xlfn.IFNA(INDEX(
'Pro Forma Financials'!$D$8:$I$144,
MATCH($B8,'Pro Forma Financials'!$B$8:$B$144,0),
MATCH(G$3,'Pro Forma Financials'!$D$6:$I$6,0)
),"")</f>
        <v>7.1101212317205498</v>
      </c>
      <c r="H8" s="40">
        <f ca="1">_xlfn.IFNA(INDEX(
'Pro Forma Financials'!$D$8:$I$144,
MATCH($B8,'Pro Forma Financials'!$B$8:$B$144,0),
MATCH(H$3,'Pro Forma Financials'!$D$6:$I$6,0)
),"")</f>
        <v>8.6549099535724974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549</v>
      </c>
      <c r="D9" s="40">
        <f ca="1">_xlfn.IFNA(INDEX(
'Olin Standalone'!$D$57:$S$57,
1,
MATCH(D$3,'Olin Standalone'!$D$32:$S$32,0)
),"")</f>
        <v>1.1991493344092152</v>
      </c>
      <c r="E9" s="40">
        <f ca="1">_xlfn.IFNA(INDEX(
'Olin Standalone'!$D$57:$S$57,
1,
MATCH(E$3,'Olin Standalone'!$D$32:$S$32,0)
),"")</f>
        <v>3.067215658513335</v>
      </c>
      <c r="F9" s="40">
        <f ca="1">_xlfn.IFNA(INDEX(
'Olin Standalone'!$D$57:$S$57,
1,
MATCH(F$3,'Olin Standalone'!$D$32:$S$32,0)
),"")</f>
        <v>4.5970278626006671</v>
      </c>
      <c r="G9" s="40">
        <f ca="1">_xlfn.IFNA(INDEX(
'Olin Standalone'!$D$57:$S$57,
1,
MATCH(G$3,'Olin Standalone'!$D$32:$S$32,0)
),"")</f>
        <v>6.8361799156984855</v>
      </c>
      <c r="H9" s="40">
        <f ca="1">_xlfn.IFNA(INDEX(
'Olin Standalone'!$D$57:$S$57,
1,
MATCH(H$3,'Olin Standalone'!$D$32:$S$32,0)
),"")</f>
        <v>8.3973739150621469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576</v>
      </c>
      <c r="D10" s="330">
        <f ca="1">IFERROR(D8/D9 -1,"")</f>
        <v>5.0882229982117222E-2</v>
      </c>
      <c r="E10" s="330">
        <f t="shared" ref="E10:I10" ca="1" si="3">IFERROR(E8/E9 -1,"")</f>
        <v>0.15126547838391979</v>
      </c>
      <c r="F10" s="330">
        <f t="shared" ca="1" si="3"/>
        <v>0.13158039630327223</v>
      </c>
      <c r="G10" s="330">
        <f t="shared" ca="1" si="3"/>
        <v>4.0072280045320374E-2</v>
      </c>
      <c r="H10" s="330">
        <f t="shared" ca="1" si="3"/>
        <v>3.0668640114788204E-2</v>
      </c>
      <c r="I10" s="43" t="str">
        <f t="shared" si="3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568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582</v>
      </c>
      <c r="D13" s="39">
        <f ca="1">_xlfn.IFNA(INDEX('Pro Forma Financials'!$C$125:$I$128, MATCH(Summary!$B$13, 'Pro Forma Financials'!$B$125:$B$128, 0), MATCH(Summary!D$3, 'Pro Forma Financials'!$C$95:$I$95, 0)),"")</f>
        <v>3656.9194265884566</v>
      </c>
      <c r="E13" s="39">
        <f ca="1">_xlfn.IFNA(INDEX('Pro Forma Financials'!$C$125:$I$128, MATCH(Summary!$B$13, 'Pro Forma Financials'!$B$125:$B$128, 0), MATCH(Summary!E$3, 'Pro Forma Financials'!$C$95:$I$95, 0)),"")</f>
        <v>2652.8369383249751</v>
      </c>
      <c r="F13" s="39">
        <f ca="1">_xlfn.IFNA(INDEX('Pro Forma Financials'!$C$125:$I$128, MATCH(Summary!$B$13, 'Pro Forma Financials'!$B$125:$B$128, 0), MATCH(Summary!F$3, 'Pro Forma Financials'!$C$95:$I$95, 0)),"")</f>
        <v>1283.3184732351519</v>
      </c>
      <c r="G13" s="39">
        <f ca="1">_xlfn.IFNA(INDEX('Pro Forma Financials'!$C$125:$I$128, MATCH(Summary!$B$13, 'Pro Forma Financials'!$B$125:$B$128, 0), MATCH(Summary!G$3, 'Pro Forma Financials'!$C$95:$I$95, 0)),"")</f>
        <v>-487.3628506897785</v>
      </c>
      <c r="H13" s="39">
        <f ca="1">_xlfn.IFNA(INDEX('Pro Forma Financials'!$C$125:$I$128, MATCH(Summary!$B$13, 'Pro Forma Financials'!$B$125:$B$128, 0), MATCH(Summary!H$3, 'Pro Forma Financials'!$C$95:$I$95, 0)),"")</f>
        <v>-2591.0057743630259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602.89636002639202</v>
      </c>
      <c r="E14" s="57">
        <f ca="1">_xlfn.IFNA(INDEX(
'Pro Forma Financials'!$D$8:$I$144,
MATCH($B14,'Pro Forma Financials'!$B$8:$B$144,0),
MATCH(E$3,'Pro Forma Financials'!$D$6:$I$6,0)
),"")</f>
        <v>1166.1360640412595</v>
      </c>
      <c r="F14" s="57">
        <f ca="1">_xlfn.IFNA(INDEX(
'Pro Forma Financials'!$D$8:$I$144,
MATCH($B14,'Pro Forma Financials'!$B$8:$B$144,0),
MATCH(F$3,'Pro Forma Financials'!$D$6:$I$6,0)
),"")</f>
        <v>1530.9720408676005</v>
      </c>
      <c r="G14" s="57">
        <f ca="1">_xlfn.IFNA(INDEX(
'Pro Forma Financials'!$D$8:$I$144,
MATCH($B14,'Pro Forma Financials'!$B$8:$B$144,0),
MATCH(G$3,'Pro Forma Financials'!$D$6:$I$6,0)
),"")</f>
        <v>1929.009899702708</v>
      </c>
      <c r="H14" s="57">
        <f ca="1">_xlfn.IFNA(INDEX(
'Pro Forma Financials'!$D$8:$I$144,
MATCH($B14,'Pro Forma Financials'!$B$8:$B$144,0),
MATCH(H$3,'Pro Forma Financials'!$D$6:$I$6,0)
),"")</f>
        <v>2260.7914994510252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F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J133"/>
  <sheetViews>
    <sheetView showGridLines="0" topLeftCell="A74" workbookViewId="0">
      <selection activeCell="M91" sqref="M91"/>
    </sheetView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0" ht="20" x14ac:dyDescent="0.2">
      <c r="A1" s="298" t="str">
        <f>HYPERLINK("#'Table of Contents'!A1", "&lt;---------")</f>
        <v>&lt;---------</v>
      </c>
      <c r="B1" s="58" t="s">
        <v>554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0" ht="18" x14ac:dyDescent="0.15">
      <c r="B2" s="341" t="s">
        <v>398</v>
      </c>
      <c r="C2" s="341"/>
      <c r="D2" s="341"/>
      <c r="E2" s="341"/>
      <c r="F2" s="341"/>
      <c r="G2" s="341"/>
      <c r="H2" s="341"/>
      <c r="I2" s="341"/>
    </row>
    <row r="3" spans="1:10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0" ht="16" x14ac:dyDescent="0.15">
      <c r="B4" s="342" t="s">
        <v>403</v>
      </c>
      <c r="C4" s="342"/>
      <c r="D4" s="342"/>
      <c r="E4" s="342"/>
      <c r="F4" s="342"/>
      <c r="G4" s="342"/>
      <c r="H4" s="342"/>
      <c r="I4" s="342"/>
    </row>
    <row r="5" spans="1:10" x14ac:dyDescent="0.15">
      <c r="B5" s="90"/>
      <c r="C5" s="186"/>
      <c r="D5" s="338" t="s">
        <v>400</v>
      </c>
      <c r="E5" s="339"/>
      <c r="F5" s="339"/>
      <c r="G5" s="339"/>
      <c r="H5" s="339"/>
      <c r="I5" s="340"/>
    </row>
    <row r="6" spans="1:10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0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0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13348.181360000002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13780.560108560001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14845.315591669027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15497.091596038512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16480.249407776741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17300.788780843624</v>
      </c>
    </row>
    <row r="9" spans="1:10" x14ac:dyDescent="0.15">
      <c r="B9" s="48"/>
      <c r="C9" s="39"/>
      <c r="D9" s="96"/>
      <c r="E9" s="57"/>
      <c r="F9" s="57"/>
      <c r="G9" s="57"/>
      <c r="H9" s="57"/>
      <c r="I9" s="97"/>
    </row>
    <row r="10" spans="1:10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11787.052181520001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11917.697553203714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12364.969043658708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12517.444979228667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12906.319695921949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13311.506709795704</v>
      </c>
    </row>
    <row r="11" spans="1:10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1561.1291784800005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1862.8625553562879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2480.3465480103168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2979.646616809845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3573.9297118547911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3989.28207104792</v>
      </c>
    </row>
    <row r="12" spans="1:10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1196.9775080000002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1249.5106319000001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1347.6979698065202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1412.1628208057984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1502.769309351778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1581.916950543035</v>
      </c>
    </row>
    <row r="13" spans="1:10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149.61993600000002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159.22265721000002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172.09319459570403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181.4790109563194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193.34377033663236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204.46543848196973</v>
      </c>
    </row>
    <row r="14" spans="1:10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0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</row>
    <row r="16" spans="1:10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-18.977868000000001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-19.83054435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-21.456648986700003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-22.701134627928603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-24.199409513371894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-25.651374084174208</v>
      </c>
    </row>
    <row r="17" spans="2:9" x14ac:dyDescent="0.15">
      <c r="B17" t="s">
        <v>553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13114.671757520002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13306.600297963712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13863.303559074233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14088.385676362857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14578.233366096989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15072.237724736535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233.50960248000047</v>
      </c>
      <c r="E22" s="290">
        <f t="shared" si="1"/>
        <v>546.15981059628871</v>
      </c>
      <c r="F22" s="290">
        <f t="shared" si="1"/>
        <v>1186.2120325947938</v>
      </c>
      <c r="G22" s="290">
        <f t="shared" si="1"/>
        <v>1659.9059196756546</v>
      </c>
      <c r="H22" s="290">
        <f t="shared" si="1"/>
        <v>2186.2160416797515</v>
      </c>
      <c r="I22" s="291">
        <f t="shared" si="1"/>
        <v>2612.7510561070894</v>
      </c>
    </row>
    <row r="23" spans="2:9" x14ac:dyDescent="0.15">
      <c r="B23" s="2" t="s">
        <v>563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-252.41201377777779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564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-218.51974300000003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565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-252.41201377777779</v>
      </c>
      <c r="E27" s="293">
        <f t="shared" ca="1" si="2"/>
        <v>-224.44627077777781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16.964255368889347</v>
      </c>
      <c r="E30" s="293">
        <f t="shared" ca="1" si="3"/>
        <v>358.58020648517754</v>
      </c>
      <c r="F30" s="293">
        <f t="shared" ca="1" si="3"/>
        <v>1000.0074284836826</v>
      </c>
      <c r="G30" s="293">
        <f t="shared" ca="1" si="3"/>
        <v>1474.7013155645434</v>
      </c>
      <c r="H30" s="293">
        <f t="shared" ca="1" si="3"/>
        <v>2018.8954765686401</v>
      </c>
      <c r="I30" s="294">
        <f t="shared" ca="1" si="3"/>
        <v>2462.3695299959786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4.0714212885334433</v>
      </c>
      <c r="E31" s="53">
        <f ca="1" xml:space="preserve"> E30*'Main Page &amp; Assumptions'!$J$18</f>
        <v>86.059249556442609</v>
      </c>
      <c r="F31" s="53">
        <f ca="1" xml:space="preserve"> F30*'Main Page &amp; Assumptions'!$J$18</f>
        <v>240.00178283608381</v>
      </c>
      <c r="G31" s="53">
        <f ca="1" xml:space="preserve"> G30*'Main Page &amp; Assumptions'!$J$18</f>
        <v>353.9283157354904</v>
      </c>
      <c r="H31" s="53">
        <f ca="1" xml:space="preserve"> H30*'Main Page &amp; Assumptions'!$J$18</f>
        <v>484.53491437647358</v>
      </c>
      <c r="I31" s="101">
        <f ca="1" xml:space="preserve"> I30*'Main Page &amp; Assumptions'!$J$18</f>
        <v>590.96868719903489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12.892834080355904</v>
      </c>
      <c r="E32" s="290">
        <f t="shared" ca="1" si="4"/>
        <v>272.5209569287349</v>
      </c>
      <c r="F32" s="290">
        <f t="shared" ca="1" si="4"/>
        <v>760.00564564759884</v>
      </c>
      <c r="G32" s="290">
        <f t="shared" ca="1" si="4"/>
        <v>1120.7729998290529</v>
      </c>
      <c r="H32" s="290">
        <f t="shared" ca="1" si="4"/>
        <v>1534.3605621921665</v>
      </c>
      <c r="I32" s="291">
        <f t="shared" ca="1" si="4"/>
        <v>1871.4008427969438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12.892834080355904</v>
      </c>
      <c r="E33" s="53">
        <f ca="1">'Olin Standalone'!O51+'Huntsman Standalone'!O52</f>
        <v>198.66187692873422</v>
      </c>
      <c r="F33" s="53">
        <f ca="1">'Olin Standalone'!P51+'Huntsman Standalone'!P52</f>
        <v>585.82656564759804</v>
      </c>
      <c r="G33" s="53">
        <f ca="1">'Olin Standalone'!Q51+'Huntsman Standalone'!Q52</f>
        <v>910.87391982905365</v>
      </c>
      <c r="H33" s="53">
        <f ca="1">'Olin Standalone'!R51+'Huntsman Standalone'!R52</f>
        <v>1299.3814821921674</v>
      </c>
      <c r="I33" s="101">
        <f ca="1">'Olin Standalone'!S51+'Huntsman Standalone'!S52</f>
        <v>1560.4217627969438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9.8928340803559038</v>
      </c>
      <c r="E35" s="192">
        <f t="shared" ca="1" si="5"/>
        <v>269.5209569287349</v>
      </c>
      <c r="F35" s="192">
        <f t="shared" ca="1" si="5"/>
        <v>757.00564564759884</v>
      </c>
      <c r="G35" s="192">
        <f t="shared" ca="1" si="5"/>
        <v>1117.7729998290529</v>
      </c>
      <c r="H35" s="192">
        <f t="shared" ca="1" si="5"/>
        <v>1531.3605621921665</v>
      </c>
      <c r="I35" s="193">
        <f t="shared" ca="1" si="5"/>
        <v>1868.4008427969438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212.37755999999999</v>
      </c>
      <c r="F37" s="39">
        <f xml:space="preserve"> IF(F$1=0,"",'Olin Standalone'!P54+'Main Page &amp; Assumptions'!$J$7)</f>
        <v>212.87755999999999</v>
      </c>
      <c r="G37" s="39">
        <f xml:space="preserve"> IF(G$1=0,"",'Olin Standalone'!Q54+'Main Page &amp; Assumptions'!$J$7)</f>
        <v>213.37755999999999</v>
      </c>
      <c r="H37" s="39">
        <f xml:space="preserve"> IF(H$1=0,"",'Olin Standalone'!R54+'Main Page &amp; Assumptions'!$J$7)</f>
        <v>213.87755999999999</v>
      </c>
      <c r="I37" s="99">
        <f xml:space="preserve"> IF(I$1=0,"",'Olin Standalone'!S54+'Main Page &amp; Assumptions'!$J$7)</f>
        <v>214.37755999999999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213.87755999999999</v>
      </c>
      <c r="F39" s="39">
        <f t="shared" si="6"/>
        <v>214.37755999999999</v>
      </c>
      <c r="G39" s="39">
        <f t="shared" si="6"/>
        <v>214.87755999999999</v>
      </c>
      <c r="H39" s="39">
        <f t="shared" si="6"/>
        <v>215.37755999999999</v>
      </c>
      <c r="I39" s="99">
        <f t="shared" si="6"/>
        <v>215.87755999999999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1.2601647266255278</v>
      </c>
      <c r="F40" s="40">
        <f t="shared" ca="1" si="7"/>
        <v>3.5311795024050041</v>
      </c>
      <c r="G40" s="40">
        <f t="shared" ca="1" si="7"/>
        <v>5.2019066105788472</v>
      </c>
      <c r="H40" s="40">
        <f t="shared" ca="1" si="7"/>
        <v>7.1101212317205498</v>
      </c>
      <c r="I40" s="107">
        <f t="shared" ca="1" si="7"/>
        <v>8.6549099535724974</v>
      </c>
    </row>
    <row r="41" spans="2:9" x14ac:dyDescent="0.15">
      <c r="B41" t="s">
        <v>549</v>
      </c>
      <c r="C41" s="40">
        <f>'Olin Standalone'!M57</f>
        <v>-0.88</v>
      </c>
      <c r="D41" s="106">
        <f ca="1">'Olin Standalone'!N57</f>
        <v>0.28516831449165242</v>
      </c>
      <c r="E41" s="40">
        <f ca="1">'Olin Standalone'!O57</f>
        <v>1.1991493344092152</v>
      </c>
      <c r="F41" s="40">
        <f ca="1">'Olin Standalone'!P57</f>
        <v>3.067215658513335</v>
      </c>
      <c r="G41" s="40">
        <f ca="1">'Olin Standalone'!Q57</f>
        <v>4.5970278626006671</v>
      </c>
      <c r="H41" s="40">
        <f ca="1">'Olin Standalone'!R57</f>
        <v>6.8361799156984855</v>
      </c>
      <c r="I41" s="107">
        <f ca="1">'Olin Standalone'!S57</f>
        <v>8.3973739150621469</v>
      </c>
    </row>
    <row r="42" spans="2:9" x14ac:dyDescent="0.15">
      <c r="B42" s="88" t="s">
        <v>550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5.0882229982117222E-2</v>
      </c>
      <c r="F42" s="300">
        <f t="shared" ca="1" si="8"/>
        <v>0.15126547838391979</v>
      </c>
      <c r="G42" s="300">
        <f t="shared" ca="1" si="8"/>
        <v>0.13158039630327223</v>
      </c>
      <c r="H42" s="300">
        <f t="shared" ca="1" si="8"/>
        <v>4.0072280045320374E-2</v>
      </c>
      <c r="I42" s="301">
        <f t="shared" ca="1" si="8"/>
        <v>3.0668640114788204E-2</v>
      </c>
    </row>
    <row r="43" spans="2:9" ht="41" customHeight="1" x14ac:dyDescent="0.15">
      <c r="C43" s="320"/>
      <c r="D43" s="321" t="str">
        <f>IF(YEAR(D$6)='Main Page &amp; Assumptions'!$D$14,
"Pro Forma Year",
IF(YEAR(D$6)='Main Page &amp; Assumptions'!$D$14-1,
"Pro Forma Opening BS",
""))</f>
        <v>Pro Forma Opening BS</v>
      </c>
      <c r="E43" s="321" t="str">
        <f>IF(YEAR(E$6)='Main Page &amp; Assumptions'!$D$14,
"Pro Forma Year",
IF(YEAR(E$6)='Main Page &amp; Assumptions'!$D$14-1,
"Pro Forma Opening BS",
""))</f>
        <v>Pro Forma Year</v>
      </c>
      <c r="F43" s="321" t="str">
        <f>IF(YEAR(F$6)='Main Page &amp; Assumptions'!$D$14,
"Pro Forma Year",
IF(YEAR(F$6)='Main Page &amp; Assumptions'!$D$14-1,
"Pro Forma Opening BS",
""))</f>
        <v/>
      </c>
      <c r="G43" s="321" t="str">
        <f>IF(YEAR(G$6)='Main Page &amp; Assumptions'!$D$14,
"Pro Forma Year",
IF(YEAR(G$6)='Main Page &amp; Assumptions'!$D$14-1,
"Pro Forma Opening BS",
""))</f>
        <v/>
      </c>
      <c r="H43" s="321" t="str">
        <f>IF(YEAR(H$6)='Main Page &amp; Assumptions'!$D$14,
"Pro Forma Year",
IF(YEAR(H$6)='Main Page &amp; Assumptions'!$D$14-1,
"Pro Forma Opening BS",
""))</f>
        <v/>
      </c>
      <c r="I43" s="321" t="str">
        <f>IF(YEAR(I$6)='Main Page &amp; Assumptions'!$D$14,
"Pro Forma Year",
IF(YEAR(I$6)='Main Page &amp; Assumptions'!$D$14-1,
"Pro Forma Opening BS",
""))</f>
        <v/>
      </c>
    </row>
    <row r="44" spans="2:9" ht="16" x14ac:dyDescent="0.15">
      <c r="B44" s="343" t="s">
        <v>232</v>
      </c>
      <c r="C44" s="343"/>
      <c r="D44" s="343"/>
      <c r="E44" s="343"/>
      <c r="F44" s="343"/>
      <c r="G44" s="343"/>
      <c r="H44" s="343"/>
      <c r="I44" s="343"/>
    </row>
    <row r="45" spans="2:9" x14ac:dyDescent="0.15">
      <c r="B45" s="90"/>
      <c r="C45" s="186"/>
      <c r="D45" s="338" t="s">
        <v>400</v>
      </c>
      <c r="E45" s="339"/>
      <c r="F45" s="339"/>
      <c r="G45" s="339"/>
      <c r="H45" s="339"/>
      <c r="I45" s="340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143.73931694070689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588.53362896709893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1598.1676450083582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2973.2376378759591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4218.8454895786672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6323.9349410296927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1994.1067360000002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2067.3140348477809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2228.0741368180334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2329.2110321030177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2477.6160521494467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2603.6825934192725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1442.2799998901919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1456.3189868311529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1510.6499552879091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1528.4692433509126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1575.2338713672873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1623.6412420656345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101.45859900000001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109.06799392500001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118.01156942685002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124.85624045360733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133.09675232354542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141.08255746295814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164.36437860000001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111.622536879336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120.2470562925191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125.52644192791193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133.49002020299162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140.13638912483336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3845.9490304308993</v>
      </c>
      <c r="E53" s="89">
        <f t="shared" ca="1" si="10"/>
        <v>4332.8571814503694</v>
      </c>
      <c r="F53" s="89">
        <f t="shared" ca="1" si="10"/>
        <v>5575.1503628336695</v>
      </c>
      <c r="G53" s="89">
        <f t="shared" ca="1" si="10"/>
        <v>7081.3005957114083</v>
      </c>
      <c r="H53" s="89">
        <f t="shared" ca="1" si="10"/>
        <v>8538.282185621938</v>
      </c>
      <c r="I53" s="95">
        <f t="shared" ca="1" si="10"/>
        <v>10832.477723102391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15835.645440800001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16249.0622440568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16694.421711806874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17159.334459688027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17653.741941921329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18172.765605346642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-10469.432647281148</v>
      </c>
      <c r="E56" s="39">
        <f t="shared" si="11"/>
        <v>-11252.265156865466</v>
      </c>
      <c r="F56" s="39">
        <f t="shared" si="11"/>
        <v>-12055.577498380941</v>
      </c>
      <c r="G56" s="39">
        <f t="shared" si="11"/>
        <v>-12880.555417829903</v>
      </c>
      <c r="H56" s="39">
        <f t="shared" si="11"/>
        <v>-13728.327370542705</v>
      </c>
      <c r="I56" s="99">
        <f t="shared" si="11"/>
        <v>-14600.146400808226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5366.2127935188528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4996.797087191334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4638.844213425933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4278.7790418581253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3925.4145713786234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3572.619204538415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1881.7436519377775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1881.7436519377775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1881.7436519377775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1881.7436519377775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1881.7436519377775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1881.7436519377775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1177.6676306000002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1245.8712583250001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1345.7241860012623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1416.3729875804279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1508.4508070022539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1593.0043817353917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13838.473106487529</v>
      </c>
      <c r="E63" s="135">
        <f t="shared" ca="1" si="12"/>
        <v>13978.26917890448</v>
      </c>
      <c r="F63" s="135">
        <f t="shared" ca="1" si="12"/>
        <v>14916.762414198642</v>
      </c>
      <c r="G63" s="135">
        <f t="shared" ca="1" si="12"/>
        <v>16087.796277087738</v>
      </c>
      <c r="H63" s="135">
        <f t="shared" ca="1" si="12"/>
        <v>17246.691215940591</v>
      </c>
      <c r="I63" s="136">
        <f t="shared" ca="1" si="12"/>
        <v>19235.844961313975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1604.2078172916165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1625.8824644070535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1687.5513142695527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1709.9789163469004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1764.5416757124149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1822.0310300101087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1139.5132100000001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1176.2457324500001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1267.1070216971802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1322.6698421178701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1406.56869655935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1476.5444431459682</v>
      </c>
    </row>
    <row r="67" spans="1:10" x14ac:dyDescent="0.15">
      <c r="B67" t="s">
        <v>271</v>
      </c>
      <c r="C67" s="39">
        <f>IF(YEAR(C$46)='Main Page &amp; Assumptions'!$D$14-1,'Pro Forma Opening BS'!$G$24,IF(YEAR(C$46)&lt;'Main Page &amp; Assumptions'!$D$14-1,IFERROR(N(INDEX('Olin Standalone'!$D$62:$S$104,MATCH($B67,'Olin Standalone'!$C$62:$C$104,0),MATCH(C$46,'Olin Standalone'!$D$62:$S$62,0))),0)+IFERROR(N(INDEX('Huntsman Standalone'!$D$63:$S$105,MATCH($B67,'Huntsman Standalone'!$C$63:$C$105,0),MATCH(C$46,'Huntsman Standalone'!$D$63:$S$63,0))),0),IF(COLUMN()=COLUMN($I$67),0,MAX(0,-D115))))</f>
        <v>462.7</v>
      </c>
      <c r="D67" s="100">
        <f ca="1">IF(YEAR(D$46)='Main Page &amp; Assumptions'!$D$14-1,'Pro Forma Opening BS'!$G$24,IF(YEAR(D$46)&lt;'Main Page &amp; Assumptions'!$D$14-1,IFERROR(N(INDEX('Olin Standalone'!$D$62:$S$104,MATCH($B67,'Olin Standalone'!$C$62:$C$104,0),MATCH(D$46,'Olin Standalone'!$D$62:$S$62,0))),0)+IFERROR(N(INDEX('Huntsman Standalone'!$D$63:$S$105,MATCH($B67,'Huntsman Standalone'!$C$63:$C$105,0),MATCH(D$46,'Huntsman Standalone'!$D$63:$S$63,0))),0),IF(COLUMN()=COLUMN($I$67),0,MAX(0,-E115))))</f>
        <v>247</v>
      </c>
      <c r="E67" s="53">
        <f>IF(YEAR(E$46)='Main Page &amp; Assumptions'!$D$14-1,'Pro Forma Opening BS'!$G$24,IF(YEAR(E$46)&lt;'Main Page &amp; Assumptions'!$D$14-1,IFERROR(N(INDEX('Olin Standalone'!$D$62:$S$104,MATCH($B67,'Olin Standalone'!$C$62:$C$104,0),MATCH(E$46,'Olin Standalone'!$D$62:$S$62,0))),0)+IFERROR(N(INDEX('Huntsman Standalone'!$D$63:$S$105,MATCH($B67,'Huntsman Standalone'!$C$63:$C$105,0),MATCH(E$46,'Huntsman Standalone'!$D$63:$S$63,0))),0),IF(COLUMN()=COLUMN($I$67),0,MAX(0,-F115))))</f>
        <v>0</v>
      </c>
      <c r="F67" s="53">
        <f>IF(YEAR(F$46)='Main Page &amp; Assumptions'!$D$14-1,'Pro Forma Opening BS'!$G$24,IF(YEAR(F$46)&lt;'Main Page &amp; Assumptions'!$D$14-1,IFERROR(N(INDEX('Olin Standalone'!$D$62:$S$104,MATCH($B67,'Olin Standalone'!$C$62:$C$104,0),MATCH(F$46,'Olin Standalone'!$D$62:$S$62,0))),0)+IFERROR(N(INDEX('Huntsman Standalone'!$D$63:$S$105,MATCH($B67,'Huntsman Standalone'!$C$63:$C$105,0),MATCH(F$46,'Huntsman Standalone'!$D$63:$S$63,0))),0),IF(COLUMN()=COLUMN($I$67),0,MAX(0,-G115))))</f>
        <v>0</v>
      </c>
      <c r="G67" s="53">
        <f>IF(YEAR(G$46)='Main Page &amp; Assumptions'!$D$14-1,'Pro Forma Opening BS'!$G$24,IF(YEAR(G$46)&lt;'Main Page &amp; Assumptions'!$D$14-1,IFERROR(N(INDEX('Olin Standalone'!$D$62:$S$104,MATCH($B67,'Olin Standalone'!$C$62:$C$104,0),MATCH(G$46,'Olin Standalone'!$D$62:$S$62,0))),0)+IFERROR(N(INDEX('Huntsman Standalone'!$D$63:$S$105,MATCH($B67,'Huntsman Standalone'!$C$63:$C$105,0),MATCH(G$46,'Huntsman Standalone'!$D$63:$S$63,0))),0),IF(COLUMN()=COLUMN($I$67),0,MAX(0,-H115))))</f>
        <v>528.09999999999991</v>
      </c>
      <c r="H67" s="53">
        <f>IF(YEAR(H$46)='Main Page &amp; Assumptions'!$D$14-1,'Pro Forma Opening BS'!$G$24,IF(YEAR(H$46)&lt;'Main Page &amp; Assumptions'!$D$14-1,IFERROR(N(INDEX('Olin Standalone'!$D$62:$S$104,MATCH($B67,'Olin Standalone'!$C$62:$C$104,0),MATCH(H$46,'Olin Standalone'!$D$62:$S$62,0))),0)+IFERROR(N(INDEX('Huntsman Standalone'!$D$63:$S$105,MATCH($B67,'Huntsman Standalone'!$C$63:$C$105,0),MATCH(H$46,'Huntsman Standalone'!$D$63:$S$63,0))),0),IF(COLUMN()=COLUMN($I$67),0,MAX(0,-I115))))</f>
        <v>0</v>
      </c>
      <c r="I67" s="101">
        <f>IF(YEAR(I$46)='Main Page &amp; Assumptions'!$D$14-1,'Pro Forma Opening BS'!$G$24,IF(YEAR(I$46)&lt;'Main Page &amp; Assumptions'!$D$14-1,IFERROR(N(INDEX('Olin Standalone'!$D$62:$S$104,MATCH($B67,'Olin Standalone'!$C$62:$C$104,0),MATCH(I$46,'Olin Standalone'!$D$62:$S$62,0))),0)+IFERROR(N(INDEX('Huntsman Standalone'!$D$63:$S$105,MATCH($B67,'Huntsman Standalone'!$C$63:$C$105,0),MATCH(I$46,'Huntsman Standalone'!$D$63:$S$63,0))),0),IF(COLUMN()=COLUMN($I$67),0,MAX(0,-J115))))</f>
        <v>0</v>
      </c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175.32202360000002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177.34105575999999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190.606073571596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197.56616622881921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209.82957962530452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219.12620743214927</v>
      </c>
      <c r="J69" s="48"/>
    </row>
    <row r="70" spans="1:10" x14ac:dyDescent="0.15">
      <c r="B70" s="88" t="s">
        <v>142</v>
      </c>
      <c r="C70" s="89">
        <f t="shared" ref="C70:I70" si="13">SUM(C65:C69)</f>
        <v>3218.4999999999995</v>
      </c>
      <c r="D70" s="289">
        <f t="shared" ca="1" si="13"/>
        <v>3166.0430508916165</v>
      </c>
      <c r="E70" s="290">
        <f t="shared" si="13"/>
        <v>2979.4692526170538</v>
      </c>
      <c r="F70" s="290">
        <f t="shared" si="13"/>
        <v>3145.2644095383289</v>
      </c>
      <c r="G70" s="290">
        <f t="shared" si="13"/>
        <v>3758.3149246935895</v>
      </c>
      <c r="H70" s="290">
        <f t="shared" si="13"/>
        <v>3380.9399518970695</v>
      </c>
      <c r="I70" s="291">
        <f t="shared" si="13"/>
        <v>3517.7016805882263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>
        <f>IF(YEAR(C$46)='Main Page &amp; Assumptions'!$D$14-1,'Pro Forma Opening BS'!$G$29,IF(YEAR(C$46)&lt;'Main Page &amp; Assumptions'!$D$14-1,IFERROR(N(INDEX('Olin Standalone'!$D$62:$S$104,MATCH($B72,'Olin Standalone'!$C$62:$C$104,0),MATCH(C$46,'Olin Standalone'!$D$62:$S$62,0))),0)+IFERROR(N(INDEX('Huntsman Standalone'!$D$63:$S$105,MATCH($B72,'Huntsman Standalone'!$C$63:$C$105,0),MATCH(C$46,'Huntsman Standalone'!$D$63:$S$63,0))),0),MAX(0,B67+B72+C115-C67)))</f>
        <v>4375.6000000000004</v>
      </c>
      <c r="D72" s="100">
        <f ca="1">IF(YEAR(D$46)='Main Page &amp; Assumptions'!$D$14-1,'Pro Forma Opening BS'!$G$29,IF(YEAR(D$46)&lt;'Main Page &amp; Assumptions'!$D$14-1,IFERROR(N(INDEX('Olin Standalone'!$D$62:$S$104,MATCH($B72,'Olin Standalone'!$C$62:$C$104,0),MATCH(D$46,'Olin Standalone'!$D$62:$S$62,0))),0)+IFERROR(N(INDEX('Huntsman Standalone'!$D$63:$S$105,MATCH($B72,'Huntsman Standalone'!$C$63:$C$105,0),MATCH(D$46,'Huntsman Standalone'!$D$63:$S$63,0))),0),MAX(0,C67+C72+D115-D67)))</f>
        <v>4016.7</v>
      </c>
      <c r="E72" s="53">
        <f ca="1">IF(YEAR(E$46)='Main Page &amp; Assumptions'!$D$14-1,'Pro Forma Opening BS'!$G$29,IF(YEAR(E$46)&lt;'Main Page &amp; Assumptions'!$D$14-1,IFERROR(N(INDEX('Olin Standalone'!$D$62:$S$104,MATCH($B72,'Olin Standalone'!$C$62:$C$104,0),MATCH(E$46,'Olin Standalone'!$D$62:$S$62,0))),0)+IFERROR(N(INDEX('Huntsman Standalone'!$D$63:$S$105,MATCH($B72,'Huntsman Standalone'!$C$63:$C$105,0),MATCH(E$46,'Huntsman Standalone'!$D$63:$S$63,0))),0),MAX(0,D67+D72+E115-E67)))</f>
        <v>4263.7</v>
      </c>
      <c r="F72" s="53">
        <f ca="1">IF(YEAR(F$46)='Main Page &amp; Assumptions'!$D$14-1,'Pro Forma Opening BS'!$G$29,IF(YEAR(F$46)&lt;'Main Page &amp; Assumptions'!$D$14-1,IFERROR(N(INDEX('Olin Standalone'!$D$62:$S$104,MATCH($B72,'Olin Standalone'!$C$62:$C$104,0),MATCH(F$46,'Olin Standalone'!$D$62:$S$62,0))),0)+IFERROR(N(INDEX('Huntsman Standalone'!$D$63:$S$105,MATCH($B72,'Huntsman Standalone'!$C$63:$C$105,0),MATCH(F$46,'Huntsman Standalone'!$D$63:$S$63,0))),0),MAX(0,E67+E72+F115-F67)))</f>
        <v>4263.7</v>
      </c>
      <c r="G72" s="53">
        <f ca="1">IF(YEAR(G$46)='Main Page &amp; Assumptions'!$D$14-1,'Pro Forma Opening BS'!$G$29,IF(YEAR(G$46)&lt;'Main Page &amp; Assumptions'!$D$14-1,IFERROR(N(INDEX('Olin Standalone'!$D$62:$S$104,MATCH($B72,'Olin Standalone'!$C$62:$C$104,0),MATCH(G$46,'Olin Standalone'!$D$62:$S$62,0))),0)+IFERROR(N(INDEX('Huntsman Standalone'!$D$63:$S$105,MATCH($B72,'Huntsman Standalone'!$C$63:$C$105,0),MATCH(G$46,'Huntsman Standalone'!$D$63:$S$63,0))),0),MAX(0,F67+F72+G115-G67)))</f>
        <v>3735.6</v>
      </c>
      <c r="H72" s="53">
        <f ca="1">IF(YEAR(H$46)='Main Page &amp; Assumptions'!$D$14-1,'Pro Forma Opening BS'!$G$29,IF(YEAR(H$46)&lt;'Main Page &amp; Assumptions'!$D$14-1,IFERROR(N(INDEX('Olin Standalone'!$D$62:$S$104,MATCH($B72,'Olin Standalone'!$C$62:$C$104,0),MATCH(H$46,'Olin Standalone'!$D$62:$S$62,0))),0)+IFERROR(N(INDEX('Huntsman Standalone'!$D$63:$S$105,MATCH($B72,'Huntsman Standalone'!$C$63:$C$105,0),MATCH(H$46,'Huntsman Standalone'!$D$63:$S$63,0))),0),MAX(0,G67+G72+H115-H67)))</f>
        <v>3735.6</v>
      </c>
      <c r="I72" s="101">
        <f ca="1">IF(YEAR(I$46)='Main Page &amp; Assumptions'!$D$14-1,'Pro Forma Opening BS'!$G$29,IF(YEAR(I$46)&lt;'Main Page &amp; Assumptions'!$D$14-1,IFERROR(N(INDEX('Olin Standalone'!$D$62:$S$104,MATCH($B72,'Olin Standalone'!$C$62:$C$104,0),MATCH(I$46,'Olin Standalone'!$D$62:$S$62,0))),0)+IFERROR(N(INDEX('Huntsman Standalone'!$D$63:$S$105,MATCH($B72,'Huntsman Standalone'!$C$63:$C$105,0),MATCH(I$46,'Huntsman Standalone'!$D$63:$S$63,0))),0),MAX(0,H67+H72+I115-I67)))</f>
        <v>3735.6</v>
      </c>
    </row>
    <row r="73" spans="1:10" x14ac:dyDescent="0.15">
      <c r="B73" s="41" t="s">
        <v>347</v>
      </c>
      <c r="C73" s="39">
        <f>IF(YEAR(C$46)='Main Page &amp; Assumptions'!$D$14-1,'Pro Forma Opening BS'!$G$30,IF(YEAR(C$46)&lt;'Main Page &amp; Assumptions'!$D$14-1,IFERROR(N(INDEX('Olin Standalone'!$D$62:$S$104,MATCH($B73,'Olin Standalone'!$C$62:$C$104,0),MATCH(C$46,'Olin Standalone'!$D$62:$S$62,0))),0)+IFERROR(N(INDEX('Huntsman Standalone'!$D$63:$S$105,MATCH($B73,'Huntsman Standalone'!$C$63:$C$105,0),MATCH(C$46,'Huntsman Standalone'!$D$63:$S$63,0))),0),B73+C100))</f>
        <v>0</v>
      </c>
      <c r="D73" s="100">
        <f>IF(YEAR(D$46)='Main Page &amp; Assumptions'!$D$14-1,'Pro Forma Opening BS'!$G$30,IF(YEAR(D$46)&lt;'Main Page &amp; Assumptions'!$D$14-1,IFERROR(N(INDEX('Olin Standalone'!$D$62:$S$104,MATCH($B73,'Olin Standalone'!$C$62:$C$104,0),MATCH(D$46,'Olin Standalone'!$D$62:$S$62,0))),0)+IFERROR(N(INDEX('Huntsman Standalone'!$D$63:$S$105,MATCH($B73,'Huntsman Standalone'!$C$63:$C$105,0),MATCH(D$46,'Huntsman Standalone'!$D$63:$S$63,0))),0),C73+D100))</f>
        <v>-24.173472222222223</v>
      </c>
      <c r="E73" s="53">
        <f ca="1">IF(YEAR(E$46)='Main Page &amp; Assumptions'!$D$14-1,'Pro Forma Opening BS'!$G$30,IF(YEAR(E$46)&lt;'Main Page &amp; Assumptions'!$D$14-1,IFERROR(N(INDEX('Olin Standalone'!$D$62:$S$104,MATCH($B73,'Olin Standalone'!$C$62:$C$104,0),MATCH(E$46,'Olin Standalone'!$D$62:$S$62,0))),0)+IFERROR(N(INDEX('Huntsman Standalone'!$D$63:$S$105,MATCH($B73,'Huntsman Standalone'!$C$63:$C$105,0),MATCH(E$46,'Huntsman Standalone'!$D$63:$S$63,0))),0),D73+E100))</f>
        <v>-18.246944444444445</v>
      </c>
      <c r="F73" s="53">
        <f ca="1">IF(YEAR(F$46)='Main Page &amp; Assumptions'!$D$14-1,'Pro Forma Opening BS'!$G$30,IF(YEAR(F$46)&lt;'Main Page &amp; Assumptions'!$D$14-1,IFERROR(N(INDEX('Olin Standalone'!$D$62:$S$104,MATCH($B73,'Olin Standalone'!$C$62:$C$104,0),MATCH(F$46,'Olin Standalone'!$D$62:$S$62,0))),0)+IFERROR(N(INDEX('Huntsman Standalone'!$D$63:$S$105,MATCH($B73,'Huntsman Standalone'!$C$63:$C$105,0),MATCH(F$46,'Huntsman Standalone'!$D$63:$S$63,0))),0),E73+F100))</f>
        <v>-12.695416666666667</v>
      </c>
      <c r="G73" s="53">
        <f ca="1">IF(YEAR(G$46)='Main Page &amp; Assumptions'!$D$14-1,'Pro Forma Opening BS'!$G$30,IF(YEAR(G$46)&lt;'Main Page &amp; Assumptions'!$D$14-1,IFERROR(N(INDEX('Olin Standalone'!$D$62:$S$104,MATCH($B73,'Olin Standalone'!$C$62:$C$104,0),MATCH(G$46,'Olin Standalone'!$D$62:$S$62,0))),0)+IFERROR(N(INDEX('Huntsman Standalone'!$D$63:$S$105,MATCH($B73,'Huntsman Standalone'!$C$63:$C$105,0),MATCH(G$46,'Huntsman Standalone'!$D$63:$S$63,0))),0),F73+G100))</f>
        <v>-7.1438888888888901</v>
      </c>
      <c r="H73" s="53">
        <f ca="1">IF(YEAR(H$46)='Main Page &amp; Assumptions'!$D$14-1,'Pro Forma Opening BS'!$G$30,IF(YEAR(H$46)&lt;'Main Page &amp; Assumptions'!$D$14-1,IFERROR(N(INDEX('Olin Standalone'!$D$62:$S$104,MATCH($B73,'Olin Standalone'!$C$62:$C$104,0),MATCH(H$46,'Olin Standalone'!$D$62:$S$62,0))),0)+IFERROR(N(INDEX('Huntsman Standalone'!$D$63:$S$105,MATCH($B73,'Huntsman Standalone'!$C$63:$C$105,0),MATCH(H$46,'Huntsman Standalone'!$D$63:$S$63,0))),0),G73+H100))</f>
        <v>-4.1173611111111121</v>
      </c>
      <c r="I73" s="101">
        <f ca="1">IF(YEAR(I$46)='Main Page &amp; Assumptions'!$D$14-1,'Pro Forma Opening BS'!$G$30,IF(YEAR(I$46)&lt;'Main Page &amp; Assumptions'!$D$14-1,IFERROR(N(INDEX('Olin Standalone'!$D$62:$S$104,MATCH($B73,'Olin Standalone'!$C$62:$C$104,0),MATCH(I$46,'Olin Standalone'!$D$62:$S$62,0))),0)+IFERROR(N(INDEX('Huntsman Standalone'!$D$63:$S$105,MATCH($B73,'Huntsman Standalone'!$C$63:$C$105,0),MATCH(I$46,'Huntsman Standalone'!$D$63:$S$63,0))),0),H73+I100))</f>
        <v>-2.6708333333333343</v>
      </c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si="14">SUM(C72:C74)</f>
        <v>4375.6000000000004</v>
      </c>
      <c r="D75" s="292">
        <f t="shared" ca="1" si="14"/>
        <v>3992.5265277777776</v>
      </c>
      <c r="E75" s="293">
        <f t="shared" ca="1" si="14"/>
        <v>4245.4530555555557</v>
      </c>
      <c r="F75" s="293">
        <f t="shared" ca="1" si="14"/>
        <v>4251.0045833333334</v>
      </c>
      <c r="G75" s="293">
        <f t="shared" ca="1" si="14"/>
        <v>3728.4561111111111</v>
      </c>
      <c r="H75" s="293">
        <f t="shared" ca="1" si="14"/>
        <v>3731.4826388888887</v>
      </c>
      <c r="I75" s="294">
        <f t="shared" ca="1" si="14"/>
        <v>3732.9291666666668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1679.2542418000003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1598.0706757850003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1721.5056287325101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1796.9584968595145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1910.9353665389453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2005.9740606464484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>
        <f>IF(
    YEAR(D$46)='Main Page &amp; Assumptions'!$D$14-1,
    'Pro Forma Opening BS'!$G$35,
    IF(
        YEAR(D$46)&gt;='Main Page &amp; Assumptions'!$D$14,
        C78+D$34,
        IFERROR(
            N(INDEX(
                'Olin Standalone'!$D$62:$S$104,
                MATCH($B78,'Olin Standalone'!$C$62:$C$104,0),
                MATCH(D$46,'Olin Standalone'!$D$62:$S$62,0)
            )),
            0
        )
        +
        IFERROR(
            N(INDEX(
                'Huntsman Standalone'!$D$63:$S$105,
                MATCH($B78,'Huntsman Standalone'!$C$63:$C$105,0),
                MATCH(D$46,'Huntsman Standalone'!$D$63:$S$63,0)
            )),
            0
        )
    )
)</f>
        <v>258.7</v>
      </c>
      <c r="E78" s="53">
        <f>IF(
    YEAR(E$46)='Main Page &amp; Assumptions'!$D$14-1,
    'Pro Forma Opening BS'!$G$35,
    IF(
        YEAR(E$46)&gt;='Main Page &amp; Assumptions'!$D$14,
        D78+E$34,
        IFERROR(
            N(INDEX(
                'Olin Standalone'!$D$62:$S$104,
                MATCH($B78,'Olin Standalone'!$C$62:$C$104,0),
                MATCH(E$46,'Olin Standalone'!$D$62:$S$62,0)
            )),
            0
        )
        +
        IFERROR(
            N(INDEX(
                'Huntsman Standalone'!$D$63:$S$105,
                MATCH($B78,'Huntsman Standalone'!$C$63:$C$105,0),
                MATCH(E$46,'Huntsman Standalone'!$D$63:$S$63,0)
            )),
            0
        )
    )
)</f>
        <v>261.7</v>
      </c>
      <c r="F78" s="53">
        <f>IF(
    YEAR(F$46)='Main Page &amp; Assumptions'!$D$14-1,
    'Pro Forma Opening BS'!$G$35,
    IF(
        YEAR(F$46)&gt;='Main Page &amp; Assumptions'!$D$14,
        E78+F$34,
        IFERROR(
            N(INDEX(
                'Olin Standalone'!$D$62:$S$104,
                MATCH($B78,'Olin Standalone'!$C$62:$C$104,0),
                MATCH(F$46,'Olin Standalone'!$D$62:$S$62,0)
            )),
            0
        )
        +
        IFERROR(
            N(INDEX(
                'Huntsman Standalone'!$D$63:$S$105,
                MATCH($B78,'Huntsman Standalone'!$C$63:$C$105,0),
                MATCH(F$46,'Huntsman Standalone'!$D$63:$S$63,0)
            )),
            0
        )
    )
)</f>
        <v>264.7</v>
      </c>
      <c r="G78" s="53">
        <f>IF(
    YEAR(G$46)='Main Page &amp; Assumptions'!$D$14-1,
    'Pro Forma Opening BS'!$G$35,
    IF(
        YEAR(G$46)&gt;='Main Page &amp; Assumptions'!$D$14,
        F78+G$34,
        IFERROR(
            N(INDEX(
                'Olin Standalone'!$D$62:$S$104,
                MATCH($B78,'Olin Standalone'!$C$62:$C$104,0),
                MATCH(G$46,'Olin Standalone'!$D$62:$S$62,0)
            )),
            0
        )
        +
        IFERROR(
            N(INDEX(
                'Huntsman Standalone'!$D$63:$S$105,
                MATCH($B78,'Huntsman Standalone'!$C$63:$C$105,0),
                MATCH(G$46,'Huntsman Standalone'!$D$63:$S$63,0)
            )),
            0
        )
    )
)</f>
        <v>267.7</v>
      </c>
      <c r="H78" s="53">
        <f>IF(
    YEAR(H$46)='Main Page &amp; Assumptions'!$D$14-1,
    'Pro Forma Opening BS'!$G$35,
    IF(
        YEAR(H$46)&gt;='Main Page &amp; Assumptions'!$D$14,
        G78+H$34,
        IFERROR(
            N(INDEX(
                'Olin Standalone'!$D$62:$S$104,
                MATCH($B78,'Olin Standalone'!$C$62:$C$104,0),
                MATCH(H$46,'Olin Standalone'!$D$62:$S$62,0)
            )),
            0
        )
        +
        IFERROR(
            N(INDEX(
                'Huntsman Standalone'!$D$63:$S$105,
                MATCH($B78,'Huntsman Standalone'!$C$63:$C$105,0),
                MATCH(H$46,'Huntsman Standalone'!$D$63:$S$63,0)
            )),
            0
        )
    )
)</f>
        <v>270.7</v>
      </c>
      <c r="I78" s="101">
        <f>IF(
    YEAR(I$46)='Main Page &amp; Assumptions'!$D$14-1,
    'Pro Forma Opening BS'!$G$35,
    IF(
        YEAR(I$46)&gt;='Main Page &amp; Assumptions'!$D$14,
        H78+I$34,
        IFERROR(
            N(INDEX(
                'Olin Standalone'!$D$62:$S$104,
                MATCH($B78,'Olin Standalone'!$C$62:$C$104,0),
                MATCH(I$46,'Olin Standalone'!$D$62:$S$62,0)
            )),
            0
        )
        +
        IFERROR(
            N(INDEX(
                'Huntsman Standalone'!$D$63:$S$105,
                MATCH($B78,'Huntsman Standalone'!$C$63:$C$105,0),
                MATCH(I$46,'Huntsman Standalone'!$D$63:$S$63,0)
            )),
            0
        )
    )
)</f>
        <v>273.7</v>
      </c>
    </row>
    <row r="79" spans="1:10" x14ac:dyDescent="0.15">
      <c r="B79" s="88" t="s">
        <v>149</v>
      </c>
      <c r="C79" s="89">
        <f t="shared" ref="C79:I79" si="15">SUM(C70,C75:C78)</f>
        <v>9774.9000000000015</v>
      </c>
      <c r="D79" s="289">
        <f t="shared" ca="1" si="15"/>
        <v>9636.6038204693941</v>
      </c>
      <c r="E79" s="290">
        <f t="shared" ca="1" si="15"/>
        <v>9614.9809839576101</v>
      </c>
      <c r="F79" s="290">
        <f t="shared" ca="1" si="15"/>
        <v>9902.9706216041741</v>
      </c>
      <c r="G79" s="290">
        <f t="shared" ca="1" si="15"/>
        <v>10062.133532664215</v>
      </c>
      <c r="H79" s="290">
        <f t="shared" ca="1" si="15"/>
        <v>9794.9699573249054</v>
      </c>
      <c r="I79" s="291">
        <f t="shared" ca="1" si="15"/>
        <v>10021.424907901343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0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211.72755999999998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212.22755999999998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212.72755999999998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213.22755999999998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213.72755999999998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214.22755999999998</v>
      </c>
    </row>
    <row r="82" spans="1:10" x14ac:dyDescent="0.15">
      <c r="B82" t="s">
        <v>153</v>
      </c>
      <c r="C82" s="39">
        <f>IF(YEAR(C$46)='Main Page &amp; Assumptions'!$D$14-1,'Pro Forma Opening BS'!$G$39,IF(YEAR(C$46)&gt;='Main Page &amp; Assumptions'!$D$14,B82+C99-(C81-B81),IFERROR(N(INDEX('Olin Standalone'!$D$62:$S$104,MATCH($B82,'Olin Standalone'!$C$62:$C$104,0),MATCH(C$46,'Olin Standalone'!$D$62:$S$62,0))),0)+IFERROR(N(INDEX('Huntsman Standalone'!$D$63:$S$105,MATCH($B82,'Huntsman Standalone'!$C$63:$C$105,0),MATCH(C$46,'Huntsman Standalone'!$D$63:$S$63,0))),0)))</f>
        <v>4261</v>
      </c>
      <c r="D82" s="100">
        <f>IF(
    YEAR(D$46)='Main Page &amp; Assumptions'!$D$14-1,
    'Pro Forma Opening BS'!$G$39,
    IF(
        YEAR(D$46)&gt;='Main Page &amp; Assumptions'!$D$14,
        C82+D99+D116-(D81-C81),
        IFERROR(
            N(INDEX(
                'Olin Standalone'!$D$62:$S$104,
                MATCH($B82,'Olin Standalone'!$C$62:$C$104,0),
                MATCH(D$46,'Olin Standalone'!$D$62:$S$62,0)
            )),
            0
        )
        +
        IFERROR(
            N(INDEX(
                'Huntsman Standalone'!$D$63:$S$105,
                MATCH($B82,'Huntsman Standalone'!$C$63:$C$105,0),
                MATCH(D$46,'Huntsman Standalone'!$D$63:$S$63,0)
            )),
            0
        )
    )
)</f>
        <v>2379.2592351999997</v>
      </c>
      <c r="E82" s="53">
        <f>IF(
    YEAR(E$46)='Main Page &amp; Assumptions'!$D$14-1,
    'Pro Forma Opening BS'!$G$39,
    IF(
        YEAR(E$46)&gt;='Main Page &amp; Assumptions'!$D$14,
        D82+E99+E116-(E81-D81),
        IFERROR(
            N(INDEX(
                'Olin Standalone'!$D$62:$S$104,
                MATCH($B82,'Olin Standalone'!$C$62:$C$104,0),
                MATCH(E$46,'Olin Standalone'!$D$62:$S$62,0)
            )),
            0
        )
        +
        IFERROR(
            N(INDEX(
                'Huntsman Standalone'!$D$63:$S$105,
                MATCH($B82,'Huntsman Standalone'!$C$63:$C$105,0),
                MATCH(E$46,'Huntsman Standalone'!$D$63:$S$63,0)
            )),
            0
        )
    )
)</f>
        <v>2440.7592351999997</v>
      </c>
      <c r="F82" s="53">
        <f>IF(
    YEAR(F$46)='Main Page &amp; Assumptions'!$D$14-1,
    'Pro Forma Opening BS'!$G$39,
    IF(
        YEAR(F$46)&gt;='Main Page &amp; Assumptions'!$D$14,
        E82+F99+F116-(F81-E81),
        IFERROR(
            N(INDEX(
                'Olin Standalone'!$D$62:$S$104,
                MATCH($B82,'Olin Standalone'!$C$62:$C$104,0),
                MATCH(F$46,'Olin Standalone'!$D$62:$S$62,0)
            )),
            0
        )
        +
        IFERROR(
            N(INDEX(
                'Huntsman Standalone'!$D$63:$S$105,
                MATCH($B82,'Huntsman Standalone'!$C$63:$C$105,0),
                MATCH(F$46,'Huntsman Standalone'!$D$63:$S$63,0)
            )),
            0
        )
    )
)</f>
        <v>2504.2592351999997</v>
      </c>
      <c r="G82" s="53">
        <f>IF(
    YEAR(G$46)='Main Page &amp; Assumptions'!$D$14-1,
    'Pro Forma Opening BS'!$G$39,
    IF(
        YEAR(G$46)&gt;='Main Page &amp; Assumptions'!$D$14,
        F82+G99+G116-(G81-F81),
        IFERROR(
            N(INDEX(
                'Olin Standalone'!$D$62:$S$104,
                MATCH($B82,'Olin Standalone'!$C$62:$C$104,0),
                MATCH(G$46,'Olin Standalone'!$D$62:$S$62,0)
            )),
            0
        )
        +
        IFERROR(
            N(INDEX(
                'Huntsman Standalone'!$D$63:$S$105,
                MATCH($B82,'Huntsman Standalone'!$C$63:$C$105,0),
                MATCH(G$46,'Huntsman Standalone'!$D$63:$S$63,0)
            )),
            0
        )
    )
)</f>
        <v>2568.7592351999997</v>
      </c>
      <c r="H82" s="53">
        <f>IF(
    YEAR(H$46)='Main Page &amp; Assumptions'!$D$14-1,
    'Pro Forma Opening BS'!$G$39,
    IF(
        YEAR(H$46)&gt;='Main Page &amp; Assumptions'!$D$14,
        G82+H99+H116-(H81-G81),
        IFERROR(
            N(INDEX(
                'Olin Standalone'!$D$62:$S$104,
                MATCH($B82,'Olin Standalone'!$C$62:$C$104,0),
                MATCH(H$46,'Olin Standalone'!$D$62:$S$62,0)
            )),
            0
        )
        +
        IFERROR(
            N(INDEX(
                'Huntsman Standalone'!$D$63:$S$105,
                MATCH($B82,'Huntsman Standalone'!$C$63:$C$105,0),
                MATCH(H$46,'Huntsman Standalone'!$D$63:$S$63,0)
            )),
            0
        )
    )
)</f>
        <v>2634.2592351999997</v>
      </c>
      <c r="I82" s="101">
        <f>IF(
    YEAR(I$46)='Main Page &amp; Assumptions'!$D$14-1,
    'Pro Forma Opening BS'!$G$39,
    IF(
        YEAR(I$46)&gt;='Main Page &amp; Assumptions'!$D$14,
        H82+I99+I116-(I81-H81),
        IFERROR(
            N(INDEX(
                'Olin Standalone'!$D$62:$S$104,
                MATCH($B82,'Olin Standalone'!$C$62:$C$104,0),
                MATCH(I$46,'Olin Standalone'!$D$62:$S$62,0)
            )),
            0
        )
        +
        IFERROR(
            N(INDEX(
                'Huntsman Standalone'!$D$63:$S$105,
                MATCH($B82,'Huntsman Standalone'!$C$63:$C$105,0),
                MATCH(I$46,'Huntsman Standalone'!$D$63:$S$63,0)
            )),
            0
        )
    )
)</f>
        <v>2699.7592351999997</v>
      </c>
    </row>
    <row r="83" spans="1:10" x14ac:dyDescent="0.15">
      <c r="B83" t="s">
        <v>279</v>
      </c>
      <c r="C83" s="39">
        <f>IF(YEAR(C$46)='Main Page &amp; Assumptions'!$D$14-1,'Pro Forma Opening BS'!$G$40,IF(YEAR(C$46)&gt;='Main Page &amp; Assumptions'!$D$14,B83+C35+C117,IFERROR(N(INDEX('Olin Standalone'!$D$62:$S$104,MATCH($B83,'Olin Standalone'!$C$62:$C$104,0),MATCH(C$46,'Olin Standalone'!$D$62:$S$62,0))),0)+IFERROR(N(INDEX('Huntsman Standalone'!$D$63:$S$105,MATCH($B83,'Huntsman Standalone'!$C$63:$C$105,0),MATCH(C$46,'Huntsman Standalone'!$D$63:$S$63,0))),0)))</f>
        <v>3949.8</v>
      </c>
      <c r="D83" s="100">
        <f ca="1">IF(YEAR(D$46)='Main Page &amp; Assumptions'!$D$14-1,'Pro Forma Opening BS'!$G$40,IF(YEAR(D$46)&gt;='Main Page &amp; Assumptions'!$D$14,C83+D35+D117,IFERROR(N(INDEX('Olin Standalone'!$D$62:$S$104,MATCH($B83,'Olin Standalone'!$C$62:$C$104,0),MATCH(D$46,'Olin Standalone'!$D$62:$S$62,0))),0)+IFERROR(N(INDEX('Huntsman Standalone'!$D$63:$S$105,MATCH($B83,'Huntsman Standalone'!$C$63:$C$105,0),MATCH(D$46,'Huntsman Standalone'!$D$63:$S$63,0))),0)))</f>
        <v>2025.3824908181336</v>
      </c>
      <c r="E83" s="53">
        <f ca="1">IF(YEAR(E$46)='Main Page &amp; Assumptions'!$D$14-1,'Pro Forma Opening BS'!$G$40,IF(YEAR(E$46)&gt;='Main Page &amp; Assumptions'!$D$14,D83+E35+E117,IFERROR(N(INDEX('Olin Standalone'!$D$62:$S$104,MATCH($B83,'Olin Standalone'!$C$62:$C$104,0),MATCH(E$46,'Olin Standalone'!$D$62:$S$62,0))),0)+IFERROR(N(INDEX('Huntsman Standalone'!$D$63:$S$105,MATCH($B83,'Huntsman Standalone'!$C$63:$C$105,0),MATCH(E$46,'Huntsman Standalone'!$D$63:$S$63,0))),0)))</f>
        <v>2124.8013997468684</v>
      </c>
      <c r="F83" s="53">
        <f ca="1">IF(YEAR(F$46)='Main Page &amp; Assumptions'!$D$14-1,'Pro Forma Opening BS'!$G$40,IF(YEAR(F$46)&gt;='Main Page &amp; Assumptions'!$D$14,E83+F35+F117,IFERROR(N(INDEX('Olin Standalone'!$D$62:$S$104,MATCH($B83,'Olin Standalone'!$C$62:$C$104,0),MATCH(F$46,'Olin Standalone'!$D$62:$S$62,0))),0)+IFERROR(N(INDEX('Huntsman Standalone'!$D$63:$S$105,MATCH($B83,'Huntsman Standalone'!$C$63:$C$105,0),MATCH(F$46,'Huntsman Standalone'!$D$63:$S$63,0))),0)))</f>
        <v>2711.3049973944676</v>
      </c>
      <c r="G83" s="53">
        <f ca="1">IF(YEAR(G$46)='Main Page &amp; Assumptions'!$D$14-1,'Pro Forma Opening BS'!$G$40,IF(YEAR(G$46)&gt;='Main Page &amp; Assumptions'!$D$14,F83+G35+G117,IFERROR(N(INDEX('Olin Standalone'!$D$62:$S$104,MATCH($B83,'Olin Standalone'!$C$62:$C$104,0),MATCH(G$46,'Olin Standalone'!$D$62:$S$62,0))),0)+IFERROR(N(INDEX('Huntsman Standalone'!$D$63:$S$105,MATCH($B83,'Huntsman Standalone'!$C$63:$C$105,0),MATCH(G$46,'Huntsman Standalone'!$D$63:$S$63,0))),0)))</f>
        <v>3658.1759492235205</v>
      </c>
      <c r="H83" s="53">
        <f ca="1">IF(YEAR(H$46)='Main Page &amp; Assumptions'!$D$14-1,'Pro Forma Opening BS'!$G$40,IF(YEAR(H$46)&gt;='Main Page &amp; Assumptions'!$D$14,G83+H35+H117,IFERROR(N(INDEX('Olin Standalone'!$D$62:$S$104,MATCH($B83,'Olin Standalone'!$C$62:$C$104,0),MATCH(H$46,'Olin Standalone'!$D$62:$S$62,0))),0)+IFERROR(N(INDEX('Huntsman Standalone'!$D$63:$S$105,MATCH($B83,'Huntsman Standalone'!$C$63:$C$105,0),MATCH(H$46,'Huntsman Standalone'!$D$63:$S$63,0))),0)))</f>
        <v>5018.2344634156871</v>
      </c>
      <c r="I83" s="101">
        <f ca="1">IF(YEAR(I$46)='Main Page &amp; Assumptions'!$D$14-1,'Pro Forma Opening BS'!$G$40,IF(YEAR(I$46)&gt;='Main Page &amp; Assumptions'!$D$14,H83+I35+I117,IFERROR(N(INDEX('Olin Standalone'!$D$62:$S$104,MATCH($B83,'Olin Standalone'!$C$62:$C$104,0),MATCH(I$46,'Olin Standalone'!$D$62:$S$62,0))),0)+IFERROR(N(INDEX('Huntsman Standalone'!$D$63:$S$105,MATCH($B83,'Huntsman Standalone'!$C$63:$C$105,0),MATCH(I$46,'Huntsman Standalone'!$D$63:$S$63,0))),0)))</f>
        <v>6714.9332582126308</v>
      </c>
    </row>
    <row r="84" spans="1:10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0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0" x14ac:dyDescent="0.15">
      <c r="B86" s="88" t="s">
        <v>159</v>
      </c>
      <c r="C86" s="89">
        <f t="shared" ref="C86:I86" si="16">SUM(C81:C85)</f>
        <v>4565.9000000000015</v>
      </c>
      <c r="D86" s="289">
        <f t="shared" ca="1" si="16"/>
        <v>4201.8692860181327</v>
      </c>
      <c r="E86" s="290">
        <f t="shared" ca="1" si="16"/>
        <v>4363.2881949468683</v>
      </c>
      <c r="F86" s="290">
        <f t="shared" ca="1" si="16"/>
        <v>5013.7917925944676</v>
      </c>
      <c r="G86" s="290">
        <f t="shared" ca="1" si="16"/>
        <v>6025.6627444235201</v>
      </c>
      <c r="H86" s="290">
        <f t="shared" ca="1" si="16"/>
        <v>7451.7212586156866</v>
      </c>
      <c r="I86" s="291">
        <f t="shared" ca="1" si="16"/>
        <v>9214.4200534126303</v>
      </c>
    </row>
    <row r="87" spans="1:10" x14ac:dyDescent="0.15">
      <c r="C87" s="39"/>
      <c r="D87" s="98"/>
      <c r="E87" s="39"/>
      <c r="F87" s="39"/>
      <c r="G87" s="39"/>
      <c r="H87" s="39"/>
      <c r="I87" s="99"/>
    </row>
    <row r="88" spans="1:10" ht="14" thickBot="1" x14ac:dyDescent="0.2">
      <c r="B88" s="133" t="s">
        <v>282</v>
      </c>
      <c r="C88" s="135">
        <f t="shared" ref="C88:I88" si="17">C79+C86</f>
        <v>14340.800000000003</v>
      </c>
      <c r="D88" s="134">
        <f t="shared" ca="1" si="17"/>
        <v>13838.473106487527</v>
      </c>
      <c r="E88" s="135">
        <f t="shared" ca="1" si="17"/>
        <v>13978.269178904478</v>
      </c>
      <c r="F88" s="135">
        <f t="shared" ca="1" si="17"/>
        <v>14916.762414198642</v>
      </c>
      <c r="G88" s="135">
        <f t="shared" ca="1" si="17"/>
        <v>16087.796277087735</v>
      </c>
      <c r="H88" s="135">
        <f t="shared" ca="1" si="17"/>
        <v>17246.691215940591</v>
      </c>
      <c r="I88" s="136">
        <f t="shared" ca="1" si="17"/>
        <v>19235.844961313975</v>
      </c>
    </row>
    <row r="89" spans="1:10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0" x14ac:dyDescent="0.15">
      <c r="B90" s="41" t="s">
        <v>397</v>
      </c>
      <c r="C90" s="12">
        <f t="shared" ref="C90:I90" si="18">C63-C88</f>
        <v>0</v>
      </c>
      <c r="D90" s="137">
        <f t="shared" ca="1" si="18"/>
        <v>0</v>
      </c>
      <c r="E90" s="52">
        <f t="shared" ca="1" si="18"/>
        <v>0</v>
      </c>
      <c r="F90" s="52">
        <f t="shared" ca="1" si="18"/>
        <v>0</v>
      </c>
      <c r="G90" s="52">
        <f t="shared" ca="1" si="18"/>
        <v>0</v>
      </c>
      <c r="H90" s="52">
        <f t="shared" ca="1" si="18"/>
        <v>0</v>
      </c>
      <c r="I90" s="138">
        <f t="shared" ca="1" si="18"/>
        <v>0</v>
      </c>
    </row>
    <row r="91" spans="1:10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212.12755999999999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212.62755999999999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213.12755999999999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213.62755999999999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214.12755999999999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214.62755999999999</v>
      </c>
    </row>
    <row r="92" spans="1:10" ht="34" customHeight="1" x14ac:dyDescent="0.15">
      <c r="C92" s="320"/>
      <c r="D92" s="321" t="str">
        <f>IF(YEAR(D$6)='Main Page &amp; Assumptions'!$D$14,"Pro Forma Year","")</f>
        <v/>
      </c>
      <c r="E92" s="321" t="str">
        <f>IF(YEAR(E$6)='Main Page &amp; Assumptions'!$D$14,"Pro Forma Year","")</f>
        <v>Pro Forma Year</v>
      </c>
      <c r="F92" s="321" t="str">
        <f>IF(YEAR(F$6)='Main Page &amp; Assumptions'!$D$14,"Pro Forma Year","")</f>
        <v/>
      </c>
      <c r="G92" s="321" t="str">
        <f>IF(YEAR(G$6)='Main Page &amp; Assumptions'!$D$14,"Pro Forma Year","")</f>
        <v/>
      </c>
      <c r="H92" s="321" t="str">
        <f>IF(YEAR(H$6)='Main Page &amp; Assumptions'!$D$14,"Pro Forma Year","")</f>
        <v/>
      </c>
      <c r="I92" s="321" t="str">
        <f>IF(YEAR(I$6)='Main Page &amp; Assumptions'!$D$14,"Pro Forma Year","")</f>
        <v/>
      </c>
    </row>
    <row r="93" spans="1:10" ht="16" x14ac:dyDescent="0.15">
      <c r="B93" s="343" t="s">
        <v>405</v>
      </c>
      <c r="C93" s="343"/>
      <c r="D93" s="343"/>
      <c r="E93" s="343"/>
      <c r="F93" s="343"/>
      <c r="G93" s="343"/>
      <c r="H93" s="343"/>
      <c r="I93" s="343"/>
    </row>
    <row r="94" spans="1:10" x14ac:dyDescent="0.15">
      <c r="B94" s="90"/>
      <c r="C94" s="186"/>
      <c r="D94" s="338" t="s">
        <v>400</v>
      </c>
      <c r="E94" s="339"/>
      <c r="F94" s="339"/>
      <c r="G94" s="339"/>
      <c r="H94" s="339"/>
      <c r="I94" s="340"/>
    </row>
    <row r="95" spans="1:10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0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12.892834080355904</v>
      </c>
      <c r="E97" s="39">
        <f t="shared" ca="1" si="20"/>
        <v>272.5209569287349</v>
      </c>
      <c r="F97" s="39">
        <f t="shared" ca="1" si="20"/>
        <v>760.00564564759884</v>
      </c>
      <c r="G97" s="39">
        <f t="shared" ca="1" si="20"/>
        <v>1120.7729998290529</v>
      </c>
      <c r="H97" s="39">
        <f t="shared" ca="1" si="20"/>
        <v>1534.3605621921665</v>
      </c>
      <c r="I97" s="99">
        <f t="shared" ca="1" si="20"/>
        <v>1871.4008427969438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828.73250958431936</v>
      </c>
      <c r="F98" s="39">
        <f>'Pro Forma D&amp;A'!F31</f>
        <v>849.01234151547294</v>
      </c>
      <c r="G98" s="39">
        <f>'Pro Forma D&amp;A'!G31</f>
        <v>870.67791944896339</v>
      </c>
      <c r="H98" s="39">
        <f>'Pro Forma D&amp;A'!H31</f>
        <v>884.57195271280307</v>
      </c>
      <c r="I98" s="99">
        <f>'Pro Forma D&amp;A'!I31</f>
        <v>908.61903026551784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783.16666259857607</v>
      </c>
      <c r="E101" s="52">
        <f t="shared" si="21"/>
        <v>764.85429986621602</v>
      </c>
      <c r="F101" s="52">
        <f t="shared" si="21"/>
        <v>831.71830828698285</v>
      </c>
      <c r="G101" s="52">
        <f t="shared" si="21"/>
        <v>877.84803314185956</v>
      </c>
      <c r="H101" s="52">
        <f t="shared" si="21"/>
        <v>938.49674414620142</v>
      </c>
      <c r="I101" s="138">
        <f t="shared" si="21"/>
        <v>990.84110148447201</v>
      </c>
    </row>
    <row r="102" spans="1:9" x14ac:dyDescent="0.15">
      <c r="B102" s="2" t="s">
        <v>460</v>
      </c>
      <c r="C102" s="39">
        <f t="shared" ref="C102:I102" si="22">IF(COLUMN()=COLUMN($C$102),0,B101-C101)</f>
        <v>0</v>
      </c>
      <c r="D102" s="98">
        <f t="shared" si="22"/>
        <v>-100.46666259857602</v>
      </c>
      <c r="E102" s="39">
        <f t="shared" si="22"/>
        <v>18.312362732360043</v>
      </c>
      <c r="F102" s="39">
        <f t="shared" si="22"/>
        <v>-66.864008420766822</v>
      </c>
      <c r="G102" s="39">
        <f t="shared" si="22"/>
        <v>-46.129724854876713</v>
      </c>
      <c r="H102" s="39">
        <f t="shared" si="22"/>
        <v>-60.648711004341862</v>
      </c>
      <c r="I102" s="99">
        <f t="shared" si="22"/>
        <v>-52.344357338270584</v>
      </c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17.986611200000027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-159.17919373999996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13.790025271247714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-4.9879334521612009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12.107050257604783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0.69311937436526705</v>
      </c>
    </row>
    <row r="105" spans="1:9" x14ac:dyDescent="0.15">
      <c r="B105" s="88" t="s">
        <v>284</v>
      </c>
      <c r="C105" s="89">
        <f t="shared" ref="C105:I105" si="23">SUM(C97:C100,C102:C104)</f>
        <v>137.09999999999991</v>
      </c>
      <c r="D105" s="289">
        <f t="shared" ca="1" si="23"/>
        <v>492.6461930227577</v>
      </c>
      <c r="E105" s="290">
        <f t="shared" ca="1" si="23"/>
        <v>1016.313163283192</v>
      </c>
      <c r="F105" s="290">
        <f t="shared" ca="1" si="23"/>
        <v>1611.4955317913302</v>
      </c>
      <c r="G105" s="290">
        <f t="shared" ca="1" si="23"/>
        <v>1995.8847887487559</v>
      </c>
      <c r="H105" s="290">
        <f t="shared" ca="1" si="23"/>
        <v>2423.4173819360103</v>
      </c>
      <c r="I105" s="291">
        <f t="shared" ca="1" si="23"/>
        <v>2779.8151628763339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-400.44544080000003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-413.41680325679999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-445.35946775007073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-464.91274788115533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-494.40748223330218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-519.02366342530877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4">SUM(C107:C111)</f>
        <v>-507.40000000000003</v>
      </c>
      <c r="D112" s="302">
        <f t="shared" si="24"/>
        <v>-400.44544080000003</v>
      </c>
      <c r="E112" s="303">
        <f t="shared" si="24"/>
        <v>-413.41680325679999</v>
      </c>
      <c r="F112" s="303">
        <f t="shared" si="24"/>
        <v>-445.35946775007073</v>
      </c>
      <c r="G112" s="303">
        <f t="shared" si="24"/>
        <v>-464.91274788115533</v>
      </c>
      <c r="H112" s="303">
        <f t="shared" si="24"/>
        <v>-494.40748223330218</v>
      </c>
      <c r="I112" s="304">
        <f t="shared" si="24"/>
        <v>-519.02366342530877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0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60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12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14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15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16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16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-237.5872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-170.102048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-170.502048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-170.90204800000001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-171.30204800000001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-171.70204799999999</v>
      </c>
    </row>
    <row r="118" spans="2:9" x14ac:dyDescent="0.15">
      <c r="B118" s="88" t="s">
        <v>294</v>
      </c>
      <c r="C118" s="89">
        <f t="shared" ref="C118:I118" si="25">SUM(C114:C117)</f>
        <v>291.99999999999989</v>
      </c>
      <c r="D118" s="289">
        <f t="shared" ca="1" si="25"/>
        <v>-287.28719999999998</v>
      </c>
      <c r="E118" s="290">
        <f t="shared" si="25"/>
        <v>-158.102048</v>
      </c>
      <c r="F118" s="290">
        <f t="shared" si="25"/>
        <v>-156.502048</v>
      </c>
      <c r="G118" s="290">
        <f t="shared" si="25"/>
        <v>-155.90204800000001</v>
      </c>
      <c r="H118" s="290">
        <f t="shared" si="25"/>
        <v>-683.40204799999992</v>
      </c>
      <c r="I118" s="291">
        <f t="shared" si="25"/>
        <v>-155.70204799999999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si="26">C105+C112+C118+C120</f>
        <v>-69.900000000000233</v>
      </c>
      <c r="D121" s="94">
        <f t="shared" ca="1" si="26"/>
        <v>-195.08644777724231</v>
      </c>
      <c r="E121" s="89">
        <f t="shared" ca="1" si="26"/>
        <v>444.79431202639205</v>
      </c>
      <c r="F121" s="89">
        <f t="shared" ca="1" si="26"/>
        <v>1009.6340160412594</v>
      </c>
      <c r="G121" s="89">
        <f t="shared" ca="1" si="26"/>
        <v>1375.0699928676006</v>
      </c>
      <c r="H121" s="89">
        <f t="shared" ca="1" si="26"/>
        <v>1245.6078517027081</v>
      </c>
      <c r="I121" s="95">
        <f t="shared" ca="1" si="26"/>
        <v>2105.0894514510251</v>
      </c>
    </row>
    <row r="122" spans="2:9" x14ac:dyDescent="0.15">
      <c r="B122" t="s">
        <v>295</v>
      </c>
      <c r="C122" s="39">
        <f>IF(YEAR(C$95)='Main Page &amp; Assumptions'!$D$14,'Pro Forma Opening BS'!$G$5,IF(COLUMN()=COLUMN($C$122),IFERROR(N(INDEX('Olin Standalone'!$D$112:$S$144,MATCH($B122,'Olin Standalone'!$C$112:$C$144,0),MATCH(C$95,'Olin Standalone'!$D$111:$S$111,0))),0)+IFERROR(N(INDEX('Huntsman Standalone'!$D$113:$S$145,MATCH($B122,'Huntsman Standalone'!$C$113:$C$145,0),MATCH(C$95,'Huntsman Standalone'!$D$112:$S$112,0))),0),B123))</f>
        <v>515.6</v>
      </c>
      <c r="D122" s="98">
        <f>IF(YEAR(D$95)='Main Page &amp; Assumptions'!$D$14,'Pro Forma Opening BS'!$G$5,IF(COLUMN()=COLUMN($C$122),IFERROR(N(INDEX('Olin Standalone'!$D$112:$S$144,MATCH($B122,'Olin Standalone'!$C$112:$C$144,0),MATCH(D$95,'Olin Standalone'!$D$111:$S$111,0))),0)+IFERROR(N(INDEX('Huntsman Standalone'!$D$113:$S$145,MATCH($B122,'Huntsman Standalone'!$C$113:$C$145,0),MATCH(D$95,'Huntsman Standalone'!$D$112:$S$112,0))),0),C123))</f>
        <v>445.69999999999982</v>
      </c>
      <c r="E122" s="39">
        <f ca="1">IF(YEAR(E$95)='Main Page &amp; Assumptions'!$D$14,'Pro Forma Opening BS'!$G$5,IF(COLUMN()=COLUMN($C$122),IFERROR(N(INDEX('Olin Standalone'!$D$112:$S$144,MATCH($B122,'Olin Standalone'!$C$112:$C$144,0),MATCH(E$95,'Olin Standalone'!$D$111:$S$111,0))),0)+IFERROR(N(INDEX('Huntsman Standalone'!$D$113:$S$145,MATCH($B122,'Huntsman Standalone'!$C$113:$C$145,0),MATCH(E$95,'Huntsman Standalone'!$D$112:$S$112,0))),0),D123))</f>
        <v>143.73931694070689</v>
      </c>
      <c r="F122" s="39">
        <f ca="1">IF(YEAR(F$95)='Main Page &amp; Assumptions'!$D$14,'Pro Forma Opening BS'!$G$5,IF(COLUMN()=COLUMN($C$122),IFERROR(N(INDEX('Olin Standalone'!$D$112:$S$144,MATCH($B122,'Olin Standalone'!$C$112:$C$144,0),MATCH(F$95,'Olin Standalone'!$D$111:$S$111,0))),0)+IFERROR(N(INDEX('Huntsman Standalone'!$D$113:$S$145,MATCH($B122,'Huntsman Standalone'!$C$113:$C$145,0),MATCH(F$95,'Huntsman Standalone'!$D$112:$S$112,0))),0),E123))</f>
        <v>588.53362896709893</v>
      </c>
      <c r="G122" s="39">
        <f ca="1">IF(YEAR(G$95)='Main Page &amp; Assumptions'!$D$14,'Pro Forma Opening BS'!$G$5,IF(COLUMN()=COLUMN($C$122),IFERROR(N(INDEX('Olin Standalone'!$D$112:$S$144,MATCH($B122,'Olin Standalone'!$C$112:$C$144,0),MATCH(G$95,'Olin Standalone'!$D$111:$S$111,0))),0)+IFERROR(N(INDEX('Huntsman Standalone'!$D$113:$S$145,MATCH($B122,'Huntsman Standalone'!$C$113:$C$145,0),MATCH(G$95,'Huntsman Standalone'!$D$112:$S$112,0))),0),F123))</f>
        <v>1598.1676450083582</v>
      </c>
      <c r="H122" s="39">
        <f ca="1">IF(YEAR(H$95)='Main Page &amp; Assumptions'!$D$14,'Pro Forma Opening BS'!$G$5,IF(COLUMN()=COLUMN($C$122),IFERROR(N(INDEX('Olin Standalone'!$D$112:$S$144,MATCH($B122,'Olin Standalone'!$C$112:$C$144,0),MATCH(H$95,'Olin Standalone'!$D$111:$S$111,0))),0)+IFERROR(N(INDEX('Huntsman Standalone'!$D$113:$S$145,MATCH($B122,'Huntsman Standalone'!$C$113:$C$145,0),MATCH(H$95,'Huntsman Standalone'!$D$112:$S$112,0))),0),G123))</f>
        <v>2973.2376378759591</v>
      </c>
      <c r="I122" s="99">
        <f ca="1">IF(YEAR(I$95)='Main Page &amp; Assumptions'!$D$14,'Pro Forma Opening BS'!$G$5,IF(COLUMN()=COLUMN($C$122),IFERROR(N(INDEX('Olin Standalone'!$D$112:$S$144,MATCH($B122,'Olin Standalone'!$C$112:$C$144,0),MATCH(I$95,'Olin Standalone'!$D$111:$S$111,0))),0)+IFERROR(N(INDEX('Huntsman Standalone'!$D$113:$S$145,MATCH($B122,'Huntsman Standalone'!$C$113:$C$145,0),MATCH(I$95,'Huntsman Standalone'!$D$112:$S$112,0))),0),H123))</f>
        <v>4218.8454895786672</v>
      </c>
    </row>
    <row r="123" spans="2:9" ht="14" thickBot="1" x14ac:dyDescent="0.2">
      <c r="B123" s="133" t="s">
        <v>296</v>
      </c>
      <c r="C123" s="135">
        <f t="shared" ref="C123:I123" si="27">C122+C121</f>
        <v>445.69999999999982</v>
      </c>
      <c r="D123" s="134">
        <f t="shared" ca="1" si="27"/>
        <v>250.61355222275751</v>
      </c>
      <c r="E123" s="135">
        <f t="shared" ca="1" si="27"/>
        <v>588.53362896709893</v>
      </c>
      <c r="F123" s="135">
        <f t="shared" ca="1" si="27"/>
        <v>1598.1676450083582</v>
      </c>
      <c r="G123" s="135">
        <f t="shared" ca="1" si="27"/>
        <v>2973.2376378759591</v>
      </c>
      <c r="H123" s="135">
        <f t="shared" ca="1" si="27"/>
        <v>4218.8454895786672</v>
      </c>
      <c r="I123" s="136">
        <f t="shared" ca="1" si="27"/>
        <v>6323.9349410296927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8">C22</f>
        <v>-125.70000000000073</v>
      </c>
      <c r="D125" s="98">
        <f t="shared" si="28"/>
        <v>233.50960248000047</v>
      </c>
      <c r="E125" s="39">
        <f t="shared" si="28"/>
        <v>546.15981059628871</v>
      </c>
      <c r="F125" s="39">
        <f t="shared" si="28"/>
        <v>1186.2120325947938</v>
      </c>
      <c r="G125" s="39">
        <f t="shared" si="28"/>
        <v>1659.9059196756546</v>
      </c>
      <c r="H125" s="39">
        <f t="shared" si="28"/>
        <v>2186.2160416797515</v>
      </c>
      <c r="I125" s="99">
        <f t="shared" si="28"/>
        <v>2612.7510561070894</v>
      </c>
    </row>
    <row r="126" spans="2:9" x14ac:dyDescent="0.15">
      <c r="B126" s="48" t="s">
        <v>188</v>
      </c>
      <c r="C126" s="57">
        <f t="shared" ref="C126:I126" si="29">C125+C98</f>
        <v>395.89999999999918</v>
      </c>
      <c r="D126" s="96">
        <f t="shared" si="29"/>
        <v>739.81648504320049</v>
      </c>
      <c r="E126" s="57">
        <f t="shared" si="29"/>
        <v>1374.8923201806081</v>
      </c>
      <c r="F126" s="57">
        <f t="shared" si="29"/>
        <v>2035.2243741102666</v>
      </c>
      <c r="G126" s="57">
        <f t="shared" si="29"/>
        <v>2530.583839124618</v>
      </c>
      <c r="H126" s="57">
        <f t="shared" si="29"/>
        <v>3070.7879943925545</v>
      </c>
      <c r="I126" s="97">
        <f t="shared" si="29"/>
        <v>3521.3700863726071</v>
      </c>
    </row>
    <row r="127" spans="2:9" x14ac:dyDescent="0.15">
      <c r="B127" t="s">
        <v>198</v>
      </c>
      <c r="C127" s="39">
        <f t="shared" ref="C127:I127" si="30">C67+C75-C48</f>
        <v>4241.7</v>
      </c>
      <c r="D127" s="98">
        <f t="shared" ca="1" si="30"/>
        <v>4095.7872108370711</v>
      </c>
      <c r="E127" s="39">
        <f t="shared" ca="1" si="30"/>
        <v>3656.9194265884566</v>
      </c>
      <c r="F127" s="39">
        <f t="shared" ca="1" si="30"/>
        <v>2652.8369383249751</v>
      </c>
      <c r="G127" s="39">
        <f t="shared" ca="1" si="30"/>
        <v>1283.3184732351519</v>
      </c>
      <c r="H127" s="39">
        <f t="shared" ca="1" si="30"/>
        <v>-487.3628506897785</v>
      </c>
      <c r="I127" s="99">
        <f t="shared" ca="1" si="30"/>
        <v>-2591.0057743630259</v>
      </c>
    </row>
    <row r="128" spans="2:9" x14ac:dyDescent="0.15">
      <c r="B128" s="48" t="s">
        <v>297</v>
      </c>
      <c r="C128" s="57">
        <f t="shared" ref="C128:I128" si="31">C105+C107</f>
        <v>-262.2000000000001</v>
      </c>
      <c r="D128" s="140">
        <f t="shared" ca="1" si="31"/>
        <v>92.200752222757671</v>
      </c>
      <c r="E128" s="141">
        <f t="shared" ca="1" si="31"/>
        <v>602.89636002639202</v>
      </c>
      <c r="F128" s="141">
        <f t="shared" ca="1" si="31"/>
        <v>1166.1360640412595</v>
      </c>
      <c r="G128" s="141">
        <f t="shared" ca="1" si="31"/>
        <v>1530.9720408676005</v>
      </c>
      <c r="H128" s="141">
        <f t="shared" ca="1" si="31"/>
        <v>1929.009899702708</v>
      </c>
      <c r="I128" s="142">
        <f t="shared" ca="1" si="31"/>
        <v>2260.7914994510252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5217A2A-04AC-2E47-9BC9-FCBA1E44E590}">
            <xm:f>YEAR(D$6)='Main Page &amp; Assumptions'!$D$14-1</xm:f>
            <x14:dxf>
              <font>
                <b/>
                <i val="0"/>
                <color theme="7"/>
              </font>
            </x14:dxf>
          </x14:cfRule>
          <xm:sqref>D43:I43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topLeftCell="K1" zoomScale="86" workbookViewId="0">
      <selection activeCell="F20" sqref="F20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4" t="s">
        <v>22</v>
      </c>
      <c r="C3" s="345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4" t="s">
        <v>26</v>
      </c>
      <c r="C30" s="345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M48"/>
  <sheetViews>
    <sheetView showGridLines="0" topLeftCell="A3" workbookViewId="0">
      <selection activeCell="N30" sqref="N30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2" width="10.83203125" style="236"/>
    <col min="13" max="13" width="0" style="236" hidden="1" customWidth="1"/>
    <col min="14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6" t="s">
        <v>498</v>
      </c>
      <c r="C3" s="346"/>
      <c r="D3" s="346"/>
      <c r="E3" s="346"/>
      <c r="F3" s="346"/>
      <c r="G3" s="346"/>
    </row>
    <row r="4" spans="1:7" ht="63" customHeight="1" x14ac:dyDescent="0.15">
      <c r="B4" s="245">
        <f>DATE('Main Page &amp; Assumptions'!$D$14,12,31)</f>
        <v>46752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332.73756288686775</v>
      </c>
      <c r="D5" s="244">
        <f>INDEX('Huntsman Standalone'!$C65:$R65,1,MATCH(DATE('Main Page &amp; Assumptions'!$D$14-1,12,31),'Huntsman Standalone'!$C$63:$R$63,0))</f>
        <v>362.00175405383914</v>
      </c>
      <c r="E5" s="244"/>
      <c r="F5" s="244">
        <f ca="1">-'Sources and Uses'!$C$34</f>
        <v>-551</v>
      </c>
      <c r="G5" s="244">
        <f ca="1">SUM(C5:F5)</f>
        <v>143.73931694070689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1027.6420986301371</v>
      </c>
      <c r="G6" s="236">
        <f t="shared" ref="G6:G42" si="0">SUM(C6:F6)</f>
        <v>1994.1067360000002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822.91505306827412</v>
      </c>
      <c r="D7" s="236">
        <f>INDEX('Huntsman Standalone'!$C67:$R67,1,MATCH(DATE('Main Page &amp; Assumptions'!$D$14-1,12,31),'Huntsman Standalone'!$C$63:$R$63,0))</f>
        <v>619.36494682191778</v>
      </c>
      <c r="G7" s="236">
        <f t="shared" si="0"/>
        <v>1442.2799998901919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101.45859900000001</v>
      </c>
      <c r="G8" s="236">
        <f t="shared" si="0"/>
        <v>101.45859900000001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49.806948599999998</v>
      </c>
      <c r="G9" s="236">
        <f t="shared" si="0"/>
        <v>164.36437860000001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2236.6746833250049</v>
      </c>
      <c r="D10" s="262">
        <f>INDEX('Huntsman Standalone'!$C70:$R70,1,MATCH(DATE('Main Page &amp; Assumptions'!$D$14-1,12,31),'Huntsman Standalone'!$C$63:$R$63,0))</f>
        <v>2160.2743471058939</v>
      </c>
      <c r="E10" s="262"/>
      <c r="F10" s="262"/>
      <c r="G10" s="262">
        <f ca="1">SUM(G5:G9)</f>
        <v>3845.9490304308993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7263.4701800000003</v>
      </c>
      <c r="E12" s="236">
        <f>'PPA &amp; Goodwill'!C18-'PPA &amp; Goodwill'!C23</f>
        <v>352</v>
      </c>
      <c r="G12" s="236">
        <f t="shared" si="0"/>
        <v>15835.645440800001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-4490.2257647179486</v>
      </c>
      <c r="G13" s="236">
        <f t="shared" si="0"/>
        <v>-10469.432647281148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2773.2444152820517</v>
      </c>
      <c r="E14" s="264">
        <f>E12+E13</f>
        <v>352</v>
      </c>
      <c r="F14" s="264"/>
      <c r="G14" s="264">
        <f>SUM(G12:G13)</f>
        <v>5366.2127935188528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-175.85634806222242</v>
      </c>
      <c r="G15" s="236">
        <f>SUM(C15:F15)</f>
        <v>1881.7436519377775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13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13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922.96580060000008</v>
      </c>
      <c r="G18" s="236">
        <f t="shared" si="0"/>
        <v>1177.6676306000002</v>
      </c>
    </row>
    <row r="19" spans="2:13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13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7315.8448915618073</v>
      </c>
      <c r="D20" s="263">
        <f>INDEX('Huntsman Standalone'!$C80:$R80,1,MATCH(DATE('Main Page &amp; Assumptions'!$D$14-1,12,31),'Huntsman Standalone'!$C$63:$R$63,0))</f>
        <v>7069.4845629879455</v>
      </c>
      <c r="E20" s="263"/>
      <c r="F20" s="263"/>
      <c r="G20" s="263">
        <f ca="1">SUM(G10,G14:G19)</f>
        <v>13838.473106487529</v>
      </c>
    </row>
    <row r="21" spans="2:13" ht="14" thickTop="1" x14ac:dyDescent="0.15">
      <c r="B21" s="57"/>
    </row>
    <row r="22" spans="2:13" x14ac:dyDescent="0.15">
      <c r="B22" s="39" t="s">
        <v>136</v>
      </c>
      <c r="C22" s="236">
        <f>INDEX('Olin Standalone'!$C81:$R81,1,MATCH(DATE('Main Page &amp; Assumptions'!$D$14-1,12,31),'Olin Standalone'!$C$62:$R$62,0))</f>
        <v>840.80451074367136</v>
      </c>
      <c r="D22" s="236">
        <f>INDEX('Huntsman Standalone'!$C82:$R82,1,MATCH(DATE('Main Page &amp; Assumptions'!$D$14-1,12,31),'Huntsman Standalone'!$C$63:$R$63,0))</f>
        <v>763.40330654794514</v>
      </c>
      <c r="G22" s="236">
        <f t="shared" si="0"/>
        <v>1604.2078172916165</v>
      </c>
      <c r="M22" s="245">
        <f>DATE('Main Page &amp; Assumptions'!$D$14,12,31)</f>
        <v>46752</v>
      </c>
    </row>
    <row r="23" spans="2:13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522.66551000000004</v>
      </c>
      <c r="G23" s="236">
        <f t="shared" si="0"/>
        <v>1139.5132100000001</v>
      </c>
    </row>
    <row r="24" spans="2:13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)&lt;=YEAR(EDATE($M$22,12))
)
)
+
SUMPRODUCT(
'Transaction &amp; Refinancing Debt'!$F$22:$F$35,
--(
IFERROR(
_xlfn.XLOOKUP(
'Transaction &amp; Refinancing Debt'!$C$22:$C$35,
'Huntsman Debt'!$B$17:$B$23,
'Huntsman Debt'!$D$17:$D$23
),
9999
)&lt;=YEAR(EDATE($M$22,12))
)
)
)</f>
        <v>-152</v>
      </c>
      <c r="G24" s="236">
        <f t="shared" ca="1" si="0"/>
        <v>247</v>
      </c>
      <c r="H24" s="236" t="s">
        <v>580</v>
      </c>
    </row>
    <row r="25" spans="2:13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13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34.434433599999998</v>
      </c>
      <c r="G26" s="236">
        <f t="shared" si="0"/>
        <v>175.32202360000002</v>
      </c>
    </row>
    <row r="27" spans="2:13" x14ac:dyDescent="0.15">
      <c r="B27" s="89" t="s">
        <v>142</v>
      </c>
      <c r="C27" s="262">
        <f>INDEX('Olin Standalone'!$C86:$R86,1,MATCH(DATE('Main Page &amp; Assumptions'!$D$14-1,12,31),'Olin Standalone'!$C$62:$R$62,0))</f>
        <v>1938.5398007436713</v>
      </c>
      <c r="D27" s="262">
        <f>INDEX('Huntsman Standalone'!$C87:$R87,1,MATCH(DATE('Main Page &amp; Assumptions'!$D$14-1,12,31),'Huntsman Standalone'!$C$63:$R$63,0))</f>
        <v>1379.503250147945</v>
      </c>
      <c r="E27" s="262"/>
      <c r="F27" s="262"/>
      <c r="G27" s="262">
        <f ca="1">SUM(G22:G26)</f>
        <v>3166.0430508916165</v>
      </c>
    </row>
    <row r="28" spans="2:13" x14ac:dyDescent="0.15">
      <c r="B28" s="57"/>
    </row>
    <row r="29" spans="2:13" x14ac:dyDescent="0.15">
      <c r="B29" s="39" t="s">
        <v>273</v>
      </c>
      <c r="C29" s="236">
        <f ca="1">INDEX('Olin Standalone'!$C88:$R88,1,MATCH(DATE('Main Page &amp; Assumptions'!$D$14-1,12,31),'Olin Standalone'!$C$62:$R$62,0))</f>
        <v>2395.6999999999998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)&gt;YEAR(EDATE($M$22,12))
)
)
+
SUMPRODUCT(
'Transaction &amp; Refinancing Debt'!$F$22:$F$35,
--(
IFERROR(
_xlfn.XLOOKUP(
'Transaction &amp; Refinancing Debt'!$C$22:$C$35,
'Huntsman Debt'!$B$17:$B$23,
'Huntsman Debt'!$D$17:$D$23
),
9999
)&gt;YEAR(EDATE($M$22,12))
)
)
)
+'Transaction &amp; Refinancing Debt'!$C$61</f>
        <v>-343</v>
      </c>
      <c r="G29" s="236">
        <f t="shared" ca="1" si="0"/>
        <v>4016.7</v>
      </c>
      <c r="H29" s="236" t="s">
        <v>580</v>
      </c>
    </row>
    <row r="30" spans="2:13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13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13" x14ac:dyDescent="0.15">
      <c r="B32" s="57" t="s">
        <v>276</v>
      </c>
      <c r="C32" s="264">
        <f ca="1">INDEX('Olin Standalone'!$C91:$R91,1,MATCH(DATE('Main Page &amp; Assumptions'!$D$14-1,12,31),'Olin Standalone'!$C$62:$R$62,0))</f>
        <v>2381.2487499999997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-343</v>
      </c>
      <c r="G32" s="264">
        <f ca="1">SUM(G29:G31)</f>
        <v>3992.5265277777776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708.98039180000001</v>
      </c>
      <c r="E34" s="236">
        <f>'PPA &amp; Goodwill'!C21</f>
        <v>131</v>
      </c>
      <c r="G34" s="236">
        <f t="shared" si="0"/>
        <v>1679.2542418000003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5505.362400743672</v>
      </c>
      <c r="D36" s="263">
        <f>INDEX('Huntsman Standalone'!$C96:$R96,1,MATCH(DATE('Main Page &amp; Assumptions'!$D$14-1,12,31),'Huntsman Standalone'!$C$63:$R$63,0))</f>
        <v>4428.7614197257226</v>
      </c>
      <c r="E36" s="263"/>
      <c r="F36" s="263"/>
      <c r="G36" s="263">
        <f ca="1">SUM(G27,G32:G35)</f>
        <v>9636.6038204693941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114.19999999999999</v>
      </c>
      <c r="D38" s="236">
        <f>INDEX('Huntsman Standalone'!$C98:$R98,1,MATCH(DATE('Main Page &amp; Assumptions'!$D$14-1,12,31),'Huntsman Standalone'!$C$63:$R$63,0))</f>
        <v>5.8</v>
      </c>
      <c r="E38" s="236">
        <f>-D38</f>
        <v>-5.8</v>
      </c>
      <c r="F38" s="236">
        <f>'Main Page &amp; Assumptions'!J7*'Olin Equity Schedule'!C46</f>
        <v>97.527559999999994</v>
      </c>
      <c r="G38" s="236">
        <f t="shared" si="0"/>
        <v>211.72755999999998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29.400000000000006</v>
      </c>
      <c r="D39" s="236">
        <f>INDEX('Huntsman Standalone'!$C99:$R99,1,MATCH(DATE('Main Page &amp; Assumptions'!$D$14-1,12,31),'Huntsman Standalone'!$C$63:$R$63,0))</f>
        <v>4338.2</v>
      </c>
      <c r="E39" s="236">
        <f t="shared" ref="E39:E43" si="1">-D39</f>
        <v>-4338.2</v>
      </c>
      <c r="F39" s="236">
        <f>'PPA &amp; Goodwill'!$C$10-F38</f>
        <v>2349.8592352000001</v>
      </c>
      <c r="G39" s="236">
        <f>SUM(C39:F39)</f>
        <v>2379.2592351999997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2081.3824908181336</v>
      </c>
      <c r="D40" s="236">
        <f>INDEX('Huntsman Standalone'!$C100:$R100,1,MATCH(DATE('Main Page &amp; Assumptions'!$D$14-1,12,31),'Huntsman Standalone'!$C$63:$R$63,0))</f>
        <v>1643.7231432622225</v>
      </c>
      <c r="E40" s="236">
        <f t="shared" si="1"/>
        <v>-1643.7231432622225</v>
      </c>
      <c r="F40" s="236">
        <f>-'Sources and Uses'!$C$24</f>
        <v>-56</v>
      </c>
      <c r="G40" s="236">
        <f t="shared" ca="1" si="0"/>
        <v>2025.3824908181336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-1057</v>
      </c>
      <c r="E42" s="236">
        <f t="shared" si="1"/>
        <v>1057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1810.4824908181336</v>
      </c>
      <c r="D43" s="262">
        <f>INDEX('Huntsman Standalone'!$C103:$R103,1,MATCH(DATE('Main Page &amp; Assumptions'!$D$14-1,12,31),'Huntsman Standalone'!$C$63:$R$63,0))</f>
        <v>2640.7231432622225</v>
      </c>
      <c r="E43" s="262">
        <f t="shared" si="1"/>
        <v>-2640.7231432622225</v>
      </c>
      <c r="F43" s="262"/>
      <c r="G43" s="262">
        <f ca="1">SUM(G38:G42)</f>
        <v>4201.8692860181327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7315.8448915618055</v>
      </c>
      <c r="D45" s="263">
        <f>INDEX('Huntsman Standalone'!$C105:$R105,1,MATCH(DATE('Main Page &amp; Assumptions'!$D$14-1,12,31),'Huntsman Standalone'!$C$63:$R$63,0))</f>
        <v>7069.4845629879455</v>
      </c>
      <c r="E45" s="263"/>
      <c r="F45" s="263"/>
      <c r="G45" s="263">
        <f ca="1">G36+G43</f>
        <v>13838.473106487527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0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J21" sqref="J21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7" t="s">
        <v>531</v>
      </c>
      <c r="F7" s="348"/>
      <c r="G7" s="348"/>
      <c r="H7" s="348"/>
      <c r="I7" s="348"/>
      <c r="J7" s="348"/>
      <c r="K7" s="349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2640.7231432622225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454.14365193777758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/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6" t="s">
        <v>524</v>
      </c>
      <c r="C2" s="346"/>
      <c r="D2" s="346"/>
      <c r="E2" s="346"/>
      <c r="F2" s="346"/>
      <c r="G2" s="346"/>
      <c r="H2" s="346"/>
      <c r="I2" s="346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566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567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568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topLeftCell="A5" zoomScale="110" workbookViewId="0">
      <selection activeCell="B1" sqref="B1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547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6" t="s">
        <v>552</v>
      </c>
      <c r="C3" s="346"/>
      <c r="D3" s="346"/>
      <c r="E3" s="346"/>
      <c r="F3" s="346"/>
      <c r="G3" s="346"/>
      <c r="H3" s="346"/>
      <c r="I3" s="346"/>
      <c r="J3" s="346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50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51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0</v>
      </c>
      <c r="H6" s="241">
        <f ca="1">IF(
G6=0,
0,
IFERROR(
_xlfn.XLOOKUP(
C6,
'Olin Debt'!$B$16:$B$22,
'Olin Debt'!$C$16:$C$22
),
0
)
)</f>
        <v>0</v>
      </c>
      <c r="I6" s="46">
        <f ca="1">-G6*H6</f>
        <v>0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51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51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51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51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51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51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51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51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51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51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51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51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51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51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51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51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51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51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51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51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51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51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51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51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51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51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51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51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2735.7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4263.7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561</v>
      </c>
      <c r="C45" s="89">
        <f ca="1">SUM(I6:I19)+SUM(I22:I35)</f>
        <v>-218.51974300000003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4263.7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-243.50274300000004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562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-224.44627077777781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G10" sqref="G10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52" t="s">
        <v>407</v>
      </c>
      <c r="C2" s="352"/>
      <c r="D2" s="352"/>
      <c r="E2" s="352"/>
      <c r="F2" s="352"/>
      <c r="G2" s="352"/>
      <c r="H2" s="352"/>
      <c r="I2" s="352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483.00839455934727</v>
      </c>
      <c r="F15" s="234">
        <f>'Olin D&amp;A'!O34</f>
        <v>495.93962035090345</v>
      </c>
      <c r="G15" s="234">
        <f>'Olin D&amp;A'!P34</f>
        <v>509.53175735596682</v>
      </c>
      <c r="H15" s="234">
        <f>'Olin D&amp;A'!Q34</f>
        <v>523.75088622830901</v>
      </c>
      <c r="I15" s="255">
        <f>'Olin D&amp;A'!R34</f>
        <v>538.68366220912026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262.22576471794872</v>
      </c>
      <c r="E16" s="234">
        <f>'Huntsman D&amp;A'!N23</f>
        <v>269.22411502497215</v>
      </c>
      <c r="F16" s="234">
        <f>'Huntsman D&amp;A'!O23</f>
        <v>276.77272116456948</v>
      </c>
      <c r="G16" s="234">
        <f>'Huntsman D&amp;A'!P23</f>
        <v>284.84616209299651</v>
      </c>
      <c r="H16" s="234">
        <f>'Huntsman D&amp;A'!Q23</f>
        <v>293.42106648449408</v>
      </c>
      <c r="I16" s="255">
        <f>'Huntsman D&amp;A'!R23</f>
        <v>302.53536805639766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269.22411502497215</v>
      </c>
      <c r="F17" s="234">
        <f>'Huntsman D&amp;A'!O23*'Pro Forma D&amp;A'!F7</f>
        <v>276.77272116456948</v>
      </c>
      <c r="G17" s="234">
        <f>'Huntsman D&amp;A'!P23*'Pro Forma D&amp;A'!G7</f>
        <v>284.84616209299651</v>
      </c>
      <c r="H17" s="234">
        <f>'Huntsman D&amp;A'!Q23*'Pro Forma D&amp;A'!H7</f>
        <v>293.42106648449408</v>
      </c>
      <c r="I17" s="255">
        <f>'Huntsman D&amp;A'!R23*'Pro Forma D&amp;A'!I7</f>
        <v>302.53536805639766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782.83250958431938</v>
      </c>
      <c r="F19" s="234">
        <f t="shared" si="1"/>
        <v>803.31234151547289</v>
      </c>
      <c r="G19" s="234">
        <f t="shared" si="1"/>
        <v>824.97791944896335</v>
      </c>
      <c r="H19" s="234">
        <f t="shared" si="1"/>
        <v>847.77195271280311</v>
      </c>
      <c r="I19" s="255">
        <f t="shared" si="1"/>
        <v>871.81903026551788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782.83250958431938</v>
      </c>
      <c r="F29" s="234">
        <f t="shared" si="4"/>
        <v>803.31234151547289</v>
      </c>
      <c r="G29" s="234">
        <f t="shared" si="4"/>
        <v>824.97791944896335</v>
      </c>
      <c r="H29" s="234">
        <f t="shared" si="4"/>
        <v>847.77195271280311</v>
      </c>
      <c r="I29" s="255">
        <f t="shared" si="4"/>
        <v>871.81903026551788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828.73250958431936</v>
      </c>
      <c r="F31" s="250">
        <f t="shared" si="6"/>
        <v>849.01234151547294</v>
      </c>
      <c r="G31" s="250">
        <f t="shared" si="6"/>
        <v>870.67791944896339</v>
      </c>
      <c r="H31" s="250">
        <f t="shared" si="6"/>
        <v>884.57195271280307</v>
      </c>
      <c r="I31" s="256">
        <f t="shared" si="6"/>
        <v>908.61903026551784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569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64" workbookViewId="0">
      <selection activeCell="N101" sqref="N101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41" t="s">
        <v>398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x14ac:dyDescent="0.15">
      <c r="C3" s="90"/>
      <c r="D3" s="353" t="s">
        <v>399</v>
      </c>
      <c r="E3" s="353"/>
      <c r="F3" s="353"/>
      <c r="G3" s="353"/>
      <c r="H3" s="353"/>
      <c r="I3" s="353"/>
      <c r="J3" s="353"/>
      <c r="K3" s="353"/>
      <c r="L3" s="353"/>
      <c r="M3" s="353"/>
      <c r="N3" s="338" t="s">
        <v>400</v>
      </c>
      <c r="O3" s="339"/>
      <c r="P3" s="339"/>
      <c r="Q3" s="339"/>
      <c r="R3" s="339"/>
      <c r="S3" s="340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-4.0000000000000001E-3</v>
      </c>
      <c r="P7" s="64">
        <v>7.2900000000000006E-2</v>
      </c>
      <c r="Q7" s="64">
        <v>3.0800000000000001E-2</v>
      </c>
      <c r="R7" s="64">
        <v>6.0999999999999999E-2</v>
      </c>
      <c r="S7" s="65">
        <v>0.04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9.2999999999999999E-2</v>
      </c>
      <c r="O8" s="67">
        <v>0.1123</v>
      </c>
      <c r="P8" s="67">
        <v>0.1467</v>
      </c>
      <c r="Q8" s="67">
        <v>0.1744</v>
      </c>
      <c r="R8" s="67">
        <v>0.20810000000000001</v>
      </c>
      <c r="S8" s="68">
        <v>0.22919999999999999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3" t="s">
        <v>403</v>
      </c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</row>
    <row r="31" spans="1:19" x14ac:dyDescent="0.15">
      <c r="C31" s="90"/>
      <c r="D31" s="353" t="s">
        <v>399</v>
      </c>
      <c r="E31" s="353"/>
      <c r="F31" s="353"/>
      <c r="G31" s="353"/>
      <c r="H31" s="353"/>
      <c r="I31" s="353"/>
      <c r="J31" s="353"/>
      <c r="K31" s="353"/>
      <c r="L31" s="353"/>
      <c r="M31" s="353"/>
      <c r="N31" s="338" t="s">
        <v>400</v>
      </c>
      <c r="O31" s="339"/>
      <c r="P31" s="339"/>
      <c r="Q31" s="339"/>
      <c r="R31" s="339"/>
      <c r="S31" s="340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7170.378658560001</v>
      </c>
      <c r="P34" s="89">
        <f t="shared" si="25"/>
        <v>7693.0992627690248</v>
      </c>
      <c r="Q34" s="89">
        <f t="shared" si="25"/>
        <v>7930.0467200623107</v>
      </c>
      <c r="R34" s="89">
        <f t="shared" si="25"/>
        <v>8413.7795699861108</v>
      </c>
      <c r="S34" s="95">
        <f t="shared" si="25"/>
        <v>8750.3307527855559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6529.6520515200009</v>
      </c>
      <c r="O36" s="39">
        <f t="shared" ref="O36:S36" si="26">O34*(1-O$8)</f>
        <v>6365.1451352037129</v>
      </c>
      <c r="P36" s="39">
        <f t="shared" si="26"/>
        <v>6564.5216009208089</v>
      </c>
      <c r="Q36" s="39">
        <f t="shared" si="26"/>
        <v>6547.0465720834436</v>
      </c>
      <c r="R36" s="39">
        <f t="shared" si="26"/>
        <v>6662.8720414720019</v>
      </c>
      <c r="S36" s="99">
        <f t="shared" si="26"/>
        <v>6744.7549442471072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669.5233084800002</v>
      </c>
      <c r="O37" s="39">
        <f t="shared" ref="O37:S37" si="27">O$34-O$36</f>
        <v>805.23352335628806</v>
      </c>
      <c r="P37" s="39">
        <f t="shared" si="27"/>
        <v>1128.5776618482159</v>
      </c>
      <c r="Q37" s="39">
        <f t="shared" si="27"/>
        <v>1383.0001479788671</v>
      </c>
      <c r="R37" s="39">
        <f t="shared" si="27"/>
        <v>1750.9075285141089</v>
      </c>
      <c r="S37" s="99">
        <f t="shared" si="27"/>
        <v>2005.5758085384487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469.50922080000009</v>
      </c>
      <c r="P38" s="39">
        <f t="shared" si="28"/>
        <v>503.73644299632008</v>
      </c>
      <c r="Q38" s="39">
        <f t="shared" si="28"/>
        <v>519.25152544060677</v>
      </c>
      <c r="R38" s="39">
        <f t="shared" si="28"/>
        <v>550.92586849248369</v>
      </c>
      <c r="S38" s="99">
        <f t="shared" si="28"/>
        <v>572.96290323218307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20.408846760000003</v>
      </c>
      <c r="P39" s="39">
        <f t="shared" si="29"/>
        <v>21.896651688804003</v>
      </c>
      <c r="Q39" s="39">
        <f t="shared" si="29"/>
        <v>22.571068560819164</v>
      </c>
      <c r="R39" s="39">
        <f t="shared" si="29"/>
        <v>23.94790374302913</v>
      </c>
      <c r="S39" s="99">
        <f t="shared" si="29"/>
        <v>24.905819892750298</v>
      </c>
    </row>
    <row r="40" spans="1:19" x14ac:dyDescent="0.15">
      <c r="A40" t="s">
        <v>245</v>
      </c>
      <c r="C40" s="2" t="s">
        <v>240</v>
      </c>
      <c r="D40" s="356" t="s">
        <v>461</v>
      </c>
      <c r="E40" s="356"/>
      <c r="F40" s="356"/>
      <c r="G40" s="356"/>
      <c r="H40" s="356"/>
      <c r="I40" s="356"/>
      <c r="J40" s="356"/>
      <c r="K40" s="356"/>
      <c r="L40" s="356"/>
      <c r="M40" s="356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553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7021.0068115200011</v>
      </c>
      <c r="O43" s="39">
        <f t="shared" ref="O43:S43" si="31">SUM(O$38:O$42)+O36</f>
        <v>6855.063202763713</v>
      </c>
      <c r="P43" s="39">
        <f t="shared" si="31"/>
        <v>7090.1546956059328</v>
      </c>
      <c r="Q43" s="39">
        <f t="shared" si="31"/>
        <v>7088.8691660848699</v>
      </c>
      <c r="R43" s="39">
        <f t="shared" si="31"/>
        <v>7237.7458137075146</v>
      </c>
      <c r="S43" s="99">
        <f t="shared" si="31"/>
        <v>7342.6236673720405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178.16854848000003</v>
      </c>
      <c r="O44" s="89">
        <f t="shared" ref="O44:S44" si="32">O$34-O$43</f>
        <v>315.31545579628801</v>
      </c>
      <c r="P44" s="89">
        <f t="shared" si="32"/>
        <v>602.94456716309196</v>
      </c>
      <c r="Q44" s="89">
        <f t="shared" si="32"/>
        <v>841.17755397744077</v>
      </c>
      <c r="R44" s="89">
        <f t="shared" si="32"/>
        <v>1176.0337562785962</v>
      </c>
      <c r="S44" s="95">
        <f t="shared" si="32"/>
        <v>1407.7070854135154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-158.25123600000001</v>
      </c>
      <c r="O46" s="39">
        <f ca="1">'Olin Debt'!E$46</f>
        <v>-155.26849300000003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43.450645813333352</v>
      </c>
      <c r="O49" s="57">
        <f t="shared" ref="O49:S49" ca="1" si="35">O$44+O$46+O$47+O$48</f>
        <v>183.5802961296213</v>
      </c>
      <c r="P49" s="57">
        <f t="shared" ca="1" si="35"/>
        <v>471.58440749642523</v>
      </c>
      <c r="Q49" s="57">
        <f t="shared" ca="1" si="35"/>
        <v>709.81739431077403</v>
      </c>
      <c r="R49" s="57">
        <f t="shared" ca="1" si="35"/>
        <v>1060.0576356119295</v>
      </c>
      <c r="S49" s="97">
        <f t="shared" ca="1" si="35"/>
        <v>1307.6700037468488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10.428154995200003</v>
      </c>
      <c r="O50" s="39">
        <f t="shared" ca="1" si="36"/>
        <v>44.059271071109109</v>
      </c>
      <c r="P50" s="39">
        <f t="shared" ca="1" si="36"/>
        <v>113.18025779914205</v>
      </c>
      <c r="Q50" s="39">
        <f t="shared" ca="1" si="36"/>
        <v>170.35617463458576</v>
      </c>
      <c r="R50" s="39">
        <f t="shared" ca="1" si="36"/>
        <v>254.41383254686309</v>
      </c>
      <c r="S50" s="99">
        <f t="shared" ca="1" si="36"/>
        <v>313.84080089924367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33.022490818133349</v>
      </c>
      <c r="O51" s="89">
        <f t="shared" ca="1" si="37"/>
        <v>139.52102505851218</v>
      </c>
      <c r="P51" s="89">
        <f t="shared" ca="1" si="37"/>
        <v>358.40414969728317</v>
      </c>
      <c r="Q51" s="89">
        <f t="shared" ca="1" si="37"/>
        <v>539.46121967618831</v>
      </c>
      <c r="R51" s="89">
        <f t="shared" ca="1" si="37"/>
        <v>805.64380306506644</v>
      </c>
      <c r="S51" s="95">
        <f t="shared" ca="1" si="37"/>
        <v>993.82920284760507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114.3</v>
      </c>
      <c r="O54" s="53">
        <f>'Olin Equity Schedule'!N$19</f>
        <v>114.85</v>
      </c>
      <c r="P54" s="53">
        <f>'Olin Equity Schedule'!O$19</f>
        <v>115.35</v>
      </c>
      <c r="Q54" s="53">
        <f>'Olin Equity Schedule'!P$19</f>
        <v>115.85</v>
      </c>
      <c r="R54" s="53">
        <f>'Olin Equity Schedule'!Q$19</f>
        <v>116.35</v>
      </c>
      <c r="S54" s="101">
        <f>'Olin Equity Schedule'!R$19</f>
        <v>116.85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115.8</v>
      </c>
      <c r="O56" s="39">
        <f>'Olin Equity Schedule'!N$21</f>
        <v>116.35</v>
      </c>
      <c r="P56" s="39">
        <f>'Olin Equity Schedule'!O$21</f>
        <v>116.85</v>
      </c>
      <c r="Q56" s="39">
        <f>'Olin Equity Schedule'!P$21</f>
        <v>117.35</v>
      </c>
      <c r="R56" s="39">
        <f>'Olin Equity Schedule'!Q$21</f>
        <v>117.85</v>
      </c>
      <c r="S56" s="99">
        <f>'Olin Equity Schedule'!R$21</f>
        <v>118.35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0.28516831449165242</v>
      </c>
      <c r="O57" s="40">
        <f t="shared" ca="1" si="41"/>
        <v>1.1991493344092152</v>
      </c>
      <c r="P57" s="40">
        <f t="shared" ca="1" si="41"/>
        <v>3.067215658513335</v>
      </c>
      <c r="Q57" s="40">
        <f t="shared" ca="1" si="41"/>
        <v>4.5970278626006671</v>
      </c>
      <c r="R57" s="40">
        <f t="shared" ca="1" si="41"/>
        <v>6.8361799156984855</v>
      </c>
      <c r="S57" s="107">
        <f t="shared" ca="1" si="41"/>
        <v>8.3973739150621469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3" t="s">
        <v>232</v>
      </c>
      <c r="D60" s="343"/>
      <c r="E60" s="343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</row>
    <row r="61" spans="1:23" x14ac:dyDescent="0.15">
      <c r="C61" s="90"/>
      <c r="D61" s="353" t="s">
        <v>399</v>
      </c>
      <c r="E61" s="353"/>
      <c r="F61" s="353"/>
      <c r="G61" s="353"/>
      <c r="H61" s="353"/>
      <c r="I61" s="353"/>
      <c r="J61" s="353"/>
      <c r="K61" s="353"/>
      <c r="L61" s="353"/>
      <c r="M61" s="353"/>
      <c r="N61" s="338" t="s">
        <v>400</v>
      </c>
      <c r="O61" s="339"/>
      <c r="P61" s="339"/>
      <c r="Q61" s="339"/>
      <c r="R61" s="339"/>
      <c r="S61" s="340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332.73756288686775</v>
      </c>
      <c r="O64" s="112">
        <f t="shared" ref="O64:S64" ca="1" si="43">O$139</f>
        <v>771.14766104275191</v>
      </c>
      <c r="P64" s="112">
        <f t="shared" ca="1" si="43"/>
        <v>1395.7937383175483</v>
      </c>
      <c r="Q64" s="112">
        <f t="shared" ca="1" si="43"/>
        <v>2195.3820745735948</v>
      </c>
      <c r="R64" s="112">
        <f t="shared" ca="1" si="43"/>
        <v>2734.6851474795267</v>
      </c>
      <c r="S64" s="127">
        <f t="shared" ca="1" si="43"/>
        <v>3986.5452211245652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962.5987788203837</v>
      </c>
      <c r="P65" s="39">
        <f t="shared" si="44"/>
        <v>1032.7722297963896</v>
      </c>
      <c r="Q65" s="39">
        <f t="shared" si="44"/>
        <v>1064.5816144741184</v>
      </c>
      <c r="R65" s="39">
        <f t="shared" si="44"/>
        <v>1129.5210929570396</v>
      </c>
      <c r="S65" s="99">
        <f t="shared" si="44"/>
        <v>1174.7019366753213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822.91505306827412</v>
      </c>
      <c r="O66" s="39">
        <f t="shared" si="45"/>
        <v>802.18267457361867</v>
      </c>
      <c r="P66" s="39">
        <f t="shared" si="45"/>
        <v>827.30957162289633</v>
      </c>
      <c r="Q66" s="39">
        <f t="shared" si="45"/>
        <v>825.1072392214752</v>
      </c>
      <c r="R66" s="39">
        <f t="shared" si="45"/>
        <v>839.70442166496468</v>
      </c>
      <c r="S66" s="99">
        <f t="shared" si="45"/>
        <v>850.02391078182723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58.080067134336005</v>
      </c>
      <c r="P68" s="39">
        <f t="shared" si="47"/>
        <v>62.314104028429099</v>
      </c>
      <c r="Q68" s="39">
        <f t="shared" si="47"/>
        <v>64.233378432504708</v>
      </c>
      <c r="R68" s="39">
        <f t="shared" si="47"/>
        <v>68.151614516887491</v>
      </c>
      <c r="S68" s="99">
        <f t="shared" si="47"/>
        <v>70.877679097563004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2236.6746833250049</v>
      </c>
      <c r="O69" s="89">
        <f t="shared" ref="O69:S69" ca="1" si="48">SUM(O$64:O$68)</f>
        <v>2594.0091815710903</v>
      </c>
      <c r="P69" s="89">
        <f t="shared" ca="1" si="48"/>
        <v>3318.1896437652631</v>
      </c>
      <c r="Q69" s="89">
        <f t="shared" ca="1" si="48"/>
        <v>4149.3043067016933</v>
      </c>
      <c r="R69" s="89">
        <f t="shared" ca="1" si="48"/>
        <v>4772.0622766184179</v>
      </c>
      <c r="S69" s="95">
        <f t="shared" ca="1" si="48"/>
        <v>6082.1487476792763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8435.2866205568007</v>
      </c>
      <c r="P71" s="39">
        <f>'Olin D&amp;A'!O19</f>
        <v>8666.0795984398719</v>
      </c>
      <c r="Q71" s="39">
        <f>'Olin D&amp;A'!P19</f>
        <v>8903.9810000417419</v>
      </c>
      <c r="R71" s="39">
        <f>'Olin D&amp;A'!Q19</f>
        <v>9156.3943871413248</v>
      </c>
      <c r="S71" s="99">
        <f>'Olin D&amp;A'!R19</f>
        <v>9418.9043097248923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-6462.2152771225465</v>
      </c>
      <c r="P72" s="39">
        <f>'Olin D&amp;A'!O$25</f>
        <v>-6958.1548974734496</v>
      </c>
      <c r="Q72" s="39">
        <f>'Olin D&amp;A'!P$25</f>
        <v>-7467.6866548294165</v>
      </c>
      <c r="R72" s="39">
        <f>'Olin D&amp;A'!Q$25</f>
        <v>-7991.4375410577259</v>
      </c>
      <c r="S72" s="99">
        <f>'Olin D&amp;A'!R$25</f>
        <v>-8530.1212032668464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1973.0713434342542</v>
      </c>
      <c r="P73" s="57">
        <f>'Olin D&amp;A'!O$27</f>
        <v>1707.9247009664223</v>
      </c>
      <c r="Q73" s="57">
        <f>'Olin D&amp;A'!P$27</f>
        <v>1436.2943452123254</v>
      </c>
      <c r="R73" s="57">
        <f>'Olin D&amp;A'!Q$27</f>
        <v>1164.956846083599</v>
      </c>
      <c r="S73" s="97">
        <f>'Olin D&amp;A'!R$27</f>
        <v>888.78310645804595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253.68302268000005</v>
      </c>
      <c r="P77" s="39">
        <f t="shared" si="51"/>
        <v>272.17651503337203</v>
      </c>
      <c r="Q77" s="39">
        <f t="shared" si="51"/>
        <v>280.55955169639992</v>
      </c>
      <c r="R77" s="39">
        <f t="shared" si="51"/>
        <v>297.67368434988026</v>
      </c>
      <c r="S77" s="99">
        <f t="shared" si="51"/>
        <v>309.58063172387551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7315.8448915618073</v>
      </c>
      <c r="O79" s="135">
        <f t="shared" ref="O79:S79" ca="1" si="53">O$69+O$73+O$74+O$75+O$76+O$77</f>
        <v>7368.563547685344</v>
      </c>
      <c r="P79" s="135">
        <f t="shared" ca="1" si="53"/>
        <v>7810.5908597650568</v>
      </c>
      <c r="Q79" s="135">
        <f t="shared" ca="1" si="53"/>
        <v>8342.9582036104184</v>
      </c>
      <c r="R79" s="135">
        <f t="shared" ca="1" si="53"/>
        <v>8684.8928070518959</v>
      </c>
      <c r="S79" s="136">
        <f t="shared" ca="1" si="53"/>
        <v>9704.1124858611965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840.80451074367136</v>
      </c>
      <c r="O81" s="39">
        <f t="shared" si="54"/>
        <v>819.62142836869737</v>
      </c>
      <c r="P81" s="39">
        <f t="shared" si="54"/>
        <v>845.29456231035067</v>
      </c>
      <c r="Q81" s="39">
        <f t="shared" si="54"/>
        <v>843.04435311759414</v>
      </c>
      <c r="R81" s="39">
        <f t="shared" si="54"/>
        <v>857.95886561420298</v>
      </c>
      <c r="S81" s="99">
        <f t="shared" si="54"/>
        <v>868.5026914509973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614.38030920000006</v>
      </c>
      <c r="P82" s="39">
        <f t="shared" si="55"/>
        <v>659.16863374067998</v>
      </c>
      <c r="Q82" s="39">
        <f t="shared" si="55"/>
        <v>679.47102765989291</v>
      </c>
      <c r="R82" s="39">
        <f t="shared" si="55"/>
        <v>720.91876034714642</v>
      </c>
      <c r="S82" s="99">
        <f t="shared" si="55"/>
        <v>749.75551076103227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140.32403964</v>
      </c>
      <c r="P85" s="39">
        <f t="shared" si="57"/>
        <v>150.55366212975599</v>
      </c>
      <c r="Q85" s="39">
        <f t="shared" si="57"/>
        <v>155.19071492335249</v>
      </c>
      <c r="R85" s="39">
        <f t="shared" si="57"/>
        <v>164.65734853367698</v>
      </c>
      <c r="S85" s="99">
        <f t="shared" si="57"/>
        <v>171.24364247502407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1938.5398007436713</v>
      </c>
      <c r="O86" s="89">
        <f t="shared" ref="O86:S86" si="58">SUM(O81:O85)</f>
        <v>1574.3257772086974</v>
      </c>
      <c r="P86" s="89">
        <f t="shared" si="58"/>
        <v>2324.3168581807868</v>
      </c>
      <c r="Q86" s="89">
        <f t="shared" ca="1" si="58"/>
        <v>2721.1060957008394</v>
      </c>
      <c r="R86" s="89">
        <f t="shared" si="58"/>
        <v>1743.5349744950263</v>
      </c>
      <c r="S86" s="95">
        <f t="shared" si="58"/>
        <v>1789.5018446870536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2395.6999999999998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580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2381.2487499999997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835.9167546000001</v>
      </c>
      <c r="P93" s="39">
        <f t="shared" si="61"/>
        <v>896.85508601034007</v>
      </c>
      <c r="Q93" s="39">
        <f t="shared" si="61"/>
        <v>924.47822265945854</v>
      </c>
      <c r="R93" s="39">
        <f t="shared" si="61"/>
        <v>980.87139424168549</v>
      </c>
      <c r="S93" s="99">
        <f t="shared" si="61"/>
        <v>1020.1062500113529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5505.362400743672</v>
      </c>
      <c r="O95" s="89">
        <f t="shared" ref="O95:S95" ca="1" si="63">O86+O91+O92+O93+O94</f>
        <v>5478.4400318086973</v>
      </c>
      <c r="P95" s="89">
        <f t="shared" ca="1" si="63"/>
        <v>5620.3431941911267</v>
      </c>
      <c r="Q95" s="89">
        <f t="shared" ca="1" si="63"/>
        <v>5670.9293183602986</v>
      </c>
      <c r="R95" s="89">
        <f t="shared" ca="1" si="63"/>
        <v>5264.3001187367117</v>
      </c>
      <c r="S95" s="95">
        <f t="shared" ca="1" si="63"/>
        <v>5347.1705946984066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114.19999999999999</v>
      </c>
      <c r="O97" s="53">
        <f>'Olin Equity Schedule'!N$26</f>
        <v>114.69999999999999</v>
      </c>
      <c r="P97" s="53">
        <f>'Olin Equity Schedule'!O$26</f>
        <v>115.19999999999999</v>
      </c>
      <c r="Q97" s="53">
        <f>'Olin Equity Schedule'!P$26</f>
        <v>115.69999999999999</v>
      </c>
      <c r="R97" s="53">
        <f>'Olin Equity Schedule'!Q$26</f>
        <v>116.19999999999999</v>
      </c>
      <c r="S97" s="101">
        <f>'Olin Equity Schedule'!R$26</f>
        <v>116.69999999999999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29.400000000000006</v>
      </c>
      <c r="O98" s="53">
        <f>'Olin Equity Schedule'!N$27</f>
        <v>60.900000000000006</v>
      </c>
      <c r="P98" s="53">
        <f>'Olin Equity Schedule'!O$27</f>
        <v>94.4</v>
      </c>
      <c r="Q98" s="53">
        <f>'Olin Equity Schedule'!P$27</f>
        <v>128.9</v>
      </c>
      <c r="R98" s="53">
        <f>'Olin Equity Schedule'!Q$27</f>
        <v>164.4</v>
      </c>
      <c r="S98" s="101">
        <f>'Olin Equity Schedule'!R$27</f>
        <v>199.9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2081.3824908181336</v>
      </c>
      <c r="O99" s="39">
        <f ca="1">'Olin Equity Schedule'!N$35</f>
        <v>2129.0235158766459</v>
      </c>
      <c r="P99" s="39">
        <f ca="1">'Olin Equity Schedule'!O$35</f>
        <v>2395.1476655739289</v>
      </c>
      <c r="Q99" s="39">
        <f ca="1">'Olin Equity Schedule'!P$35</f>
        <v>2841.9288852501172</v>
      </c>
      <c r="R99" s="39">
        <f ca="1">'Olin Equity Schedule'!Q$35</f>
        <v>3554.4926883151838</v>
      </c>
      <c r="S99" s="99">
        <f ca="1">'Olin Equity Schedule'!R$35</f>
        <v>4454.8418911627896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1810.4824908181336</v>
      </c>
      <c r="O102" s="89">
        <f ca="1">'Olin Equity Schedule'!N$38</f>
        <v>1890.1235158766458</v>
      </c>
      <c r="P102" s="89">
        <f ca="1">'Olin Equity Schedule'!O$38</f>
        <v>2190.2476655739288</v>
      </c>
      <c r="Q102" s="89">
        <f ca="1">'Olin Equity Schedule'!P$38</f>
        <v>2672.0288852501171</v>
      </c>
      <c r="R102" s="89">
        <f ca="1">'Olin Equity Schedule'!Q$38</f>
        <v>3420.5926883151838</v>
      </c>
      <c r="S102" s="95">
        <f ca="1">'Olin Equity Schedule'!R$38</f>
        <v>4356.9418911627899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7315.8448915618055</v>
      </c>
      <c r="O104" s="135">
        <f t="shared" ca="1" si="64"/>
        <v>7368.5635476853431</v>
      </c>
      <c r="P104" s="135">
        <f t="shared" ca="1" si="64"/>
        <v>7810.5908597650559</v>
      </c>
      <c r="Q104" s="135">
        <f t="shared" ca="1" si="64"/>
        <v>8342.9582036104148</v>
      </c>
      <c r="R104" s="135">
        <f t="shared" ca="1" si="64"/>
        <v>8684.8928070518959</v>
      </c>
      <c r="S104" s="136">
        <f t="shared" ca="1" si="64"/>
        <v>9704.1124858611965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0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114.6</v>
      </c>
      <c r="O107" s="124">
        <f>'Olin Equity Schedule'!N$18</f>
        <v>115.1</v>
      </c>
      <c r="P107" s="124">
        <f>'Olin Equity Schedule'!O$18</f>
        <v>115.6</v>
      </c>
      <c r="Q107" s="124">
        <f>'Olin Equity Schedule'!P$18</f>
        <v>116.1</v>
      </c>
      <c r="R107" s="124">
        <f>'Olin Equity Schedule'!Q$18</f>
        <v>116.6</v>
      </c>
      <c r="S107" s="125">
        <f>'Olin Equity Schedule'!R$18</f>
        <v>117.1</v>
      </c>
    </row>
    <row r="109" spans="1:19" ht="16" x14ac:dyDescent="0.15">
      <c r="C109" s="343" t="s">
        <v>405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</row>
    <row r="110" spans="1:19" x14ac:dyDescent="0.15">
      <c r="C110" s="90"/>
      <c r="D110" s="353" t="s">
        <v>399</v>
      </c>
      <c r="E110" s="353"/>
      <c r="F110" s="353"/>
      <c r="G110" s="353"/>
      <c r="H110" s="353"/>
      <c r="I110" s="353"/>
      <c r="J110" s="353"/>
      <c r="K110" s="353"/>
      <c r="L110" s="353"/>
      <c r="M110" s="353"/>
      <c r="N110" s="338" t="s">
        <v>400</v>
      </c>
      <c r="O110" s="339"/>
      <c r="P110" s="339"/>
      <c r="Q110" s="339"/>
      <c r="R110" s="339"/>
      <c r="S110" s="340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30.022490818133349</v>
      </c>
      <c r="O113" s="39">
        <f t="shared" ref="O113:S113" ca="1" si="68">O$51-O$52</f>
        <v>136.52102505851218</v>
      </c>
      <c r="P113" s="39">
        <f t="shared" ca="1" si="68"/>
        <v>355.40414969728317</v>
      </c>
      <c r="Q113" s="39">
        <f t="shared" ca="1" si="68"/>
        <v>536.46121967618831</v>
      </c>
      <c r="R113" s="39">
        <f t="shared" ca="1" si="68"/>
        <v>802.64380306506644</v>
      </c>
      <c r="S113" s="99">
        <f t="shared" ca="1" si="68"/>
        <v>990.82920284760507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518.70839455934731</v>
      </c>
      <c r="P114" s="39">
        <f>'Olin D&amp;A'!O$36</f>
        <v>531.4396203509034</v>
      </c>
      <c r="Q114" s="39">
        <f>'Olin D&amp;A'!P$36</f>
        <v>545.03175735596687</v>
      </c>
      <c r="R114" s="39">
        <f>'Olin D&amp;A'!Q$36</f>
        <v>550.35088622830904</v>
      </c>
      <c r="S114" s="99">
        <f>'Olin D&amp;A'!R$36</f>
        <v>565.28366220912028</v>
      </c>
    </row>
    <row r="115" spans="1:20" x14ac:dyDescent="0.15">
      <c r="C115" s="132" t="s">
        <v>393</v>
      </c>
      <c r="D115" s="354" t="s">
        <v>394</v>
      </c>
      <c r="E115" s="354"/>
      <c r="F115" s="354"/>
      <c r="G115" s="354"/>
      <c r="H115" s="354"/>
      <c r="I115" s="354"/>
      <c r="J115" s="354"/>
      <c r="K115" s="354"/>
      <c r="L115" s="354"/>
      <c r="M115" s="354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4" t="s">
        <v>394</v>
      </c>
      <c r="E116" s="354"/>
      <c r="F116" s="354"/>
      <c r="G116" s="354"/>
      <c r="H116" s="354"/>
      <c r="I116" s="354"/>
      <c r="J116" s="354"/>
      <c r="K116" s="354"/>
      <c r="L116" s="354"/>
      <c r="M116" s="354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305.39731969446575</v>
      </c>
      <c r="O117" s="52">
        <f t="shared" ref="O117:S117" si="70">O$65+O$66+O$67+O$68-O$81-O$82-O$85</f>
        <v>248.53574331964094</v>
      </c>
      <c r="P117" s="52">
        <f t="shared" si="70"/>
        <v>267.37904726692847</v>
      </c>
      <c r="Q117" s="52">
        <f t="shared" si="70"/>
        <v>276.21613642725845</v>
      </c>
      <c r="R117" s="52">
        <f t="shared" si="70"/>
        <v>293.84215464386546</v>
      </c>
      <c r="S117" s="138">
        <f t="shared" si="70"/>
        <v>306.10168186765804</v>
      </c>
      <c r="T117" t="s">
        <v>580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-21.697319694465762</v>
      </c>
      <c r="O118" s="39">
        <f t="shared" ref="O118:S118" si="71">(N$117-O$117)</f>
        <v>56.861576374824807</v>
      </c>
      <c r="P118" s="39">
        <f t="shared" si="71"/>
        <v>-18.843303947287524</v>
      </c>
      <c r="Q118" s="39">
        <f t="shared" si="71"/>
        <v>-8.837089160329981</v>
      </c>
      <c r="R118" s="39">
        <f t="shared" si="71"/>
        <v>-17.626018216607008</v>
      </c>
      <c r="S118" s="99">
        <f t="shared" si="71"/>
        <v>-12.259527223792588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5" t="s">
        <v>394</v>
      </c>
      <c r="E120" s="355"/>
      <c r="F120" s="355"/>
      <c r="G120" s="355"/>
      <c r="H120" s="355"/>
      <c r="I120" s="355"/>
      <c r="J120" s="355"/>
      <c r="K120" s="355"/>
      <c r="L120" s="355"/>
      <c r="M120" s="355"/>
      <c r="N120" s="137">
        <f t="shared" ref="N120:S120" si="74">-(N77-M77)+(N93-M93)</f>
        <v>33.9720200000001</v>
      </c>
      <c r="O120" s="52">
        <f t="shared" si="74"/>
        <v>-2.3382880800000407</v>
      </c>
      <c r="P120" s="52">
        <f t="shared" si="74"/>
        <v>42.444839056967993</v>
      </c>
      <c r="Q120" s="52">
        <f>-(Q77-P77)+(Q93-P93)</f>
        <v>19.24009998609057</v>
      </c>
      <c r="R120" s="52">
        <f t="shared" si="74"/>
        <v>39.279038928746616</v>
      </c>
      <c r="S120" s="138">
        <f t="shared" si="74"/>
        <v>27.327908395672182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572.25282368686771</v>
      </c>
      <c r="O121" s="89">
        <f t="shared" ca="1" si="75"/>
        <v>733.40145791268424</v>
      </c>
      <c r="P121" s="89">
        <f t="shared" ca="1" si="75"/>
        <v>933.71905515786716</v>
      </c>
      <c r="Q121" s="89">
        <f t="shared" ca="1" si="75"/>
        <v>1115.1697378579156</v>
      </c>
      <c r="R121" s="89">
        <f t="shared" ca="1" si="75"/>
        <v>1396.8964600055151</v>
      </c>
      <c r="S121" s="95">
        <f t="shared" ca="1" si="75"/>
        <v>1591.8499962286051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-215.11135975680003</v>
      </c>
      <c r="P123" s="57">
        <f>'Olin D&amp;A'!O17</f>
        <v>-230.79297788307073</v>
      </c>
      <c r="Q123" s="57">
        <f>'Olin D&amp;A'!P17</f>
        <v>-237.90140160186931</v>
      </c>
      <c r="R123" s="57">
        <f>'Olin D&amp;A'!Q17</f>
        <v>-252.4133870995833</v>
      </c>
      <c r="S123" s="97">
        <f>'Olin D&amp;A'!R17</f>
        <v>-262.50992258356666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-215.11135975680003</v>
      </c>
      <c r="P128" s="112">
        <f t="shared" si="78"/>
        <v>-230.79297788307073</v>
      </c>
      <c r="Q128" s="112">
        <f t="shared" si="78"/>
        <v>-237.90140160186931</v>
      </c>
      <c r="R128" s="112">
        <f t="shared" si="78"/>
        <v>-252.4133870995833</v>
      </c>
      <c r="S128" s="127">
        <f t="shared" si="78"/>
        <v>-262.50992258356666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0</v>
      </c>
      <c r="O130" s="39">
        <f ca="1">'Olin Debt'!E$42</f>
        <v>0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10</v>
      </c>
      <c r="O132" s="50">
        <v>12</v>
      </c>
      <c r="P132" s="50">
        <v>14</v>
      </c>
      <c r="Q132" s="50">
        <v>15</v>
      </c>
      <c r="R132" s="50">
        <v>16</v>
      </c>
      <c r="S132" s="105">
        <v>16</v>
      </c>
      <c r="T132" t="s">
        <v>580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-91.44</v>
      </c>
      <c r="O133" s="39">
        <f>'Olin Equity Schedule'!N$33</f>
        <v>-91.88</v>
      </c>
      <c r="P133" s="39">
        <f>'Olin Equity Schedule'!O$33</f>
        <v>-92.28</v>
      </c>
      <c r="Q133" s="39">
        <f>'Olin Equity Schedule'!P$33</f>
        <v>-92.68</v>
      </c>
      <c r="R133" s="39">
        <f>'Olin Equity Schedule'!Q$33</f>
        <v>-93.08</v>
      </c>
      <c r="S133" s="99">
        <f>'Olin Equity Schedule'!R$33</f>
        <v>-93.48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-191.14</v>
      </c>
      <c r="O134" s="89">
        <f t="shared" ca="1" si="79"/>
        <v>-79.88</v>
      </c>
      <c r="P134" s="89">
        <f t="shared" ca="1" si="79"/>
        <v>-78.28</v>
      </c>
      <c r="Q134" s="89">
        <f t="shared" ca="1" si="79"/>
        <v>-77.680000000000007</v>
      </c>
      <c r="R134" s="89">
        <f t="shared" ca="1" si="79"/>
        <v>-605.17999999999995</v>
      </c>
      <c r="S134" s="95">
        <f t="shared" ca="1" si="79"/>
        <v>-77.48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165.13756288686773</v>
      </c>
      <c r="O137" s="89">
        <f t="shared" ca="1" si="81"/>
        <v>438.41009815588416</v>
      </c>
      <c r="P137" s="89">
        <f t="shared" ca="1" si="81"/>
        <v>624.64607727479643</v>
      </c>
      <c r="Q137" s="89">
        <f t="shared" ca="1" si="81"/>
        <v>799.5883362560462</v>
      </c>
      <c r="R137" s="89">
        <f t="shared" ca="1" si="81"/>
        <v>539.3030729059318</v>
      </c>
      <c r="S137" s="95">
        <f t="shared" ca="1" si="81"/>
        <v>1251.8600736450385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332.73756288686775</v>
      </c>
      <c r="P138" s="39">
        <f t="shared" ca="1" si="82"/>
        <v>771.14766104275191</v>
      </c>
      <c r="Q138" s="39">
        <f t="shared" ca="1" si="82"/>
        <v>1395.7937383175483</v>
      </c>
      <c r="R138" s="39">
        <f ca="1">Q139</f>
        <v>2195.3820745735948</v>
      </c>
      <c r="S138" s="99">
        <f t="shared" ca="1" si="82"/>
        <v>2734.6851474795267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332.73756288686775</v>
      </c>
      <c r="O139" s="135">
        <f t="shared" ref="O139:S139" ca="1" si="83">O$138+O$137</f>
        <v>771.14766104275191</v>
      </c>
      <c r="P139" s="135">
        <f t="shared" ca="1" si="83"/>
        <v>1395.7937383175483</v>
      </c>
      <c r="Q139" s="135">
        <f t="shared" ca="1" si="83"/>
        <v>2195.3820745735948</v>
      </c>
      <c r="R139" s="135">
        <f t="shared" ca="1" si="83"/>
        <v>2734.6851474795267</v>
      </c>
      <c r="S139" s="136">
        <f t="shared" ca="1" si="83"/>
        <v>3986.5452211245652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178.16854848000003</v>
      </c>
      <c r="O141" s="39">
        <f t="shared" ref="O141:S141" si="84">O$44</f>
        <v>315.31545579628801</v>
      </c>
      <c r="P141" s="39">
        <f t="shared" si="84"/>
        <v>602.94456716309196</v>
      </c>
      <c r="Q141" s="39">
        <f t="shared" si="84"/>
        <v>841.17755397744077</v>
      </c>
      <c r="R141" s="39">
        <f t="shared" si="84"/>
        <v>1176.0337562785962</v>
      </c>
      <c r="S141" s="99">
        <f t="shared" si="84"/>
        <v>1407.7070854135154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684.47543104320005</v>
      </c>
      <c r="O142" s="57">
        <f t="shared" si="85"/>
        <v>834.02385035563532</v>
      </c>
      <c r="P142" s="57">
        <f t="shared" si="85"/>
        <v>1134.3841875139954</v>
      </c>
      <c r="Q142" s="57">
        <f t="shared" si="85"/>
        <v>1386.2093113334076</v>
      </c>
      <c r="R142" s="57">
        <f t="shared" si="85"/>
        <v>1726.3846425069053</v>
      </c>
      <c r="S142" s="97">
        <f t="shared" si="85"/>
        <v>1972.9907476226358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2388.5111871131321</v>
      </c>
      <c r="O143" s="39">
        <f ca="1">'Olin Debt'!E47</f>
        <v>1953.7498389572481</v>
      </c>
      <c r="P143" s="39">
        <f ca="1">'Olin Debt'!F47</f>
        <v>1332.3775116824515</v>
      </c>
      <c r="Q143" s="39">
        <f ca="1">'Olin Debt'!G47</f>
        <v>536.06292542640495</v>
      </c>
      <c r="R143" s="39">
        <f ca="1">'Olin Debt'!H47</f>
        <v>-529.09139747952668</v>
      </c>
      <c r="S143" s="99">
        <f ca="1">'Olin Debt'!I47</f>
        <v>-1780.2827211245653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356.27756288686771</v>
      </c>
      <c r="O144" s="141">
        <f t="shared" ref="O144:S144" ca="1" si="86">O$121+O$123</f>
        <v>518.29009815588415</v>
      </c>
      <c r="P144" s="141">
        <f t="shared" ca="1" si="86"/>
        <v>702.9260772747964</v>
      </c>
      <c r="Q144" s="141">
        <f t="shared" ca="1" si="86"/>
        <v>877.26833625604627</v>
      </c>
      <c r="R144" s="141">
        <f t="shared" ca="1" si="86"/>
        <v>1144.4830729059317</v>
      </c>
      <c r="S144" s="142">
        <f t="shared" ca="1" si="86"/>
        <v>1329.3400736450385</v>
      </c>
    </row>
    <row r="149" spans="15:15" x14ac:dyDescent="0.15">
      <c r="O149" s="48"/>
    </row>
  </sheetData>
  <mergeCells count="16"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  <mergeCell ref="C2:S2"/>
    <mergeCell ref="D3:M3"/>
    <mergeCell ref="N3:S3"/>
    <mergeCell ref="C30:S30"/>
    <mergeCell ref="D31:M31"/>
    <mergeCell ref="N31:S31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topLeftCell="A77" workbookViewId="0">
      <selection activeCell="H13" sqref="H13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8" t="s">
        <v>423</v>
      </c>
      <c r="C14" s="359"/>
      <c r="D14" s="359"/>
      <c r="E14" s="359"/>
      <c r="F14" s="359"/>
      <c r="G14" s="359"/>
      <c r="H14" s="359"/>
      <c r="I14" s="359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577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7" t="s">
        <v>411</v>
      </c>
      <c r="C31" s="357"/>
      <c r="D31" s="357"/>
      <c r="E31" s="357"/>
      <c r="F31" s="357"/>
      <c r="G31" s="357"/>
      <c r="H31" s="357"/>
      <c r="I31" s="357"/>
    </row>
    <row r="32" spans="1:15" x14ac:dyDescent="0.15">
      <c r="A32" s="167"/>
      <c r="B32" s="168"/>
      <c r="C32" s="168" t="s">
        <v>399</v>
      </c>
      <c r="D32" s="339" t="s">
        <v>400</v>
      </c>
      <c r="E32" s="339"/>
      <c r="F32" s="339"/>
      <c r="G32" s="339"/>
      <c r="H32" s="339"/>
      <c r="I32" s="339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t="shared" ref="D37:I37" ca="1" si="1">(+D54+D62+D70+D78+D86+D94+D102)-D36</f>
        <v>2395.6999999999998</v>
      </c>
      <c r="E37" s="46">
        <f t="shared" ca="1" si="1"/>
        <v>2735.7</v>
      </c>
      <c r="F37" s="46">
        <f t="shared" ca="1" si="1"/>
        <v>2066.3999999999996</v>
      </c>
      <c r="G37" s="46">
        <f t="shared" ca="1" si="1"/>
        <v>1692.3</v>
      </c>
      <c r="H37" s="46">
        <f t="shared" ca="1" si="1"/>
        <v>2207.6</v>
      </c>
      <c r="I37" s="46">
        <f t="shared" ca="1" si="1"/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 t="shared" ref="C39:I39" si="2">C36+C37+C38</f>
        <v>2827.2999999999997</v>
      </c>
      <c r="D39" s="46">
        <f t="shared" ca="1" si="2"/>
        <v>2721.2487499999997</v>
      </c>
      <c r="E39" s="46">
        <f t="shared" ca="1" si="2"/>
        <v>2724.8975</v>
      </c>
      <c r="F39" s="46">
        <f t="shared" ca="1" si="2"/>
        <v>2728.1712499999999</v>
      </c>
      <c r="G39" s="46">
        <f t="shared" ca="1" si="2"/>
        <v>2731.4449999999997</v>
      </c>
      <c r="H39" s="46">
        <f t="shared" ca="1" si="2"/>
        <v>2205.59375</v>
      </c>
      <c r="I39" s="46">
        <f t="shared" ca="1" si="2"/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332.73756288686775</v>
      </c>
      <c r="E40" s="46">
        <f ca="1">'Olin Standalone'!O139</f>
        <v>771.14766104275191</v>
      </c>
      <c r="F40" s="46">
        <f ca="1">'Olin Standalone'!P139</f>
        <v>1395.7937383175483</v>
      </c>
      <c r="G40" s="46">
        <f ca="1">'Olin Standalone'!Q139</f>
        <v>2195.3820745735948</v>
      </c>
      <c r="H40" s="46">
        <f ca="1">'Olin Standalone'!R139</f>
        <v>2734.6851474795267</v>
      </c>
      <c r="I40" s="46">
        <f ca="1">'Olin Standalone'!S139</f>
        <v>3986.5452211245652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t="shared" ref="D42:I42" ca="1" si="3">+D51-D52-D53+D91-D92-D93</f>
        <v>0</v>
      </c>
      <c r="E42" s="46">
        <f t="shared" ca="1" si="3"/>
        <v>0</v>
      </c>
      <c r="F42" s="46">
        <f t="shared" ca="1" si="3"/>
        <v>0</v>
      </c>
      <c r="G42" s="46">
        <f t="shared" ca="1" si="3"/>
        <v>0</v>
      </c>
      <c r="H42" s="46">
        <f t="shared" ca="1" si="3"/>
        <v>0</v>
      </c>
      <c r="I42" s="46">
        <f t="shared" ca="1" si="3"/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 t="shared" ref="D43:I43" si="4">+D59-D60-D61+D67-D68-D69+D75-D76-D77+D83-D84-D85+D99-D100-D101</f>
        <v>-109.7</v>
      </c>
      <c r="E43" s="46">
        <f t="shared" si="4"/>
        <v>0</v>
      </c>
      <c r="F43" s="46">
        <f t="shared" si="4"/>
        <v>0</v>
      </c>
      <c r="G43" s="46">
        <f t="shared" si="4"/>
        <v>0</v>
      </c>
      <c r="H43" s="46">
        <f t="shared" si="4"/>
        <v>-528.09999999999991</v>
      </c>
      <c r="I43" s="46">
        <f t="shared" si="4"/>
        <v>0</v>
      </c>
    </row>
    <row r="44" spans="2:12" x14ac:dyDescent="0.15">
      <c r="B44" t="s">
        <v>329</v>
      </c>
      <c r="C44" s="46">
        <f t="shared" ref="C44" si="5">+C57+C65+C73+C81+C89+C97+C105</f>
        <v>0</v>
      </c>
      <c r="D44" s="46">
        <f t="shared" ref="D44:I44" ca="1" si="6">+D55+D63+D71+D79+D87+D95+D103</f>
        <v>-154.602486</v>
      </c>
      <c r="E44" s="46">
        <f t="shared" ca="1" si="6"/>
        <v>-151.61974300000003</v>
      </c>
      <c r="F44" s="46">
        <f t="shared" ca="1" si="6"/>
        <v>-151.61974300000003</v>
      </c>
      <c r="G44" s="46">
        <f t="shared" ca="1" si="6"/>
        <v>-151.61974300000003</v>
      </c>
      <c r="H44" s="46">
        <f t="shared" ca="1" si="6"/>
        <v>-137.26070400000003</v>
      </c>
      <c r="I44" s="46">
        <f t="shared" ca="1" si="6"/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7">-(E38-D38)</f>
        <v>-3.6487500000000015</v>
      </c>
      <c r="F45" s="46">
        <f t="shared" si="7"/>
        <v>-3.2737499999999988</v>
      </c>
      <c r="G45" s="46">
        <f t="shared" si="7"/>
        <v>-3.2737499999999997</v>
      </c>
      <c r="H45" s="46">
        <f t="shared" si="7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8">D44+D45</f>
        <v>-158.25123600000001</v>
      </c>
      <c r="E46" s="46">
        <f t="shared" ca="1" si="8"/>
        <v>-155.26849300000003</v>
      </c>
      <c r="F46" s="46">
        <f t="shared" ca="1" si="8"/>
        <v>-154.89349300000003</v>
      </c>
      <c r="G46" s="46">
        <f t="shared" ca="1" si="8"/>
        <v>-154.89349300000003</v>
      </c>
      <c r="H46" s="46">
        <f t="shared" ca="1" si="8"/>
        <v>-139.50945400000003</v>
      </c>
      <c r="I46" s="46">
        <f t="shared" ca="1" si="8"/>
        <v>-123.57041500000001</v>
      </c>
    </row>
    <row r="47" spans="2:12" ht="14" thickBot="1" x14ac:dyDescent="0.2">
      <c r="B47" s="133" t="s">
        <v>198</v>
      </c>
      <c r="C47" s="170">
        <f t="shared" ref="C47:I47" si="9">C39-C40</f>
        <v>2659.7</v>
      </c>
      <c r="D47" s="170">
        <f t="shared" ca="1" si="9"/>
        <v>2388.5111871131321</v>
      </c>
      <c r="E47" s="170">
        <f t="shared" ca="1" si="9"/>
        <v>1953.7498389572481</v>
      </c>
      <c r="F47" s="170">
        <f t="shared" ca="1" si="9"/>
        <v>1332.3775116824515</v>
      </c>
      <c r="G47" s="170">
        <f t="shared" ca="1" si="9"/>
        <v>536.06292542640495</v>
      </c>
      <c r="H47" s="170">
        <f t="shared" ca="1" si="9"/>
        <v>-529.09139747952668</v>
      </c>
      <c r="I47" s="170">
        <f t="shared" ca="1" si="9"/>
        <v>-1780.2827211245653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 t="shared" ref="D50:I50" si="10">C54</f>
        <v>0</v>
      </c>
      <c r="E50" s="46">
        <f t="shared" ca="1" si="10"/>
        <v>0</v>
      </c>
      <c r="F50" s="46">
        <f t="shared" ca="1" si="10"/>
        <v>0</v>
      </c>
      <c r="G50" s="46">
        <f t="shared" ca="1" si="10"/>
        <v>0</v>
      </c>
      <c r="H50" s="46">
        <f t="shared" ca="1" si="10"/>
        <v>0</v>
      </c>
      <c r="I50" s="46">
        <f t="shared" ca="1" si="10"/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109.7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0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t="shared" ref="D54:I54" ca="1" si="11">D50+D51-D52-D53</f>
        <v>0</v>
      </c>
      <c r="E54" s="46">
        <f t="shared" ca="1" si="11"/>
        <v>0</v>
      </c>
      <c r="F54" s="46">
        <f t="shared" ca="1" si="11"/>
        <v>0</v>
      </c>
      <c r="G54" s="46">
        <f t="shared" ca="1" si="11"/>
        <v>0</v>
      </c>
      <c r="H54" s="46">
        <f t="shared" ca="1" si="11"/>
        <v>0</v>
      </c>
      <c r="I54" s="46">
        <f t="shared" ca="1" si="11"/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0</v>
      </c>
      <c r="E55" s="46">
        <f ca="1">-AVERAGE(E50,E54)*'Olin Debt'!$C$16</f>
        <v>0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 t="shared" ref="D58:I58" si="12">C62</f>
        <v>637.79999999999995</v>
      </c>
      <c r="E58" s="46">
        <f t="shared" si="12"/>
        <v>528.09999999999991</v>
      </c>
      <c r="F58" s="46">
        <f t="shared" si="12"/>
        <v>528.09999999999991</v>
      </c>
      <c r="G58" s="46">
        <f t="shared" si="12"/>
        <v>528.09999999999991</v>
      </c>
      <c r="H58" s="46">
        <f t="shared" si="12"/>
        <v>528.09999999999991</v>
      </c>
      <c r="I58" s="46">
        <f t="shared" si="12"/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 t="shared" ref="D62:I62" si="13">D58+D59-D60-D61</f>
        <v>528.09999999999991</v>
      </c>
      <c r="E62" s="46">
        <f t="shared" si="13"/>
        <v>528.09999999999991</v>
      </c>
      <c r="F62" s="46">
        <f t="shared" si="13"/>
        <v>528.09999999999991</v>
      </c>
      <c r="G62" s="46">
        <f t="shared" si="13"/>
        <v>528.09999999999991</v>
      </c>
      <c r="H62" s="46">
        <f t="shared" si="13"/>
        <v>0</v>
      </c>
      <c r="I62" s="46">
        <f t="shared" si="13"/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 t="shared" ref="D66:I66" si="14">C70</f>
        <v>669.3</v>
      </c>
      <c r="E66" s="46">
        <f t="shared" si="14"/>
        <v>669.3</v>
      </c>
      <c r="F66" s="46">
        <f t="shared" si="14"/>
        <v>669.3</v>
      </c>
      <c r="G66" s="46">
        <f t="shared" si="14"/>
        <v>669.3</v>
      </c>
      <c r="H66" s="46">
        <f t="shared" si="14"/>
        <v>669.3</v>
      </c>
      <c r="I66" s="46">
        <f t="shared" si="14"/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 t="shared" ref="D70:I70" si="15">D66+D67-D68-D69</f>
        <v>669.3</v>
      </c>
      <c r="E70" s="46">
        <f t="shared" si="15"/>
        <v>669.3</v>
      </c>
      <c r="F70" s="46">
        <f t="shared" si="15"/>
        <v>669.3</v>
      </c>
      <c r="G70" s="46">
        <f t="shared" si="15"/>
        <v>669.3</v>
      </c>
      <c r="H70" s="46">
        <f t="shared" si="15"/>
        <v>669.3</v>
      </c>
      <c r="I70" s="46">
        <f t="shared" si="15"/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 t="shared" ref="D74:I74" si="16">C78</f>
        <v>515.29999999999995</v>
      </c>
      <c r="E74" s="46">
        <f t="shared" si="16"/>
        <v>515.29999999999995</v>
      </c>
      <c r="F74" s="46">
        <f t="shared" si="16"/>
        <v>515.29999999999995</v>
      </c>
      <c r="G74" s="46">
        <f t="shared" si="16"/>
        <v>515.29999999999995</v>
      </c>
      <c r="H74" s="46">
        <f t="shared" si="16"/>
        <v>515.29999999999995</v>
      </c>
      <c r="I74" s="46">
        <f t="shared" si="16"/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 t="shared" ref="D78:I78" si="17">D74+D75-D76-D77</f>
        <v>515.29999999999995</v>
      </c>
      <c r="E78" s="46">
        <f t="shared" si="17"/>
        <v>515.29999999999995</v>
      </c>
      <c r="F78" s="46">
        <f t="shared" si="17"/>
        <v>515.29999999999995</v>
      </c>
      <c r="G78" s="46">
        <f t="shared" si="17"/>
        <v>515.29999999999995</v>
      </c>
      <c r="H78" s="46">
        <f t="shared" si="17"/>
        <v>515.29999999999995</v>
      </c>
      <c r="I78" s="46">
        <f t="shared" si="17"/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 t="shared" ref="D82:I82" si="18">C86</f>
        <v>600</v>
      </c>
      <c r="E82" s="46">
        <f t="shared" si="18"/>
        <v>600</v>
      </c>
      <c r="F82" s="46">
        <f t="shared" si="18"/>
        <v>600</v>
      </c>
      <c r="G82" s="46">
        <f t="shared" si="18"/>
        <v>600</v>
      </c>
      <c r="H82" s="46">
        <f t="shared" si="18"/>
        <v>600</v>
      </c>
      <c r="I82" s="46">
        <f t="shared" si="18"/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 t="shared" ref="D86:I86" si="19">D82+D83-D84-D85</f>
        <v>600</v>
      </c>
      <c r="E86" s="46">
        <f t="shared" si="19"/>
        <v>600</v>
      </c>
      <c r="F86" s="46">
        <f t="shared" si="19"/>
        <v>600</v>
      </c>
      <c r="G86" s="46">
        <f t="shared" si="19"/>
        <v>600</v>
      </c>
      <c r="H86" s="46">
        <f t="shared" si="19"/>
        <v>600</v>
      </c>
      <c r="I86" s="46">
        <f t="shared" si="19"/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 t="shared" ref="D90:I90" si="20">C94</f>
        <v>340</v>
      </c>
      <c r="E90" s="46">
        <f t="shared" si="20"/>
        <v>340</v>
      </c>
      <c r="F90" s="46">
        <f t="shared" si="20"/>
        <v>340</v>
      </c>
      <c r="G90" s="46">
        <f t="shared" si="20"/>
        <v>340</v>
      </c>
      <c r="H90" s="46">
        <f t="shared" si="20"/>
        <v>340</v>
      </c>
      <c r="I90" s="46">
        <f t="shared" si="20"/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 t="shared" ref="D94:I94" si="21">D90+D91-D92-D93</f>
        <v>340</v>
      </c>
      <c r="E94" s="46">
        <f t="shared" si="21"/>
        <v>340</v>
      </c>
      <c r="F94" s="46">
        <f t="shared" si="21"/>
        <v>340</v>
      </c>
      <c r="G94" s="46">
        <f t="shared" si="21"/>
        <v>340</v>
      </c>
      <c r="H94" s="46">
        <f t="shared" si="21"/>
        <v>340</v>
      </c>
      <c r="I94" s="46">
        <f t="shared" si="21"/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 t="shared" ref="D98:I98" si="22">C102</f>
        <v>83</v>
      </c>
      <c r="E98" s="46">
        <f t="shared" si="22"/>
        <v>83</v>
      </c>
      <c r="F98" s="46">
        <f t="shared" si="22"/>
        <v>83</v>
      </c>
      <c r="G98" s="46">
        <f t="shared" si="22"/>
        <v>83</v>
      </c>
      <c r="H98" s="46">
        <f t="shared" si="22"/>
        <v>83</v>
      </c>
      <c r="I98" s="46">
        <f t="shared" si="22"/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 t="shared" ref="D102:I102" si="23">D98+D99-D100-D101</f>
        <v>83</v>
      </c>
      <c r="E102" s="46">
        <f t="shared" si="23"/>
        <v>83</v>
      </c>
      <c r="F102" s="46">
        <f t="shared" si="23"/>
        <v>83</v>
      </c>
      <c r="G102" s="46">
        <f t="shared" si="23"/>
        <v>83</v>
      </c>
      <c r="H102" s="46">
        <f t="shared" si="23"/>
        <v>83</v>
      </c>
      <c r="I102" s="46">
        <f t="shared" si="23"/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topLeftCell="A5" workbookViewId="0"/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0.6</v>
      </c>
      <c r="N8" s="189">
        <v>0.5</v>
      </c>
      <c r="O8" s="189">
        <v>0.5</v>
      </c>
      <c r="P8" s="189">
        <v>0.5</v>
      </c>
      <c r="Q8" s="189">
        <v>0.5</v>
      </c>
      <c r="R8" s="190">
        <v>0.5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114.6</v>
      </c>
      <c r="O16" s="39">
        <f t="shared" si="10"/>
        <v>115.1</v>
      </c>
      <c r="P16" s="39">
        <f t="shared" si="10"/>
        <v>115.6</v>
      </c>
      <c r="Q16" s="39">
        <f t="shared" si="10"/>
        <v>116.1</v>
      </c>
      <c r="R16" s="99">
        <f t="shared" si="10"/>
        <v>116.6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0.6</v>
      </c>
      <c r="N17" s="56">
        <f t="shared" si="12"/>
        <v>0.5</v>
      </c>
      <c r="O17" s="56">
        <f t="shared" si="12"/>
        <v>0.5</v>
      </c>
      <c r="P17" s="56">
        <f t="shared" si="12"/>
        <v>0.5</v>
      </c>
      <c r="Q17" s="56">
        <f t="shared" si="12"/>
        <v>0.5</v>
      </c>
      <c r="R17" s="156">
        <f t="shared" si="12"/>
        <v>0.5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114.6</v>
      </c>
      <c r="N18" s="39">
        <f t="shared" ref="N18:R18" si="13">N$16+N$17</f>
        <v>115.1</v>
      </c>
      <c r="O18" s="39">
        <f t="shared" si="13"/>
        <v>115.6</v>
      </c>
      <c r="P18" s="39">
        <f t="shared" si="13"/>
        <v>116.1</v>
      </c>
      <c r="Q18" s="39">
        <f t="shared" si="13"/>
        <v>116.6</v>
      </c>
      <c r="R18" s="99">
        <f t="shared" si="13"/>
        <v>117.1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114.3</v>
      </c>
      <c r="N19" s="57">
        <f t="shared" ref="N19:R19" si="14">AVERAGE(N$16,N$18)</f>
        <v>114.85</v>
      </c>
      <c r="O19" s="57">
        <f t="shared" si="14"/>
        <v>115.35</v>
      </c>
      <c r="P19" s="57">
        <f t="shared" si="14"/>
        <v>115.85</v>
      </c>
      <c r="Q19" s="57">
        <f t="shared" si="14"/>
        <v>116.35</v>
      </c>
      <c r="R19" s="97">
        <f t="shared" si="14"/>
        <v>116.85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115.8</v>
      </c>
      <c r="N21" s="57">
        <f t="shared" si="17"/>
        <v>116.35</v>
      </c>
      <c r="O21" s="57">
        <f t="shared" si="17"/>
        <v>116.85</v>
      </c>
      <c r="P21" s="57">
        <f t="shared" si="17"/>
        <v>117.35</v>
      </c>
      <c r="Q21" s="57">
        <f t="shared" si="17"/>
        <v>117.85</v>
      </c>
      <c r="R21" s="97">
        <f t="shared" si="17"/>
        <v>118.35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-91.44</v>
      </c>
      <c r="N24" s="57">
        <f t="shared" ref="N24:R24" si="19">N$23*N$19*-1</f>
        <v>-91.88</v>
      </c>
      <c r="O24" s="57">
        <f t="shared" si="19"/>
        <v>-92.28</v>
      </c>
      <c r="P24" s="57">
        <f t="shared" si="19"/>
        <v>-92.68</v>
      </c>
      <c r="Q24" s="57">
        <f t="shared" si="19"/>
        <v>-93.08</v>
      </c>
      <c r="R24" s="97">
        <f t="shared" si="19"/>
        <v>-93.48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114.19999999999999</v>
      </c>
      <c r="N26" s="39">
        <f t="shared" si="20"/>
        <v>114.69999999999999</v>
      </c>
      <c r="O26" s="39">
        <f t="shared" si="20"/>
        <v>115.19999999999999</v>
      </c>
      <c r="P26" s="39">
        <f t="shared" si="20"/>
        <v>115.69999999999999</v>
      </c>
      <c r="Q26" s="39">
        <f t="shared" si="20"/>
        <v>116.19999999999999</v>
      </c>
      <c r="R26" s="99">
        <f t="shared" si="20"/>
        <v>116.69999999999999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29.400000000000006</v>
      </c>
      <c r="N27" s="39">
        <f>M27+N28+'Olin Standalone'!O132-(N26-M26)-(N29-M29)</f>
        <v>60.900000000000006</v>
      </c>
      <c r="O27" s="39">
        <f>N27+O28+'Olin Standalone'!P132-(O26-N26)-(O29-N29)</f>
        <v>94.4</v>
      </c>
      <c r="P27" s="39">
        <f>O27+P28+'Olin Standalone'!Q132-(P26-O26)-(P29-O29)</f>
        <v>128.9</v>
      </c>
      <c r="Q27" s="39">
        <f>P27+Q28+'Olin Standalone'!R132-(Q26-P26)-(Q29-P29)</f>
        <v>164.4</v>
      </c>
      <c r="R27" s="99">
        <f>Q27+R28+'Olin Standalone'!S132-(R26-Q26)-(R29-Q29)</f>
        <v>199.9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2081.3824908181336</v>
      </c>
      <c r="O31" s="39">
        <f t="shared" ca="1" si="22"/>
        <v>2129.0235158766459</v>
      </c>
      <c r="P31" s="39">
        <f t="shared" ca="1" si="22"/>
        <v>2395.1476655739289</v>
      </c>
      <c r="Q31" s="39">
        <f t="shared" ca="1" si="22"/>
        <v>2841.9288852501172</v>
      </c>
      <c r="R31" s="99">
        <f t="shared" ca="1" si="22"/>
        <v>3554.4926883151838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33.022490818133349</v>
      </c>
      <c r="N32" s="39">
        <f ca="1">'Olin Standalone'!O$51</f>
        <v>139.52102505851218</v>
      </c>
      <c r="O32" s="39">
        <f ca="1">'Olin Standalone'!P$51</f>
        <v>358.40414969728317</v>
      </c>
      <c r="P32" s="39">
        <f ca="1">'Olin Standalone'!Q$51</f>
        <v>539.46121967618831</v>
      </c>
      <c r="Q32" s="39">
        <f ca="1">'Olin Standalone'!R$51</f>
        <v>805.64380306506644</v>
      </c>
      <c r="R32" s="99">
        <f ca="1">'Olin Standalone'!S$51</f>
        <v>993.82920284760507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-91.44</v>
      </c>
      <c r="N33" s="39">
        <f t="shared" ref="N33:R33" si="24">N$24</f>
        <v>-91.88</v>
      </c>
      <c r="O33" s="39">
        <f t="shared" si="24"/>
        <v>-92.28</v>
      </c>
      <c r="P33" s="39">
        <f t="shared" si="24"/>
        <v>-92.68</v>
      </c>
      <c r="Q33" s="39">
        <f t="shared" si="24"/>
        <v>-93.08</v>
      </c>
      <c r="R33" s="99">
        <f t="shared" si="24"/>
        <v>-93.48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2081.3824908181336</v>
      </c>
      <c r="N35" s="89">
        <f t="shared" ref="N35:R35" ca="1" si="26">N$31+N$32+N$33+N$34</f>
        <v>2129.0235158766459</v>
      </c>
      <c r="O35" s="89">
        <f t="shared" ca="1" si="26"/>
        <v>2395.1476655739289</v>
      </c>
      <c r="P35" s="89">
        <f t="shared" ca="1" si="26"/>
        <v>2841.9288852501172</v>
      </c>
      <c r="Q35" s="89">
        <f t="shared" ca="1" si="26"/>
        <v>3554.4926883151838</v>
      </c>
      <c r="R35" s="95">
        <f t="shared" ca="1" si="26"/>
        <v>4454.8418911627896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1810.4824908181336</v>
      </c>
      <c r="N38" s="135">
        <f t="shared" ca="1" si="28"/>
        <v>1890.1235158766458</v>
      </c>
      <c r="O38" s="135">
        <f t="shared" ca="1" si="28"/>
        <v>2190.2476655739288</v>
      </c>
      <c r="P38" s="135">
        <f t="shared" ca="1" si="28"/>
        <v>2672.0288852501171</v>
      </c>
      <c r="Q38" s="135">
        <f t="shared" ca="1" si="28"/>
        <v>3420.5926883151838</v>
      </c>
      <c r="R38" s="136">
        <f t="shared" ca="1" si="28"/>
        <v>4356.9418911627899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580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P41" sqref="P41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4" t="s">
        <v>578</v>
      </c>
      <c r="N9" s="365"/>
      <c r="O9" s="365"/>
      <c r="P9" s="365"/>
      <c r="Q9" s="365"/>
      <c r="R9" s="366"/>
    </row>
    <row r="10" spans="1:19" x14ac:dyDescent="0.15">
      <c r="B10" t="s">
        <v>374</v>
      </c>
      <c r="C10" s="40"/>
      <c r="D10" s="42">
        <f t="shared" ref="D10:L10" si="3">D$9/AVERAGE(D$16,D$19)</f>
        <v>8.8271594207937135E-2</v>
      </c>
      <c r="E10" s="42">
        <f t="shared" si="3"/>
        <v>8.7824515280972709E-2</v>
      </c>
      <c r="F10" s="42">
        <f t="shared" si="3"/>
        <v>8.0693428450516899E-2</v>
      </c>
      <c r="G10" s="42">
        <f t="shared" si="3"/>
        <v>7.308806570472251E-2</v>
      </c>
      <c r="H10" s="42">
        <f t="shared" si="3"/>
        <v>7.0452990283289996E-2</v>
      </c>
      <c r="I10" s="42">
        <f t="shared" si="3"/>
        <v>8.088776619815341E-2</v>
      </c>
      <c r="J10" s="42">
        <f t="shared" si="3"/>
        <v>6.8614170835012797E-2</v>
      </c>
      <c r="K10" s="42">
        <f t="shared" si="3"/>
        <v>5.9882015408916564E-2</v>
      </c>
      <c r="L10" s="42">
        <f t="shared" si="3"/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4">E25-E22+E23</f>
        <v>86.599999999999795</v>
      </c>
      <c r="F11" s="39">
        <f t="shared" si="4"/>
        <v>46.800000000000068</v>
      </c>
      <c r="G11" s="39">
        <f t="shared" si="4"/>
        <v>67.999999999999659</v>
      </c>
      <c r="H11" s="39">
        <f t="shared" si="4"/>
        <v>158.10000000000014</v>
      </c>
      <c r="I11" s="39">
        <f t="shared" si="4"/>
        <v>262.19999999999959</v>
      </c>
      <c r="J11" s="39">
        <f t="shared" si="4"/>
        <v>105.90000000000077</v>
      </c>
      <c r="K11" s="39">
        <f t="shared" si="4"/>
        <v>101.60000000000002</v>
      </c>
      <c r="L11" s="39">
        <f t="shared" si="4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5">MAX(E$30-E$32,0)</f>
        <v>66.899999999999977</v>
      </c>
      <c r="F12" s="52">
        <f t="shared" si="5"/>
        <v>63.5</v>
      </c>
      <c r="G12" s="52">
        <f t="shared" si="5"/>
        <v>48.700000000000045</v>
      </c>
      <c r="H12" s="52">
        <f t="shared" si="5"/>
        <v>67.699999999999989</v>
      </c>
      <c r="I12" s="52">
        <f t="shared" si="5"/>
        <v>0</v>
      </c>
      <c r="J12" s="52">
        <f t="shared" si="5"/>
        <v>14.200000000000045</v>
      </c>
      <c r="K12" s="52">
        <f t="shared" si="5"/>
        <v>53.699999999999818</v>
      </c>
      <c r="L12" s="52">
        <f t="shared" si="5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580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6">N13</f>
        <v>-0.03</v>
      </c>
      <c r="P13" s="70">
        <f t="shared" si="6"/>
        <v>-0.03</v>
      </c>
      <c r="Q13" s="70">
        <f t="shared" si="6"/>
        <v>-0.03</v>
      </c>
      <c r="R13" s="71">
        <f t="shared" si="6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7">M$19</f>
        <v>8220.1752608000006</v>
      </c>
      <c r="O16" s="39">
        <f t="shared" si="7"/>
        <v>8435.2866205568007</v>
      </c>
      <c r="P16" s="39">
        <f t="shared" si="7"/>
        <v>8666.0795984398719</v>
      </c>
      <c r="Q16" s="39">
        <f t="shared" si="7"/>
        <v>8903.9810000417419</v>
      </c>
      <c r="R16" s="99">
        <f t="shared" si="7"/>
        <v>9156.3943871413248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-215.11135975680003</v>
      </c>
      <c r="O17" s="57">
        <f>'Olin Standalone'!P$34*O$13</f>
        <v>-230.79297788307073</v>
      </c>
      <c r="P17" s="57">
        <f>'Olin Standalone'!Q$34*P$13</f>
        <v>-237.90140160186931</v>
      </c>
      <c r="Q17" s="57">
        <f>'Olin Standalone'!R$34*Q$13</f>
        <v>-252.4133870995833</v>
      </c>
      <c r="R17" s="97">
        <f>'Olin Standalone'!S$34*R$13</f>
        <v>-262.50992258356666</v>
      </c>
    </row>
    <row r="18" spans="2:18" x14ac:dyDescent="0.15">
      <c r="B18" s="41" t="s">
        <v>408</v>
      </c>
      <c r="C18" s="12"/>
      <c r="D18" s="52">
        <f t="shared" ref="D18:L18" si="8">D8</f>
        <v>18.099999999999625</v>
      </c>
      <c r="E18" s="52">
        <f t="shared" si="8"/>
        <v>-30.999999999999261</v>
      </c>
      <c r="F18" s="52">
        <f t="shared" si="8"/>
        <v>320.99999999999943</v>
      </c>
      <c r="G18" s="52">
        <f t="shared" si="8"/>
        <v>-17.099999999999795</v>
      </c>
      <c r="H18" s="52">
        <f t="shared" si="8"/>
        <v>-89.6</v>
      </c>
      <c r="I18" s="52">
        <f t="shared" si="8"/>
        <v>-156.20000000000019</v>
      </c>
      <c r="J18" s="52">
        <f t="shared" si="8"/>
        <v>11.5</v>
      </c>
      <c r="K18" s="52">
        <f t="shared" si="8"/>
        <v>-65.999999999999631</v>
      </c>
      <c r="L18" s="52">
        <f t="shared" si="8"/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9">N16-N17+N18</f>
        <v>8435.2866205568007</v>
      </c>
      <c r="O19" s="89">
        <f t="shared" si="9"/>
        <v>8666.0795984398719</v>
      </c>
      <c r="P19" s="89">
        <f t="shared" si="9"/>
        <v>8903.9810000417419</v>
      </c>
      <c r="Q19" s="89">
        <f t="shared" si="9"/>
        <v>9156.3943871413248</v>
      </c>
      <c r="R19" s="95">
        <f t="shared" si="9"/>
        <v>9418.9043097248923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10">M$25</f>
        <v>-5979.2068825631995</v>
      </c>
      <c r="O22" s="39">
        <f t="shared" si="10"/>
        <v>-6462.2152771225465</v>
      </c>
      <c r="P22" s="39">
        <f t="shared" si="10"/>
        <v>-6958.1548974734496</v>
      </c>
      <c r="Q22" s="39">
        <f t="shared" si="10"/>
        <v>-7467.6866548294165</v>
      </c>
      <c r="R22" s="99">
        <f t="shared" si="10"/>
        <v>-7991.4375410577259</v>
      </c>
    </row>
    <row r="23" spans="2:18" x14ac:dyDescent="0.15">
      <c r="B23" t="s">
        <v>363</v>
      </c>
      <c r="C23" s="39">
        <f>C36*C10</f>
        <v>0</v>
      </c>
      <c r="D23" s="39">
        <f t="shared" ref="D23:L23" si="11">D9</f>
        <v>507.79999999999995</v>
      </c>
      <c r="E23" s="39">
        <f t="shared" si="11"/>
        <v>534.49999999999989</v>
      </c>
      <c r="F23" s="39">
        <f t="shared" si="11"/>
        <v>533.9</v>
      </c>
      <c r="G23" s="39">
        <f t="shared" si="11"/>
        <v>519.69999999999993</v>
      </c>
      <c r="H23" s="39">
        <f t="shared" si="11"/>
        <v>514.79999999999995</v>
      </c>
      <c r="I23" s="39">
        <f t="shared" si="11"/>
        <v>598.79999999999995</v>
      </c>
      <c r="J23" s="39">
        <f t="shared" si="11"/>
        <v>519.20000000000005</v>
      </c>
      <c r="K23" s="39">
        <f t="shared" si="11"/>
        <v>464.4000000000002</v>
      </c>
      <c r="L23" s="39">
        <f t="shared" si="11"/>
        <v>438.09999999999991</v>
      </c>
      <c r="M23" s="98">
        <f t="shared" ref="M23:R23" si="12">AVERAGE(M$19,M$16)*M$10</f>
        <v>470.50688256320001</v>
      </c>
      <c r="N23" s="39">
        <f t="shared" si="12"/>
        <v>483.00839455934727</v>
      </c>
      <c r="O23" s="39">
        <f t="shared" si="12"/>
        <v>495.93962035090345</v>
      </c>
      <c r="P23" s="39">
        <f t="shared" si="12"/>
        <v>509.53175735596682</v>
      </c>
      <c r="Q23" s="39">
        <f t="shared" si="12"/>
        <v>523.75088622830901</v>
      </c>
      <c r="R23" s="99">
        <f t="shared" si="12"/>
        <v>538.68366220912026</v>
      </c>
    </row>
    <row r="24" spans="2:18" x14ac:dyDescent="0.15">
      <c r="B24" t="s">
        <v>365</v>
      </c>
      <c r="C24" s="39"/>
      <c r="D24" s="39">
        <f t="shared" ref="D24:M24" si="13">D$11</f>
        <v>66.299999999999955</v>
      </c>
      <c r="E24" s="39">
        <f t="shared" si="13"/>
        <v>86.599999999999795</v>
      </c>
      <c r="F24" s="39">
        <f t="shared" si="13"/>
        <v>46.800000000000068</v>
      </c>
      <c r="G24" s="39">
        <f t="shared" si="13"/>
        <v>67.999999999999659</v>
      </c>
      <c r="H24" s="39">
        <f t="shared" si="13"/>
        <v>158.10000000000014</v>
      </c>
      <c r="I24" s="39">
        <f t="shared" si="13"/>
        <v>262.19999999999959</v>
      </c>
      <c r="J24" s="39">
        <f t="shared" si="13"/>
        <v>105.90000000000077</v>
      </c>
      <c r="K24" s="39">
        <f t="shared" si="13"/>
        <v>101.60000000000002</v>
      </c>
      <c r="L24" s="39">
        <f t="shared" si="13"/>
        <v>118.59999999999991</v>
      </c>
      <c r="M24" s="98">
        <f t="shared" si="13"/>
        <v>0</v>
      </c>
      <c r="N24" s="39">
        <f t="shared" ref="N24:R24" si="14">N$11</f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99">
        <f t="shared" si="14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5">N22-N23+N24</f>
        <v>-6462.2152771225465</v>
      </c>
      <c r="O25" s="89">
        <f t="shared" si="15"/>
        <v>-6958.1548974734496</v>
      </c>
      <c r="P25" s="89">
        <f t="shared" si="15"/>
        <v>-7467.6866548294165</v>
      </c>
      <c r="Q25" s="89">
        <f t="shared" si="15"/>
        <v>-7991.4375410577259</v>
      </c>
      <c r="R25" s="95">
        <f t="shared" si="15"/>
        <v>-8530.1212032668464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6">C$19+C$25</f>
        <v>3704.9</v>
      </c>
      <c r="D27" s="135">
        <f t="shared" si="16"/>
        <v>3575.7999999999997</v>
      </c>
      <c r="E27" s="135">
        <f t="shared" si="16"/>
        <v>3482.1000000000004</v>
      </c>
      <c r="F27" s="135">
        <f t="shared" si="16"/>
        <v>3701.6</v>
      </c>
      <c r="G27" s="135">
        <f t="shared" si="16"/>
        <v>3531.7</v>
      </c>
      <c r="H27" s="135">
        <f t="shared" si="16"/>
        <v>3286</v>
      </c>
      <c r="I27" s="135">
        <f t="shared" si="16"/>
        <v>3030.0999999999995</v>
      </c>
      <c r="J27" s="135">
        <f t="shared" si="16"/>
        <v>2864.3</v>
      </c>
      <c r="K27" s="135">
        <f t="shared" si="16"/>
        <v>2630.6000000000004</v>
      </c>
      <c r="L27" s="135">
        <f t="shared" si="16"/>
        <v>2495.5</v>
      </c>
      <c r="M27" s="134">
        <f t="shared" ref="M27:R27" si="17">M$25+M$19</f>
        <v>2240.9683782368011</v>
      </c>
      <c r="N27" s="135">
        <f t="shared" si="17"/>
        <v>1973.0713434342542</v>
      </c>
      <c r="O27" s="135">
        <f t="shared" si="17"/>
        <v>1707.9247009664223</v>
      </c>
      <c r="P27" s="135">
        <f t="shared" si="17"/>
        <v>1436.2943452123254</v>
      </c>
      <c r="Q27" s="135">
        <f t="shared" si="17"/>
        <v>1164.956846083599</v>
      </c>
      <c r="R27" s="136">
        <f t="shared" si="17"/>
        <v>888.78310645804595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1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8">M$32</f>
        <v>1134.6000000000001</v>
      </c>
      <c r="O30" s="39">
        <f t="shared" si="18"/>
        <v>1098.9000000000001</v>
      </c>
      <c r="P30" s="39">
        <f t="shared" si="18"/>
        <v>1063.4000000000001</v>
      </c>
      <c r="Q30" s="39">
        <f t="shared" si="18"/>
        <v>1027.9000000000001</v>
      </c>
      <c r="R30" s="99">
        <f t="shared" si="18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9">E$12</f>
        <v>66.899999999999977</v>
      </c>
      <c r="F31" s="39">
        <f t="shared" si="19"/>
        <v>63.5</v>
      </c>
      <c r="G31" s="39">
        <f t="shared" si="19"/>
        <v>48.700000000000045</v>
      </c>
      <c r="H31" s="39">
        <f t="shared" si="19"/>
        <v>67.699999999999989</v>
      </c>
      <c r="I31" s="39">
        <f t="shared" si="19"/>
        <v>0</v>
      </c>
      <c r="J31" s="39">
        <f t="shared" si="19"/>
        <v>14.200000000000045</v>
      </c>
      <c r="K31" s="39">
        <f t="shared" si="19"/>
        <v>53.699999999999818</v>
      </c>
      <c r="L31" s="39">
        <f t="shared" si="19"/>
        <v>83.5</v>
      </c>
      <c r="M31" s="98">
        <f t="shared" ref="M31:R31" si="20">M12</f>
        <v>35.799999999999997</v>
      </c>
      <c r="N31" s="39">
        <f t="shared" si="20"/>
        <v>35.700000000000003</v>
      </c>
      <c r="O31" s="39">
        <f t="shared" si="20"/>
        <v>35.5</v>
      </c>
      <c r="P31" s="39">
        <f t="shared" si="20"/>
        <v>35.5</v>
      </c>
      <c r="Q31" s="39">
        <f t="shared" si="20"/>
        <v>26.6</v>
      </c>
      <c r="R31" s="99">
        <f t="shared" si="20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21">N$30-N$31</f>
        <v>1098.9000000000001</v>
      </c>
      <c r="O32" s="89">
        <f t="shared" si="21"/>
        <v>1063.4000000000001</v>
      </c>
      <c r="P32" s="89">
        <f t="shared" si="21"/>
        <v>1027.9000000000001</v>
      </c>
      <c r="Q32" s="89">
        <f t="shared" si="21"/>
        <v>1001.3000000000001</v>
      </c>
      <c r="R32" s="95">
        <f t="shared" si="21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22">E$23</f>
        <v>534.49999999999989</v>
      </c>
      <c r="F34" s="39">
        <f t="shared" si="22"/>
        <v>533.9</v>
      </c>
      <c r="G34" s="39">
        <f t="shared" si="22"/>
        <v>519.69999999999993</v>
      </c>
      <c r="H34" s="39">
        <f t="shared" si="22"/>
        <v>514.79999999999995</v>
      </c>
      <c r="I34" s="39">
        <f t="shared" si="22"/>
        <v>598.79999999999995</v>
      </c>
      <c r="J34" s="39">
        <f t="shared" si="22"/>
        <v>519.20000000000005</v>
      </c>
      <c r="K34" s="39">
        <f t="shared" si="22"/>
        <v>464.4000000000002</v>
      </c>
      <c r="L34" s="39">
        <f t="shared" si="22"/>
        <v>438.09999999999991</v>
      </c>
      <c r="M34" s="98">
        <f>M$23</f>
        <v>470.50688256320001</v>
      </c>
      <c r="N34" s="39">
        <f t="shared" ref="N34:R34" si="23">N$23</f>
        <v>483.00839455934727</v>
      </c>
      <c r="O34" s="39">
        <f t="shared" si="23"/>
        <v>495.93962035090345</v>
      </c>
      <c r="P34" s="39">
        <f t="shared" si="23"/>
        <v>509.53175735596682</v>
      </c>
      <c r="Q34" s="39">
        <f t="shared" si="23"/>
        <v>523.75088622830901</v>
      </c>
      <c r="R34" s="99">
        <f t="shared" si="23"/>
        <v>538.68366220912026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4">E$31</f>
        <v>66.899999999999977</v>
      </c>
      <c r="F35" s="39">
        <f t="shared" si="24"/>
        <v>63.5</v>
      </c>
      <c r="G35" s="39">
        <f t="shared" si="24"/>
        <v>48.700000000000045</v>
      </c>
      <c r="H35" s="39">
        <f t="shared" si="24"/>
        <v>67.699999999999989</v>
      </c>
      <c r="I35" s="39">
        <f t="shared" si="24"/>
        <v>0</v>
      </c>
      <c r="J35" s="39">
        <f t="shared" si="24"/>
        <v>14.200000000000045</v>
      </c>
      <c r="K35" s="39">
        <f t="shared" si="24"/>
        <v>53.699999999999818</v>
      </c>
      <c r="L35" s="39">
        <f t="shared" si="24"/>
        <v>83.5</v>
      </c>
      <c r="M35" s="98">
        <f>M$31</f>
        <v>35.799999999999997</v>
      </c>
      <c r="N35" s="39">
        <f t="shared" ref="N35:R35" si="25">N$31</f>
        <v>35.700000000000003</v>
      </c>
      <c r="O35" s="39">
        <f t="shared" si="25"/>
        <v>35.5</v>
      </c>
      <c r="P35" s="39">
        <f t="shared" si="25"/>
        <v>35.5</v>
      </c>
      <c r="Q35" s="39">
        <f t="shared" si="25"/>
        <v>26.6</v>
      </c>
      <c r="R35" s="99">
        <f t="shared" si="25"/>
        <v>26.6</v>
      </c>
      <c r="S35" t="s">
        <v>580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6">M$31+M$23</f>
        <v>506.30688256320002</v>
      </c>
      <c r="N36" s="135">
        <f t="shared" si="26"/>
        <v>518.70839455934731</v>
      </c>
      <c r="O36" s="135">
        <f t="shared" si="26"/>
        <v>531.4396203509034</v>
      </c>
      <c r="P36" s="135">
        <f t="shared" si="26"/>
        <v>545.03175735596687</v>
      </c>
      <c r="Q36" s="135">
        <f t="shared" si="26"/>
        <v>550.35088622830904</v>
      </c>
      <c r="R36" s="136">
        <f t="shared" si="26"/>
        <v>565.28366220912028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6" workbookViewId="0">
      <selection activeCell="N103" sqref="N103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41" t="s">
        <v>398</v>
      </c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</row>
    <row r="4" spans="1:19" x14ac:dyDescent="0.15">
      <c r="C4" s="90"/>
      <c r="D4" s="353" t="s">
        <v>399</v>
      </c>
      <c r="E4" s="353"/>
      <c r="F4" s="353"/>
      <c r="G4" s="353"/>
      <c r="H4" s="353"/>
      <c r="I4" s="353"/>
      <c r="J4" s="353"/>
      <c r="K4" s="353"/>
      <c r="L4" s="353"/>
      <c r="M4" s="353"/>
      <c r="N4" s="338" t="s">
        <v>400</v>
      </c>
      <c r="O4" s="339"/>
      <c r="P4" s="339"/>
      <c r="Q4" s="339"/>
      <c r="R4" s="339"/>
      <c r="S4" s="340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8.2000000000000003E-2</v>
      </c>
      <c r="O8" s="64">
        <v>7.4999999999999997E-2</v>
      </c>
      <c r="P8" s="64">
        <v>8.2000000000000003E-2</v>
      </c>
      <c r="Q8" s="64">
        <v>5.8000000000000003E-2</v>
      </c>
      <c r="R8" s="64">
        <v>6.6000000000000003E-2</v>
      </c>
      <c r="S8" s="65">
        <v>0.06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0.14499999999999999</v>
      </c>
      <c r="O9" s="67">
        <v>0.16</v>
      </c>
      <c r="P9" s="67">
        <v>0.189</v>
      </c>
      <c r="Q9" s="67">
        <v>0.21099999999999999</v>
      </c>
      <c r="R9" s="67">
        <v>0.22600000000000001</v>
      </c>
      <c r="S9" s="68">
        <v>0.23200000000000001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3" t="s">
        <v>403</v>
      </c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</row>
    <row r="32" spans="1:19" x14ac:dyDescent="0.15">
      <c r="C32" s="90"/>
      <c r="D32" s="353" t="s">
        <v>399</v>
      </c>
      <c r="E32" s="353"/>
      <c r="F32" s="353"/>
      <c r="G32" s="353"/>
      <c r="H32" s="353"/>
      <c r="I32" s="353"/>
      <c r="J32" s="353"/>
      <c r="K32" s="353"/>
      <c r="L32" s="353"/>
      <c r="M32" s="353"/>
      <c r="N32" s="338" t="s">
        <v>400</v>
      </c>
      <c r="O32" s="339"/>
      <c r="P32" s="339"/>
      <c r="Q32" s="339"/>
      <c r="R32" s="339"/>
      <c r="S32" s="340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6149.0060000000003</v>
      </c>
      <c r="O35" s="89">
        <f t="shared" ref="O35:S35" si="14">N35*(1+O$8)</f>
        <v>6610.18145</v>
      </c>
      <c r="P35" s="89">
        <f t="shared" si="14"/>
        <v>7152.2163289000009</v>
      </c>
      <c r="Q35" s="89">
        <f t="shared" si="14"/>
        <v>7567.0448759762012</v>
      </c>
      <c r="R35" s="89">
        <f t="shared" si="14"/>
        <v>8066.4698377906307</v>
      </c>
      <c r="S35" s="95">
        <f t="shared" si="14"/>
        <v>8550.4580280580685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5257.40013</v>
      </c>
      <c r="O37" s="39">
        <f t="shared" ref="O37:S37" si="15">O35*(1-O$9)</f>
        <v>5552.5524180000002</v>
      </c>
      <c r="P37" s="39">
        <f t="shared" si="15"/>
        <v>5800.4474427379</v>
      </c>
      <c r="Q37" s="39">
        <f t="shared" si="15"/>
        <v>5970.3984071452232</v>
      </c>
      <c r="R37" s="39">
        <f t="shared" si="15"/>
        <v>6243.4476544499485</v>
      </c>
      <c r="S37" s="99">
        <f t="shared" si="15"/>
        <v>6566.7517655485972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891.60587000000032</v>
      </c>
      <c r="O38" s="39">
        <f t="shared" ref="O38:S38" si="16">O$35-O$37</f>
        <v>1057.6290319999998</v>
      </c>
      <c r="P38" s="39">
        <f t="shared" si="16"/>
        <v>1351.7688861621009</v>
      </c>
      <c r="Q38" s="39">
        <f t="shared" si="16"/>
        <v>1596.6464688309779</v>
      </c>
      <c r="R38" s="39">
        <f t="shared" si="16"/>
        <v>1823.0221833406822</v>
      </c>
      <c r="S38" s="99">
        <f t="shared" si="16"/>
        <v>1983.7062625094713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725.58270800000003</v>
      </c>
      <c r="O39" s="39">
        <f t="shared" si="17"/>
        <v>780.00141109999993</v>
      </c>
      <c r="P39" s="39">
        <f t="shared" si="17"/>
        <v>843.9615268102001</v>
      </c>
      <c r="Q39" s="39">
        <f t="shared" si="17"/>
        <v>892.91129536519168</v>
      </c>
      <c r="R39" s="39">
        <f t="shared" si="17"/>
        <v>951.84344085929433</v>
      </c>
      <c r="S39" s="99">
        <f t="shared" si="17"/>
        <v>1008.954047310852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129.12912600000001</v>
      </c>
      <c r="O40" s="39">
        <f t="shared" si="18"/>
        <v>138.81381045000001</v>
      </c>
      <c r="P40" s="39">
        <f t="shared" si="18"/>
        <v>150.19654290690002</v>
      </c>
      <c r="Q40" s="39">
        <f t="shared" si="18"/>
        <v>158.90794239550024</v>
      </c>
      <c r="R40" s="39">
        <f t="shared" si="18"/>
        <v>169.39586659360324</v>
      </c>
      <c r="S40" s="99">
        <f t="shared" si="18"/>
        <v>179.55961858921944</v>
      </c>
    </row>
    <row r="41" spans="1:19" x14ac:dyDescent="0.15">
      <c r="A41" t="s">
        <v>245</v>
      </c>
      <c r="C41" s="2" t="s">
        <v>240</v>
      </c>
      <c r="D41" s="356" t="s">
        <v>461</v>
      </c>
      <c r="E41" s="356"/>
      <c r="F41" s="356"/>
      <c r="G41" s="356"/>
      <c r="H41" s="356"/>
      <c r="I41" s="356"/>
      <c r="J41" s="356"/>
      <c r="K41" s="356"/>
      <c r="L41" s="356"/>
      <c r="M41" s="356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-18.447018</v>
      </c>
      <c r="O43" s="53">
        <f t="shared" si="19"/>
        <v>-19.83054435</v>
      </c>
      <c r="P43" s="53">
        <f t="shared" si="19"/>
        <v>-21.456648986700003</v>
      </c>
      <c r="Q43" s="53">
        <f t="shared" si="19"/>
        <v>-22.701134627928603</v>
      </c>
      <c r="R43" s="53">
        <f t="shared" si="19"/>
        <v>-24.199409513371894</v>
      </c>
      <c r="S43" s="101">
        <f t="shared" si="19"/>
        <v>-25.651374084174208</v>
      </c>
    </row>
    <row r="44" spans="1:19" x14ac:dyDescent="0.15">
      <c r="A44" t="s">
        <v>100</v>
      </c>
      <c r="C44" t="s">
        <v>553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6093.6649459999999</v>
      </c>
      <c r="O44" s="39">
        <f t="shared" ref="O44:S44" si="20">SUM(O$39:O$43)+O37</f>
        <v>6451.5370952000003</v>
      </c>
      <c r="P44" s="39">
        <f t="shared" si="20"/>
        <v>6773.1488634683001</v>
      </c>
      <c r="Q44" s="39">
        <f t="shared" si="20"/>
        <v>6999.5165102779865</v>
      </c>
      <c r="R44" s="39">
        <f t="shared" si="20"/>
        <v>7340.4875523894743</v>
      </c>
      <c r="S44" s="99">
        <f t="shared" si="20"/>
        <v>7729.6140573644943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55.34105400000044</v>
      </c>
      <c r="O45" s="89">
        <f t="shared" ref="O45:S45" si="21">O$35-O$44</f>
        <v>158.64435479999975</v>
      </c>
      <c r="P45" s="89">
        <f t="shared" si="21"/>
        <v>379.06746543170084</v>
      </c>
      <c r="Q45" s="89">
        <f t="shared" si="21"/>
        <v>567.52836569821466</v>
      </c>
      <c r="R45" s="89">
        <f t="shared" si="21"/>
        <v>725.98228540115633</v>
      </c>
      <c r="S45" s="95">
        <f t="shared" si="21"/>
        <v>820.84397069357419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-26.486390444444005</v>
      </c>
      <c r="O50" s="57">
        <f t="shared" ref="O50:S50" si="24">O$45+O$47+O$48+O$49</f>
        <v>77.816910355555294</v>
      </c>
      <c r="P50" s="57">
        <f t="shared" si="24"/>
        <v>299.2400209872564</v>
      </c>
      <c r="Q50" s="57">
        <f t="shared" si="24"/>
        <v>488.70092125377022</v>
      </c>
      <c r="R50" s="57">
        <f t="shared" si="24"/>
        <v>649.65484095671195</v>
      </c>
      <c r="S50" s="97">
        <f t="shared" si="24"/>
        <v>745.51652624912981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-6.356733706666561</v>
      </c>
      <c r="O51" s="39">
        <f t="shared" si="25"/>
        <v>18.676058485333268</v>
      </c>
      <c r="P51" s="39">
        <f t="shared" si="25"/>
        <v>71.817605036941529</v>
      </c>
      <c r="Q51" s="39">
        <f t="shared" si="25"/>
        <v>117.28822110090485</v>
      </c>
      <c r="R51" s="39">
        <f t="shared" si="25"/>
        <v>155.91716182961088</v>
      </c>
      <c r="S51" s="99">
        <f t="shared" si="25"/>
        <v>178.92396629979115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-20.129656737777445</v>
      </c>
      <c r="O52" s="89">
        <f t="shared" si="26"/>
        <v>59.140851870222022</v>
      </c>
      <c r="P52" s="89">
        <f t="shared" si="26"/>
        <v>227.42241595031487</v>
      </c>
      <c r="Q52" s="89">
        <f t="shared" si="26"/>
        <v>371.41270015286534</v>
      </c>
      <c r="R52" s="89">
        <f t="shared" si="26"/>
        <v>493.73767912710105</v>
      </c>
      <c r="S52" s="95">
        <f t="shared" si="26"/>
        <v>566.59255994933869</v>
      </c>
    </row>
    <row r="53" spans="1:19" x14ac:dyDescent="0.15">
      <c r="C53" s="41" t="s">
        <v>359</v>
      </c>
      <c r="D53">
        <f t="shared" ref="D53:M53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174.4</v>
      </c>
      <c r="O55" s="53">
        <f>'Huntsman Equity Schedule'!N19</f>
        <v>175.8</v>
      </c>
      <c r="P55" s="53">
        <f>'Huntsman Equity Schedule'!O19</f>
        <v>175.8</v>
      </c>
      <c r="Q55" s="53">
        <f>'Huntsman Equity Schedule'!P19</f>
        <v>175.8</v>
      </c>
      <c r="R55" s="53">
        <f>'Huntsman Equity Schedule'!Q19</f>
        <v>175.8</v>
      </c>
      <c r="S55" s="101">
        <f>'Huntsman Equity Schedule'!R19</f>
        <v>175.8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176.5</v>
      </c>
      <c r="O57" s="39">
        <f>'Huntsman Equity Schedule'!N21</f>
        <v>177.9</v>
      </c>
      <c r="P57" s="39">
        <f>'Huntsman Equity Schedule'!O21</f>
        <v>177.9</v>
      </c>
      <c r="Q57" s="39">
        <f>'Huntsman Equity Schedule'!P21</f>
        <v>177.9</v>
      </c>
      <c r="R57" s="39">
        <f>'Huntsman Equity Schedule'!Q21</f>
        <v>177.9</v>
      </c>
      <c r="S57" s="99">
        <f>'Huntsman Equity Schedule'!R21</f>
        <v>177.9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-0.11404904667296002</v>
      </c>
      <c r="O58" s="40">
        <f t="shared" ref="O58:S58" si="30">O52/O57</f>
        <v>0.33243874013615526</v>
      </c>
      <c r="P58" s="40">
        <f t="shared" si="30"/>
        <v>1.2783722088269527</v>
      </c>
      <c r="Q58" s="40">
        <f t="shared" si="30"/>
        <v>2.0877611026018288</v>
      </c>
      <c r="R58" s="40">
        <f t="shared" si="30"/>
        <v>2.7753663807032098</v>
      </c>
      <c r="S58" s="107">
        <f t="shared" si="30"/>
        <v>3.1848935354094361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3" t="s">
        <v>232</v>
      </c>
      <c r="D61" s="343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</row>
    <row r="62" spans="1:19" x14ac:dyDescent="0.15">
      <c r="C62" s="90"/>
      <c r="D62" s="353" t="s">
        <v>399</v>
      </c>
      <c r="E62" s="353"/>
      <c r="F62" s="353"/>
      <c r="G62" s="353"/>
      <c r="H62" s="353"/>
      <c r="I62" s="353"/>
      <c r="J62" s="353"/>
      <c r="K62" s="353"/>
      <c r="L62" s="353"/>
      <c r="M62" s="353"/>
      <c r="N62" s="338" t="s">
        <v>400</v>
      </c>
      <c r="O62" s="339"/>
      <c r="P62" s="339"/>
      <c r="Q62" s="339"/>
      <c r="R62" s="339"/>
      <c r="S62" s="340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362.00175405383914</v>
      </c>
      <c r="O65" s="112">
        <f t="shared" ref="O65:S65" si="32">O$139</f>
        <v>355.42053592434524</v>
      </c>
      <c r="P65" s="112">
        <f t="shared" si="32"/>
        <v>493.12304269080812</v>
      </c>
      <c r="Q65" s="112">
        <f t="shared" si="32"/>
        <v>782.59926730236384</v>
      </c>
      <c r="R65" s="112">
        <f t="shared" si="32"/>
        <v>1175.8186140991402</v>
      </c>
      <c r="S65" s="127">
        <f t="shared" si="32"/>
        <v>1639.9625599051276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1027.6420986301371</v>
      </c>
      <c r="O66" s="39">
        <f t="shared" si="33"/>
        <v>1104.7152560273973</v>
      </c>
      <c r="P66" s="39">
        <f t="shared" si="33"/>
        <v>1195.301907021644</v>
      </c>
      <c r="Q66" s="39">
        <f t="shared" si="33"/>
        <v>1264.6294176288993</v>
      </c>
      <c r="R66" s="39">
        <f t="shared" si="33"/>
        <v>1348.0949591924068</v>
      </c>
      <c r="S66" s="99">
        <f t="shared" si="33"/>
        <v>1428.9806567439512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619.36494682191778</v>
      </c>
      <c r="O67" s="39">
        <f t="shared" si="34"/>
        <v>654.13631225753431</v>
      </c>
      <c r="P67" s="39">
        <f t="shared" si="34"/>
        <v>683.34038366501284</v>
      </c>
      <c r="Q67" s="39">
        <f t="shared" si="34"/>
        <v>703.36200412943731</v>
      </c>
      <c r="R67" s="39">
        <f t="shared" si="34"/>
        <v>735.52944970232261</v>
      </c>
      <c r="S67" s="99">
        <f t="shared" si="34"/>
        <v>773.61733128380729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101.45859900000001</v>
      </c>
      <c r="O68" s="39">
        <f t="shared" si="35"/>
        <v>109.06799392500001</v>
      </c>
      <c r="P68" s="39">
        <f t="shared" si="35"/>
        <v>118.01156942685002</v>
      </c>
      <c r="Q68" s="39">
        <f t="shared" si="35"/>
        <v>124.85624045360733</v>
      </c>
      <c r="R68" s="39">
        <f t="shared" si="35"/>
        <v>133.09675232354542</v>
      </c>
      <c r="S68" s="99">
        <f t="shared" si="35"/>
        <v>141.08255746295814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49.806948599999998</v>
      </c>
      <c r="O69" s="39">
        <f t="shared" si="36"/>
        <v>53.542469744999998</v>
      </c>
      <c r="P69" s="39">
        <f t="shared" si="36"/>
        <v>57.932952264090005</v>
      </c>
      <c r="Q69" s="39">
        <f t="shared" si="36"/>
        <v>61.293063495407225</v>
      </c>
      <c r="R69" s="39">
        <f t="shared" si="36"/>
        <v>65.33840568610411</v>
      </c>
      <c r="S69" s="99">
        <f t="shared" si="36"/>
        <v>69.258710027270354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2160.2743471058939</v>
      </c>
      <c r="O70" s="89">
        <f t="shared" ref="O70:S70" si="37">SUM(O$65:O$69)</f>
        <v>2276.8825678792768</v>
      </c>
      <c r="P70" s="89">
        <f t="shared" si="37"/>
        <v>2547.709855068405</v>
      </c>
      <c r="Q70" s="89">
        <f t="shared" si="37"/>
        <v>2936.7399930097149</v>
      </c>
      <c r="R70" s="89">
        <f t="shared" si="37"/>
        <v>3457.8781810035193</v>
      </c>
      <c r="S70" s="95">
        <f t="shared" si="37"/>
        <v>4052.9018154231144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7263.4701800000003</v>
      </c>
      <c r="O72" s="39">
        <f>'Huntsman D&amp;A'!N19</f>
        <v>7461.7756235000006</v>
      </c>
      <c r="P72" s="39">
        <f>'Huntsman D&amp;A'!O19</f>
        <v>7676.3421133670008</v>
      </c>
      <c r="Q72" s="39">
        <f>'Huntsman D&amp;A'!P19</f>
        <v>7903.3534596462869</v>
      </c>
      <c r="R72" s="39">
        <f>'Huntsman D&amp;A'!Q19</f>
        <v>8145.3475547800053</v>
      </c>
      <c r="S72" s="99">
        <f>'Huntsman D&amp;A'!R19</f>
        <v>8401.8612956217476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-4490.2257647179486</v>
      </c>
      <c r="O73" s="39">
        <f>'Huntsman D&amp;A'!N$25</f>
        <v>-4759.4498797429205</v>
      </c>
      <c r="P73" s="39">
        <f>'Huntsman D&amp;A'!O$25</f>
        <v>-5036.2226009074902</v>
      </c>
      <c r="Q73" s="39">
        <f>'Huntsman D&amp;A'!P$25</f>
        <v>-5321.0687630004868</v>
      </c>
      <c r="R73" s="39">
        <f>'Huntsman D&amp;A'!Q$25</f>
        <v>-5614.4898294849809</v>
      </c>
      <c r="S73" s="99">
        <f>'Huntsman D&amp;A'!R$25</f>
        <v>-5917.0251975413785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2773.2444152820517</v>
      </c>
      <c r="O74" s="57">
        <f>'Huntsman D&amp;A'!N$27</f>
        <v>2702.3257437570801</v>
      </c>
      <c r="P74" s="57">
        <f>'Huntsman D&amp;A'!O$27</f>
        <v>2640.1195124595106</v>
      </c>
      <c r="Q74" s="57">
        <f>'Huntsman D&amp;A'!P$27</f>
        <v>2582.2846966458001</v>
      </c>
      <c r="R74" s="57">
        <f>'Huntsman D&amp;A'!Q$27</f>
        <v>2530.8577252950245</v>
      </c>
      <c r="S74" s="97">
        <f>'Huntsman D&amp;A'!R$27</f>
        <v>2484.8360980803691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922.96580060000008</v>
      </c>
      <c r="O78" s="39">
        <f t="shared" si="40"/>
        <v>992.18823564500008</v>
      </c>
      <c r="P78" s="39">
        <f t="shared" si="40"/>
        <v>1073.5476709678903</v>
      </c>
      <c r="Q78" s="39">
        <f t="shared" si="40"/>
        <v>1135.813435884028</v>
      </c>
      <c r="R78" s="39">
        <f t="shared" si="40"/>
        <v>1210.7771226523737</v>
      </c>
      <c r="S78" s="99">
        <f t="shared" si="40"/>
        <v>1283.4237500115162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7069.4845629879455</v>
      </c>
      <c r="O80" s="135">
        <f t="shared" ref="O80:S80" si="42">O$70+O$74+O$75+O$76+O$77+O$78</f>
        <v>7151.3965472813579</v>
      </c>
      <c r="P80" s="135">
        <f t="shared" si="42"/>
        <v>7411.3770384958061</v>
      </c>
      <c r="Q80" s="135">
        <f t="shared" si="42"/>
        <v>7777.8381255395425</v>
      </c>
      <c r="R80" s="135">
        <f t="shared" si="42"/>
        <v>8297.5130289509179</v>
      </c>
      <c r="S80" s="136">
        <f t="shared" si="42"/>
        <v>8894.1616635150003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763.40330654794514</v>
      </c>
      <c r="O82" s="39">
        <f t="shared" si="43"/>
        <v>806.26103603835611</v>
      </c>
      <c r="P82" s="39">
        <f t="shared" si="43"/>
        <v>842.25675195920189</v>
      </c>
      <c r="Q82" s="39">
        <f t="shared" si="43"/>
        <v>866.93456322930638</v>
      </c>
      <c r="R82" s="39">
        <f t="shared" si="43"/>
        <v>906.58281009821178</v>
      </c>
      <c r="S82" s="99">
        <f t="shared" si="43"/>
        <v>953.52833855911138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522.66551000000004</v>
      </c>
      <c r="O83" s="39">
        <f t="shared" si="44"/>
        <v>561.86542325000005</v>
      </c>
      <c r="P83" s="39">
        <f t="shared" si="44"/>
        <v>607.93838795650015</v>
      </c>
      <c r="Q83" s="39">
        <f t="shared" si="44"/>
        <v>643.19881445797716</v>
      </c>
      <c r="R83" s="39">
        <f t="shared" si="44"/>
        <v>685.64993621220367</v>
      </c>
      <c r="S83" s="99">
        <f t="shared" si="44"/>
        <v>726.78893238493583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34.434433599999998</v>
      </c>
      <c r="O86" s="39">
        <f t="shared" si="46"/>
        <v>37.017016120000001</v>
      </c>
      <c r="P86" s="39">
        <f t="shared" si="46"/>
        <v>40.052411441840007</v>
      </c>
      <c r="Q86" s="39">
        <f t="shared" si="46"/>
        <v>42.375451305466726</v>
      </c>
      <c r="R86" s="39">
        <f t="shared" si="46"/>
        <v>45.17223109162753</v>
      </c>
      <c r="S86" s="99">
        <f t="shared" si="46"/>
        <v>47.882564957125183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1379.503250147945</v>
      </c>
      <c r="O87" s="89">
        <f t="shared" ref="O87:S87" si="47">SUM(O82:O86)</f>
        <v>1498.1434754083564</v>
      </c>
      <c r="P87" s="89">
        <f t="shared" si="47"/>
        <v>2240.2475513575419</v>
      </c>
      <c r="Q87" s="89">
        <f t="shared" si="47"/>
        <v>1552.5088289927501</v>
      </c>
      <c r="R87" s="89">
        <f t="shared" si="47"/>
        <v>2380.4049774020432</v>
      </c>
      <c r="S87" s="95">
        <f t="shared" si="47"/>
        <v>1728.1998359011725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580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708.98039180000001</v>
      </c>
      <c r="O94" s="39">
        <f t="shared" si="50"/>
        <v>762.15392118500006</v>
      </c>
      <c r="P94" s="39">
        <f t="shared" si="50"/>
        <v>824.65054272217014</v>
      </c>
      <c r="Q94" s="39">
        <f t="shared" si="50"/>
        <v>872.48027420005599</v>
      </c>
      <c r="R94" s="39">
        <f t="shared" si="50"/>
        <v>930.06397229725974</v>
      </c>
      <c r="S94" s="99">
        <f t="shared" si="50"/>
        <v>985.86781063509534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 t="shared" ref="N95:S95" si="51">M95-N53</f>
        <v>230</v>
      </c>
      <c r="O95" s="15">
        <f t="shared" si="51"/>
        <v>230</v>
      </c>
      <c r="P95" s="15">
        <f t="shared" si="51"/>
        <v>230</v>
      </c>
      <c r="Q95" s="15">
        <f t="shared" si="51"/>
        <v>230</v>
      </c>
      <c r="R95" s="15">
        <f t="shared" si="51"/>
        <v>230</v>
      </c>
      <c r="S95" s="13">
        <f t="shared" si="51"/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4428.7614197257226</v>
      </c>
      <c r="O96" s="89">
        <f t="shared" ref="O96:S96" si="52">O87+O92+O93+O94+O95</f>
        <v>4568.8529521489127</v>
      </c>
      <c r="P96" s="89">
        <f t="shared" si="52"/>
        <v>4718.7314274130449</v>
      </c>
      <c r="Q96" s="89">
        <f t="shared" si="52"/>
        <v>4831.1002143039168</v>
      </c>
      <c r="R96" s="89">
        <f t="shared" si="52"/>
        <v>4974.357838588192</v>
      </c>
      <c r="S96" s="95">
        <f t="shared" si="52"/>
        <v>5121.7343132029346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5.8</v>
      </c>
      <c r="O98" s="53">
        <f>'Huntsman Equity Schedule'!N$26</f>
        <v>5.8</v>
      </c>
      <c r="P98" s="53">
        <f>'Huntsman Equity Schedule'!O$26</f>
        <v>5.8</v>
      </c>
      <c r="Q98" s="53">
        <f>'Huntsman Equity Schedule'!P$26</f>
        <v>5.8</v>
      </c>
      <c r="R98" s="53">
        <f>'Huntsman Equity Schedule'!Q$26</f>
        <v>5.8</v>
      </c>
      <c r="S98" s="101">
        <f>'Huntsman Equity Schedule'!R$26</f>
        <v>5.8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4338.2</v>
      </c>
      <c r="O99" s="53">
        <f>'Huntsman Equity Schedule'!N27</f>
        <v>4368.2</v>
      </c>
      <c r="P99" s="53">
        <f>'Huntsman Equity Schedule'!O27</f>
        <v>4398.2</v>
      </c>
      <c r="Q99" s="53">
        <f>'Huntsman Equity Schedule'!P27</f>
        <v>4428.2</v>
      </c>
      <c r="R99" s="53">
        <f>'Huntsman Equity Schedule'!Q27</f>
        <v>4458.2</v>
      </c>
      <c r="S99" s="101">
        <f>'Huntsman Equity Schedule'!R27</f>
        <v>4488.2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1643.7231432622225</v>
      </c>
      <c r="O100" s="39">
        <f>'Huntsman Equity Schedule'!N35</f>
        <v>1555.5435951324444</v>
      </c>
      <c r="P100" s="39">
        <f>'Huntsman Equity Schedule'!O35</f>
        <v>1635.6456110827592</v>
      </c>
      <c r="Q100" s="39">
        <f>'Huntsman Equity Schedule'!P35</f>
        <v>1859.7379112356243</v>
      </c>
      <c r="R100" s="39">
        <f>'Huntsman Equity Schedule'!Q35</f>
        <v>2206.1551903627255</v>
      </c>
      <c r="S100" s="99">
        <f>'Huntsman Equity Schedule'!R35</f>
        <v>2625.4273503120644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Schedule'!M37</f>
        <v>-1057</v>
      </c>
      <c r="O102" s="53">
        <f>'Huntsman Equity Schedule'!N37</f>
        <v>-1057</v>
      </c>
      <c r="P102" s="53">
        <f>'Huntsman Equity Schedule'!O37</f>
        <v>-1057</v>
      </c>
      <c r="Q102" s="53">
        <f>'Huntsman Equity Schedule'!P37</f>
        <v>-1057</v>
      </c>
      <c r="R102" s="53">
        <f>'Huntsman Equity Schedule'!Q37</f>
        <v>-1057</v>
      </c>
      <c r="S102" s="101">
        <f>'Huntsman Equity Schedule'!R37</f>
        <v>-1057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2640.7231432622225</v>
      </c>
      <c r="O103" s="89">
        <f>'Huntsman Equity Schedule'!N38</f>
        <v>2582.5435951324444</v>
      </c>
      <c r="P103" s="89">
        <f>'Huntsman Equity Schedule'!O38</f>
        <v>2692.6456110827594</v>
      </c>
      <c r="Q103" s="89">
        <f>'Huntsman Equity Schedule'!P38</f>
        <v>2946.7379112356243</v>
      </c>
      <c r="R103" s="89">
        <f>'Huntsman Equity Schedule'!Q38</f>
        <v>3323.155190362726</v>
      </c>
      <c r="S103" s="95">
        <f>'Huntsman Equity Schedule'!R38</f>
        <v>3772.4273503120639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3">N$103+N$96</f>
        <v>7069.4845629879455</v>
      </c>
      <c r="O105" s="135">
        <f t="shared" si="53"/>
        <v>7151.396547281357</v>
      </c>
      <c r="P105" s="135">
        <f t="shared" si="53"/>
        <v>7411.3770384958043</v>
      </c>
      <c r="Q105" s="135">
        <f t="shared" si="53"/>
        <v>7777.8381255395416</v>
      </c>
      <c r="R105" s="135">
        <f t="shared" si="53"/>
        <v>8297.5130289509179</v>
      </c>
      <c r="S105" s="136">
        <f t="shared" si="53"/>
        <v>8894.1616635149985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4">E105-E80</f>
        <v>0</v>
      </c>
      <c r="F107" s="51">
        <f t="shared" si="54"/>
        <v>0</v>
      </c>
      <c r="G107" s="51">
        <f t="shared" si="54"/>
        <v>0</v>
      </c>
      <c r="H107" s="51">
        <f t="shared" si="54"/>
        <v>0</v>
      </c>
      <c r="I107" s="51">
        <f t="shared" si="54"/>
        <v>0</v>
      </c>
      <c r="J107" s="51">
        <f t="shared" si="54"/>
        <v>0</v>
      </c>
      <c r="K107" s="51">
        <f t="shared" si="54"/>
        <v>0</v>
      </c>
      <c r="L107" s="51">
        <f t="shared" si="54"/>
        <v>0</v>
      </c>
      <c r="M107" s="51">
        <f t="shared" si="54"/>
        <v>0</v>
      </c>
      <c r="N107" s="176">
        <f t="shared" si="54"/>
        <v>0</v>
      </c>
      <c r="O107" s="51">
        <f t="shared" si="54"/>
        <v>0</v>
      </c>
      <c r="P107" s="51">
        <f t="shared" si="54"/>
        <v>0</v>
      </c>
      <c r="Q107" s="51">
        <f t="shared" si="54"/>
        <v>0</v>
      </c>
      <c r="R107" s="51">
        <f t="shared" si="54"/>
        <v>0</v>
      </c>
      <c r="S107" s="177">
        <f t="shared" si="54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174.4</v>
      </c>
      <c r="O108" s="124">
        <f>'Huntsman Equity Schedule'!N$19</f>
        <v>175.8</v>
      </c>
      <c r="P108" s="124">
        <f>'Huntsman Equity Schedule'!O$19</f>
        <v>175.8</v>
      </c>
      <c r="Q108" s="124">
        <f>'Huntsman Equity Schedule'!P$19</f>
        <v>175.8</v>
      </c>
      <c r="R108" s="124">
        <f>'Huntsman Equity Schedule'!Q$19</f>
        <v>175.8</v>
      </c>
      <c r="S108" s="125">
        <f>'Huntsman Equity Schedule'!R$19</f>
        <v>175.8</v>
      </c>
    </row>
    <row r="110" spans="1:19" ht="16" x14ac:dyDescent="0.15">
      <c r="C110" s="343" t="s">
        <v>405</v>
      </c>
      <c r="D110" s="343"/>
      <c r="E110" s="343"/>
      <c r="F110" s="343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3"/>
      <c r="R110" s="343"/>
      <c r="S110" s="343"/>
    </row>
    <row r="111" spans="1:19" x14ac:dyDescent="0.15">
      <c r="C111" s="90"/>
      <c r="D111" s="353" t="s">
        <v>399</v>
      </c>
      <c r="E111" s="353"/>
      <c r="F111" s="353"/>
      <c r="G111" s="353"/>
      <c r="H111" s="353"/>
      <c r="I111" s="353"/>
      <c r="J111" s="353"/>
      <c r="K111" s="353"/>
      <c r="L111" s="353"/>
      <c r="M111" s="353"/>
      <c r="N111" s="338" t="s">
        <v>400</v>
      </c>
      <c r="O111" s="339"/>
      <c r="P111" s="339"/>
      <c r="Q111" s="339"/>
      <c r="R111" s="339"/>
      <c r="S111" s="340"/>
    </row>
    <row r="112" spans="1:19" x14ac:dyDescent="0.15">
      <c r="C112" s="59" t="s">
        <v>86</v>
      </c>
      <c r="D112" s="60">
        <v>42735</v>
      </c>
      <c r="E112" s="60">
        <f t="shared" ref="E112:S112" si="55">EDATE(D112,12)</f>
        <v>43100</v>
      </c>
      <c r="F112" s="60">
        <f t="shared" si="55"/>
        <v>43465</v>
      </c>
      <c r="G112" s="60">
        <f t="shared" si="55"/>
        <v>43830</v>
      </c>
      <c r="H112" s="60">
        <f t="shared" si="55"/>
        <v>44196</v>
      </c>
      <c r="I112" s="60">
        <f t="shared" si="55"/>
        <v>44561</v>
      </c>
      <c r="J112" s="60">
        <f t="shared" si="55"/>
        <v>44926</v>
      </c>
      <c r="K112" s="60">
        <f t="shared" si="55"/>
        <v>45291</v>
      </c>
      <c r="L112" s="60">
        <f t="shared" si="55"/>
        <v>45657</v>
      </c>
      <c r="M112" s="60">
        <f t="shared" si="55"/>
        <v>46022</v>
      </c>
      <c r="N112" s="91">
        <f t="shared" si="55"/>
        <v>46387</v>
      </c>
      <c r="O112" s="60">
        <f t="shared" si="55"/>
        <v>46752</v>
      </c>
      <c r="P112" s="60">
        <f t="shared" si="55"/>
        <v>47118</v>
      </c>
      <c r="Q112" s="60">
        <f t="shared" si="55"/>
        <v>47483</v>
      </c>
      <c r="R112" s="60">
        <f t="shared" si="55"/>
        <v>47848</v>
      </c>
      <c r="S112" s="92">
        <f t="shared" si="55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 t="shared" ref="N114:S114" si="56">N$52-N$53</f>
        <v>-20.129656737777445</v>
      </c>
      <c r="O114" s="39">
        <f t="shared" si="56"/>
        <v>59.140851870222022</v>
      </c>
      <c r="P114" s="39">
        <f t="shared" si="56"/>
        <v>227.42241595031487</v>
      </c>
      <c r="Q114" s="39">
        <f t="shared" si="56"/>
        <v>371.41270015286534</v>
      </c>
      <c r="R114" s="39">
        <f t="shared" si="56"/>
        <v>493.73767912710105</v>
      </c>
      <c r="S114" s="99">
        <f t="shared" si="56"/>
        <v>566.59255994933869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296.22576471794872</v>
      </c>
      <c r="O115" s="39">
        <f>'Huntsman D&amp;A'!N$36</f>
        <v>302.22411502497215</v>
      </c>
      <c r="P115" s="39">
        <f>'Huntsman D&amp;A'!O$36</f>
        <v>306.77272116456948</v>
      </c>
      <c r="Q115" s="39">
        <f>'Huntsman D&amp;A'!P$36</f>
        <v>311.84616209299651</v>
      </c>
      <c r="R115" s="39">
        <f>'Huntsman D&amp;A'!Q$36</f>
        <v>318.42106648449408</v>
      </c>
      <c r="S115" s="99">
        <f>'Huntsman D&amp;A'!R$36</f>
        <v>327.53536805639766</v>
      </c>
    </row>
    <row r="116" spans="1:20" x14ac:dyDescent="0.15">
      <c r="C116" s="132" t="s">
        <v>393</v>
      </c>
      <c r="D116" s="367" t="s">
        <v>394</v>
      </c>
      <c r="E116" s="367"/>
      <c r="F116" s="367"/>
      <c r="G116" s="367"/>
      <c r="H116" s="367"/>
      <c r="I116" s="367"/>
      <c r="J116" s="367"/>
      <c r="K116" s="367"/>
      <c r="L116" s="367"/>
      <c r="M116" s="367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7" t="s">
        <v>394</v>
      </c>
      <c r="E117" s="367"/>
      <c r="F117" s="367"/>
      <c r="G117" s="367"/>
      <c r="H117" s="367"/>
      <c r="I117" s="367"/>
      <c r="J117" s="367"/>
      <c r="K117" s="367"/>
      <c r="L117" s="367"/>
      <c r="M117" s="367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7">D66+D67+D68+D69-D82-D83-D86</f>
        <v>1423</v>
      </c>
      <c r="E118" s="12">
        <f t="shared" si="57"/>
        <v>2284</v>
      </c>
      <c r="F118" s="12">
        <f t="shared" si="57"/>
        <v>1103</v>
      </c>
      <c r="G118" s="12">
        <f t="shared" si="57"/>
        <v>1434</v>
      </c>
      <c r="H118" s="12">
        <f t="shared" si="57"/>
        <v>589</v>
      </c>
      <c r="I118" s="12">
        <f t="shared" si="57"/>
        <v>848</v>
      </c>
      <c r="J118" s="12">
        <f t="shared" si="57"/>
        <v>856</v>
      </c>
      <c r="K118" s="12">
        <f t="shared" si="57"/>
        <v>614</v>
      </c>
      <c r="L118" s="12">
        <f t="shared" si="57"/>
        <v>545</v>
      </c>
      <c r="M118" s="12">
        <f t="shared" si="57"/>
        <v>399</v>
      </c>
      <c r="N118" s="137">
        <f>N$66+N$67+N$68+N$69-N$82-N$83-N$86</f>
        <v>477.76934290410981</v>
      </c>
      <c r="O118" s="52">
        <f t="shared" ref="O118:S118" si="58">O$66+O$67+O$68+O$69-O$82-O$83-O$86</f>
        <v>516.31855654657568</v>
      </c>
      <c r="P118" s="52">
        <f t="shared" si="58"/>
        <v>564.33926102005466</v>
      </c>
      <c r="Q118" s="52">
        <f t="shared" si="58"/>
        <v>601.63189671460077</v>
      </c>
      <c r="R118" s="52">
        <f t="shared" si="58"/>
        <v>644.65458950233631</v>
      </c>
      <c r="S118" s="138">
        <f t="shared" si="58"/>
        <v>684.73941961681408</v>
      </c>
      <c r="T118" t="s">
        <v>580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-78.769342904109806</v>
      </c>
      <c r="O119" s="39">
        <f t="shared" ref="O119:S119" si="59">(N$118-O$118)</f>
        <v>-38.549213642465872</v>
      </c>
      <c r="P119" s="39">
        <f t="shared" si="59"/>
        <v>-48.020704473478986</v>
      </c>
      <c r="Q119" s="39">
        <f t="shared" si="59"/>
        <v>-37.292635694546107</v>
      </c>
      <c r="R119" s="39">
        <f t="shared" si="59"/>
        <v>-43.022692787735537</v>
      </c>
      <c r="S119" s="99">
        <f t="shared" si="59"/>
        <v>-40.084830114477768</v>
      </c>
    </row>
    <row r="120" spans="1:20" x14ac:dyDescent="0.15">
      <c r="C120" s="2" t="s">
        <v>396</v>
      </c>
      <c r="D120" s="368" t="s">
        <v>394</v>
      </c>
      <c r="E120" s="368"/>
      <c r="F120" s="368"/>
      <c r="G120" s="368"/>
      <c r="H120" s="368"/>
      <c r="I120" s="368"/>
      <c r="J120" s="368"/>
      <c r="K120" s="368"/>
      <c r="L120" s="368"/>
      <c r="M120" s="368"/>
      <c r="N120" s="137">
        <f t="shared" ref="N120:S120" si="60">-(N78-M78)+(N94-M94)</f>
        <v>-15.985408800000073</v>
      </c>
      <c r="O120" s="52">
        <f t="shared" si="60"/>
        <v>-16.048905659999946</v>
      </c>
      <c r="P120" s="52">
        <f t="shared" si="60"/>
        <v>-18.862813785720164</v>
      </c>
      <c r="Q120" s="52">
        <f t="shared" si="60"/>
        <v>-14.436033438251798</v>
      </c>
      <c r="R120" s="52">
        <f t="shared" si="60"/>
        <v>-17.379988671141973</v>
      </c>
      <c r="S120" s="138">
        <f t="shared" si="60"/>
        <v>-16.842789021306885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61">N$114+N$41+N$119+N117+N$115+N$116+N$120</f>
        <v>213.61913405383916</v>
      </c>
      <c r="O121" s="89">
        <f t="shared" si="61"/>
        <v>339.04462537050614</v>
      </c>
      <c r="P121" s="89">
        <f t="shared" si="61"/>
        <v>499.58939663346291</v>
      </c>
      <c r="Q121" s="89">
        <f t="shared" si="61"/>
        <v>663.80797089084172</v>
      </c>
      <c r="R121" s="89">
        <f t="shared" si="61"/>
        <v>782.53384193049533</v>
      </c>
      <c r="S121" s="95">
        <f t="shared" si="61"/>
        <v>867.97808664772958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-184.47018</v>
      </c>
      <c r="O123" s="57">
        <f>'Huntsman D&amp;A'!N17</f>
        <v>-198.3054435</v>
      </c>
      <c r="P123" s="57">
        <f>'Huntsman D&amp;A'!O17</f>
        <v>-214.56648986700003</v>
      </c>
      <c r="Q123" s="57">
        <f>'Huntsman D&amp;A'!P17</f>
        <v>-227.01134627928602</v>
      </c>
      <c r="R123" s="57">
        <f>'Huntsman D&amp;A'!Q17</f>
        <v>-241.9940951337189</v>
      </c>
      <c r="S123" s="97">
        <f>'Huntsman D&amp;A'!R17</f>
        <v>-256.51374084174205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2">$M$124</f>
        <v>0</v>
      </c>
      <c r="P124" s="15">
        <f t="shared" si="62"/>
        <v>0</v>
      </c>
      <c r="Q124" s="15">
        <f t="shared" si="62"/>
        <v>0</v>
      </c>
      <c r="R124" s="15">
        <f t="shared" si="62"/>
        <v>0</v>
      </c>
      <c r="S124" s="13">
        <f t="shared" si="62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3">$N$125</f>
        <v>0</v>
      </c>
      <c r="Q125" s="15">
        <f t="shared" si="63"/>
        <v>0</v>
      </c>
      <c r="R125" s="15">
        <f t="shared" si="63"/>
        <v>0</v>
      </c>
      <c r="S125" s="13">
        <f t="shared" si="63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-184.47018</v>
      </c>
      <c r="O128" s="89">
        <f t="shared" ref="O128:S128" si="64">SUM(O123:O127)</f>
        <v>-198.3054435</v>
      </c>
      <c r="P128" s="89">
        <f t="shared" si="64"/>
        <v>-214.56648986700003</v>
      </c>
      <c r="Q128" s="89">
        <f t="shared" si="64"/>
        <v>-227.01134627928602</v>
      </c>
      <c r="R128" s="89">
        <f t="shared" si="64"/>
        <v>-241.9940951337189</v>
      </c>
      <c r="S128" s="95">
        <f t="shared" si="64"/>
        <v>-256.51374084174205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50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-146.1472</v>
      </c>
      <c r="O133" s="39">
        <f>'Huntsman Equity Schedule'!N33</f>
        <v>-147.32040000000001</v>
      </c>
      <c r="P133" s="39">
        <f>'Huntsman Equity Schedule'!O33</f>
        <v>-147.32040000000001</v>
      </c>
      <c r="Q133" s="39">
        <f>'Huntsman Equity Schedule'!P33</f>
        <v>-147.32040000000001</v>
      </c>
      <c r="R133" s="39">
        <f>'Huntsman Equity Schedule'!Q33</f>
        <v>-147.32040000000001</v>
      </c>
      <c r="S133" s="99">
        <f>'Huntsman Equity Schedule'!R33</f>
        <v>-147.32040000000001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-96.147199999999998</v>
      </c>
      <c r="O134" s="89">
        <f t="shared" ref="O134:S134" si="65">SUM(O$130:O$133)</f>
        <v>-147.32040000000001</v>
      </c>
      <c r="P134" s="89">
        <f t="shared" si="65"/>
        <v>-147.32040000000001</v>
      </c>
      <c r="Q134" s="89">
        <f t="shared" si="65"/>
        <v>-147.32040000000001</v>
      </c>
      <c r="R134" s="89">
        <f t="shared" si="65"/>
        <v>-147.32040000000001</v>
      </c>
      <c r="S134" s="95">
        <f t="shared" si="65"/>
        <v>-147.32040000000001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6">$N$136</f>
        <v>0</v>
      </c>
      <c r="Q136" s="15">
        <f t="shared" si="66"/>
        <v>0</v>
      </c>
      <c r="R136" s="15">
        <f t="shared" si="66"/>
        <v>0</v>
      </c>
      <c r="S136" s="13">
        <f t="shared" si="66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7">N121+N128+N134+N136</f>
        <v>-66.998245946160836</v>
      </c>
      <c r="O137" s="89">
        <f t="shared" si="67"/>
        <v>-6.5812181294938625</v>
      </c>
      <c r="P137" s="89">
        <f t="shared" si="67"/>
        <v>137.70250676646288</v>
      </c>
      <c r="Q137" s="89">
        <f t="shared" si="67"/>
        <v>289.47622461155566</v>
      </c>
      <c r="R137" s="89">
        <f t="shared" si="67"/>
        <v>393.21934679677639</v>
      </c>
      <c r="S137" s="95">
        <f t="shared" si="67"/>
        <v>464.14394580598747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8">N139</f>
        <v>362.00175405383914</v>
      </c>
      <c r="P138" s="39">
        <f t="shared" si="68"/>
        <v>355.42053592434524</v>
      </c>
      <c r="Q138" s="39">
        <f t="shared" si="68"/>
        <v>493.12304269080812</v>
      </c>
      <c r="R138" s="39">
        <f t="shared" si="68"/>
        <v>782.59926730236384</v>
      </c>
      <c r="S138" s="99">
        <f t="shared" si="68"/>
        <v>1175.8186140991402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362.00175405383914</v>
      </c>
      <c r="O139" s="135">
        <f t="shared" ref="O139:S139" si="69">O$138+O$137</f>
        <v>355.42053592434524</v>
      </c>
      <c r="P139" s="135">
        <f t="shared" si="69"/>
        <v>493.12304269080812</v>
      </c>
      <c r="Q139" s="135">
        <f t="shared" si="69"/>
        <v>782.59926730236384</v>
      </c>
      <c r="R139" s="135">
        <f t="shared" si="69"/>
        <v>1175.8186140991402</v>
      </c>
      <c r="S139" s="136">
        <f t="shared" si="69"/>
        <v>1639.9625599051276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55.34105400000044</v>
      </c>
      <c r="O141" s="39">
        <f t="shared" ref="O141:S141" si="70">O$45</f>
        <v>158.64435479999975</v>
      </c>
      <c r="P141" s="39">
        <f t="shared" si="70"/>
        <v>379.06746543170084</v>
      </c>
      <c r="Q141" s="39">
        <f t="shared" si="70"/>
        <v>567.52836569821466</v>
      </c>
      <c r="R141" s="39">
        <f t="shared" si="70"/>
        <v>725.98228540115633</v>
      </c>
      <c r="S141" s="99">
        <f t="shared" si="70"/>
        <v>820.84397069357419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71">N$45+N$115</f>
        <v>351.56681871794916</v>
      </c>
      <c r="O142" s="57">
        <f t="shared" si="71"/>
        <v>460.8684698249719</v>
      </c>
      <c r="P142" s="57">
        <f t="shared" si="71"/>
        <v>685.84018659627031</v>
      </c>
      <c r="Q142" s="57">
        <f t="shared" si="71"/>
        <v>879.37452779121122</v>
      </c>
      <c r="R142" s="57">
        <f t="shared" si="71"/>
        <v>1044.4033518856504</v>
      </c>
      <c r="S142" s="97">
        <f t="shared" si="71"/>
        <v>1148.3793387499718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1651.2760237239386</v>
      </c>
      <c r="O143" s="39">
        <f>'Huntsman Debt'!E48</f>
        <v>1660.1350196312105</v>
      </c>
      <c r="P143" s="39">
        <f>'Huntsman Debt'!F48</f>
        <v>1524.7102906425253</v>
      </c>
      <c r="Q143" s="39">
        <f>'Huntsman Debt'!G48</f>
        <v>1237.5118438087472</v>
      </c>
      <c r="R143" s="39">
        <f>'Huntsman Debt'!H48</f>
        <v>845.07027478974874</v>
      </c>
      <c r="S143" s="99">
        <f>'Huntsman Debt'!I48</f>
        <v>381.70410676153915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29.148954053839162</v>
      </c>
      <c r="O144" s="141">
        <f t="shared" ref="O144:S144" si="72">O$121+O$123</f>
        <v>140.73918187050614</v>
      </c>
      <c r="P144" s="141">
        <f t="shared" si="72"/>
        <v>285.02290676646288</v>
      </c>
      <c r="Q144" s="141">
        <f t="shared" si="72"/>
        <v>436.79662461155567</v>
      </c>
      <c r="R144" s="141">
        <f t="shared" si="72"/>
        <v>540.5397467967764</v>
      </c>
      <c r="S144" s="142">
        <f t="shared" si="72"/>
        <v>611.46434580598748</v>
      </c>
    </row>
    <row r="149" spans="15:15" x14ac:dyDescent="0.15">
      <c r="O149" s="48"/>
    </row>
  </sheetData>
  <mergeCells count="16">
    <mergeCell ref="D120:M120"/>
    <mergeCell ref="N32:S32"/>
    <mergeCell ref="C61:S61"/>
    <mergeCell ref="C110:S110"/>
    <mergeCell ref="D62:M62"/>
    <mergeCell ref="N62:S62"/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>
      <selection activeCell="M37" sqref="M37"/>
    </sheetView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69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2.8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175.8</v>
      </c>
      <c r="O16" s="39">
        <f t="shared" si="10"/>
        <v>175.8</v>
      </c>
      <c r="P16" s="39">
        <f t="shared" si="10"/>
        <v>175.8</v>
      </c>
      <c r="Q16" s="39">
        <f t="shared" si="10"/>
        <v>175.8</v>
      </c>
      <c r="R16" s="99">
        <f t="shared" si="10"/>
        <v>175.8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2.8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175.8</v>
      </c>
      <c r="N18" s="39">
        <f t="shared" ref="N18:R18" si="13">N$16+N$17</f>
        <v>175.8</v>
      </c>
      <c r="O18" s="39">
        <f t="shared" si="13"/>
        <v>175.8</v>
      </c>
      <c r="P18" s="39">
        <f t="shared" si="13"/>
        <v>175.8</v>
      </c>
      <c r="Q18" s="39">
        <f t="shared" si="13"/>
        <v>175.8</v>
      </c>
      <c r="R18" s="99">
        <f t="shared" si="13"/>
        <v>175.8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174.4</v>
      </c>
      <c r="N19" s="57">
        <f t="shared" ref="N19:R19" si="14">AVERAGE(N$16,N$18)</f>
        <v>175.8</v>
      </c>
      <c r="O19" s="57">
        <f t="shared" si="14"/>
        <v>175.8</v>
      </c>
      <c r="P19" s="57">
        <f t="shared" si="14"/>
        <v>175.8</v>
      </c>
      <c r="Q19" s="57">
        <f t="shared" si="14"/>
        <v>175.8</v>
      </c>
      <c r="R19" s="97">
        <f t="shared" si="14"/>
        <v>175.8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176.5</v>
      </c>
      <c r="N21" s="57">
        <f t="shared" si="16"/>
        <v>177.9</v>
      </c>
      <c r="O21" s="57">
        <f t="shared" si="16"/>
        <v>177.9</v>
      </c>
      <c r="P21" s="57">
        <f t="shared" si="16"/>
        <v>177.9</v>
      </c>
      <c r="Q21" s="57">
        <f t="shared" si="16"/>
        <v>177.9</v>
      </c>
      <c r="R21" s="97">
        <f t="shared" si="16"/>
        <v>177.9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-146.1472</v>
      </c>
      <c r="N24" s="57">
        <f t="shared" ref="N24:R24" si="18">N$23*N$19*-1</f>
        <v>-147.32040000000001</v>
      </c>
      <c r="O24" s="57">
        <f t="shared" si="18"/>
        <v>-147.32040000000001</v>
      </c>
      <c r="P24" s="57">
        <f t="shared" si="18"/>
        <v>-147.32040000000001</v>
      </c>
      <c r="Q24" s="57">
        <f t="shared" si="18"/>
        <v>-147.32040000000001</v>
      </c>
      <c r="R24" s="97">
        <f t="shared" si="18"/>
        <v>-147.32040000000001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5.8</v>
      </c>
      <c r="N26" s="39">
        <f t="shared" si="19"/>
        <v>5.8</v>
      </c>
      <c r="O26" s="39">
        <f t="shared" si="19"/>
        <v>5.8</v>
      </c>
      <c r="P26" s="39">
        <f t="shared" si="19"/>
        <v>5.8</v>
      </c>
      <c r="Q26" s="39">
        <f t="shared" si="19"/>
        <v>5.8</v>
      </c>
      <c r="R26" s="99">
        <f t="shared" si="19"/>
        <v>5.8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4338.2</v>
      </c>
      <c r="N27" s="39">
        <f>MAX(0,M27+N28+'Huntsman Standalone'!O132-(N26-M26)-(N29-M29))</f>
        <v>4368.2</v>
      </c>
      <c r="O27" s="39">
        <f>MAX(0,N27+O28+'Huntsman Standalone'!P132-(O26-N26)-(O29-N29))</f>
        <v>4398.2</v>
      </c>
      <c r="P27" s="39">
        <f>MAX(0,O27+P28+'Huntsman Standalone'!Q132-(P26-O26)-(P29-O29))</f>
        <v>4428.2</v>
      </c>
      <c r="Q27" s="39">
        <f>MAX(0,P27+Q28+'Huntsman Standalone'!R132-(Q26-P26)-(Q29-P29))</f>
        <v>4458.2</v>
      </c>
      <c r="R27" s="99">
        <f>MAX(0,Q27+R28+'Huntsman Standalone'!S132-(R26-Q26)-(R29-Q29))</f>
        <v>4488.2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1643.7231432622225</v>
      </c>
      <c r="O31" s="39">
        <f t="shared" si="21"/>
        <v>1555.5435951324444</v>
      </c>
      <c r="P31" s="39">
        <f t="shared" si="21"/>
        <v>1635.6456110827592</v>
      </c>
      <c r="Q31" s="39">
        <f t="shared" si="21"/>
        <v>1859.7379112356243</v>
      </c>
      <c r="R31" s="99">
        <f t="shared" si="21"/>
        <v>2206.1551903627255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-20.129656737777445</v>
      </c>
      <c r="N32" s="39">
        <f>'Huntsman Standalone'!O$52</f>
        <v>59.140851870222022</v>
      </c>
      <c r="O32" s="39">
        <f>'Huntsman Standalone'!P$52</f>
        <v>227.42241595031487</v>
      </c>
      <c r="P32" s="39">
        <f>'Huntsman Standalone'!Q$52</f>
        <v>371.41270015286534</v>
      </c>
      <c r="Q32" s="39">
        <f>'Huntsman Standalone'!R$52</f>
        <v>493.73767912710105</v>
      </c>
      <c r="R32" s="99">
        <f>'Huntsman Standalone'!S$52</f>
        <v>566.59255994933869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-146.1472</v>
      </c>
      <c r="N33" s="39">
        <f t="shared" ref="N33:R33" si="23">N$24</f>
        <v>-147.32040000000001</v>
      </c>
      <c r="O33" s="39">
        <f t="shared" si="23"/>
        <v>-147.32040000000001</v>
      </c>
      <c r="P33" s="39">
        <f t="shared" si="23"/>
        <v>-147.32040000000001</v>
      </c>
      <c r="Q33" s="39">
        <f t="shared" si="23"/>
        <v>-147.32040000000001</v>
      </c>
      <c r="R33" s="99">
        <f t="shared" si="23"/>
        <v>-147.32040000000001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1643.7231432622225</v>
      </c>
      <c r="N35" s="89">
        <f t="shared" ref="N35:R35" si="25">N$31+N$32+N$33+N$34</f>
        <v>1555.5435951324444</v>
      </c>
      <c r="O35" s="89">
        <f t="shared" si="25"/>
        <v>1635.6456110827592</v>
      </c>
      <c r="P35" s="89">
        <f t="shared" si="25"/>
        <v>1859.7379112356243</v>
      </c>
      <c r="Q35" s="89">
        <f t="shared" si="25"/>
        <v>2206.1551903627255</v>
      </c>
      <c r="R35" s="95">
        <f t="shared" si="25"/>
        <v>2625.4273503120644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2640.7231432622225</v>
      </c>
      <c r="N38" s="135">
        <f t="shared" si="27"/>
        <v>2582.5435951324444</v>
      </c>
      <c r="O38" s="135">
        <f t="shared" si="27"/>
        <v>2692.6456110827594</v>
      </c>
      <c r="P38" s="135">
        <f t="shared" si="27"/>
        <v>2946.7379112356243</v>
      </c>
      <c r="Q38" s="135">
        <f t="shared" si="27"/>
        <v>3323.155190362726</v>
      </c>
      <c r="R38" s="136">
        <f t="shared" si="27"/>
        <v>3772.4273503120639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70" t="s">
        <v>578</v>
      </c>
      <c r="N9" s="371"/>
      <c r="O9" s="371"/>
      <c r="P9" s="371"/>
      <c r="Q9" s="371"/>
      <c r="R9" s="372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7263.4701800000003</v>
      </c>
      <c r="O16" s="39">
        <f t="shared" si="8"/>
        <v>7461.7756235000006</v>
      </c>
      <c r="P16" s="39">
        <f t="shared" si="8"/>
        <v>7676.3421133670008</v>
      </c>
      <c r="Q16" s="39">
        <f t="shared" si="8"/>
        <v>7903.3534596462869</v>
      </c>
      <c r="R16" s="99">
        <f t="shared" si="8"/>
        <v>8145.3475547800053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-184.47018</v>
      </c>
      <c r="N17" s="57">
        <f>'Huntsman Standalone'!O$35*N$13</f>
        <v>-198.3054435</v>
      </c>
      <c r="O17" s="57">
        <f>'Huntsman Standalone'!P$35*O$13</f>
        <v>-214.56648986700003</v>
      </c>
      <c r="P17" s="57">
        <f>'Huntsman Standalone'!Q$35*P$13</f>
        <v>-227.01134627928602</v>
      </c>
      <c r="Q17" s="57">
        <f>'Huntsman Standalone'!R$35*Q$13</f>
        <v>-241.9940951337189</v>
      </c>
      <c r="R17" s="97">
        <f>'Huntsman Standalone'!S$35*R$13</f>
        <v>-256.51374084174205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7263.4701800000003</v>
      </c>
      <c r="N19" s="89">
        <f t="shared" ref="N19:R19" si="10">N16-N17+N18</f>
        <v>7461.7756235000006</v>
      </c>
      <c r="O19" s="89">
        <f t="shared" si="10"/>
        <v>7676.3421133670008</v>
      </c>
      <c r="P19" s="89">
        <f t="shared" si="10"/>
        <v>7903.3534596462869</v>
      </c>
      <c r="Q19" s="89">
        <f t="shared" si="10"/>
        <v>8145.3475547800053</v>
      </c>
      <c r="R19" s="95">
        <f t="shared" si="10"/>
        <v>8401.8612956217476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-4490.2257647179486</v>
      </c>
      <c r="O22" s="39">
        <f t="shared" si="11"/>
        <v>-4759.4498797429205</v>
      </c>
      <c r="P22" s="39">
        <f t="shared" si="11"/>
        <v>-5036.2226009074902</v>
      </c>
      <c r="Q22" s="39">
        <f t="shared" si="11"/>
        <v>-5321.0687630004868</v>
      </c>
      <c r="R22" s="99">
        <f t="shared" si="11"/>
        <v>-5614.4898294849809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262.22576471794872</v>
      </c>
      <c r="N23" s="39">
        <f t="shared" si="13"/>
        <v>269.22411502497215</v>
      </c>
      <c r="O23" s="39">
        <f t="shared" si="13"/>
        <v>276.77272116456948</v>
      </c>
      <c r="P23" s="39">
        <f t="shared" si="13"/>
        <v>284.84616209299651</v>
      </c>
      <c r="Q23" s="39">
        <f t="shared" si="13"/>
        <v>293.42106648449408</v>
      </c>
      <c r="R23" s="99">
        <f t="shared" si="13"/>
        <v>302.53536805639766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-4490.2257647179486</v>
      </c>
      <c r="N25" s="89">
        <f t="shared" ref="N25:R25" si="16">N22-N23+N24</f>
        <v>-4759.4498797429205</v>
      </c>
      <c r="O25" s="89">
        <f t="shared" si="16"/>
        <v>-5036.2226009074902</v>
      </c>
      <c r="P25" s="89">
        <f t="shared" si="16"/>
        <v>-5321.0687630004868</v>
      </c>
      <c r="Q25" s="89">
        <f t="shared" si="16"/>
        <v>-5614.4898294849809</v>
      </c>
      <c r="R25" s="95">
        <f t="shared" si="16"/>
        <v>-5917.0251975413785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2773.2444152820517</v>
      </c>
      <c r="N27" s="135">
        <f t="shared" si="18"/>
        <v>2702.3257437570801</v>
      </c>
      <c r="O27" s="135">
        <f t="shared" si="18"/>
        <v>2640.1195124595106</v>
      </c>
      <c r="P27" s="135">
        <f t="shared" si="18"/>
        <v>2582.2846966458001</v>
      </c>
      <c r="Q27" s="135">
        <f t="shared" si="18"/>
        <v>2530.8577252950245</v>
      </c>
      <c r="R27" s="136">
        <f t="shared" si="18"/>
        <v>2484.8360980803691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262.22576471794872</v>
      </c>
      <c r="N34" s="39">
        <f t="shared" ref="N34:R34" si="24">N$23</f>
        <v>269.22411502497215</v>
      </c>
      <c r="O34" s="39">
        <f t="shared" si="24"/>
        <v>276.77272116456948</v>
      </c>
      <c r="P34" s="39">
        <f t="shared" si="24"/>
        <v>284.84616209299651</v>
      </c>
      <c r="Q34" s="39">
        <f t="shared" si="24"/>
        <v>293.42106648449408</v>
      </c>
      <c r="R34" s="99">
        <f t="shared" si="24"/>
        <v>302.53536805639766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296.22576471794872</v>
      </c>
      <c r="N36" s="135">
        <f t="shared" si="27"/>
        <v>302.22411502497215</v>
      </c>
      <c r="O36" s="135">
        <f t="shared" si="27"/>
        <v>306.77272116456948</v>
      </c>
      <c r="P36" s="135">
        <f t="shared" si="27"/>
        <v>311.84616209299651</v>
      </c>
      <c r="Q36" s="135">
        <f t="shared" si="27"/>
        <v>318.42106648449408</v>
      </c>
      <c r="R36" s="136">
        <f t="shared" si="27"/>
        <v>327.53536805639766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workbookViewId="0">
      <selection activeCell="F3" sqref="F3"/>
    </sheetView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7" t="s">
        <v>423</v>
      </c>
      <c r="C15" s="357"/>
      <c r="D15" s="357"/>
      <c r="E15" s="357"/>
      <c r="F15" s="357"/>
      <c r="G15" s="175"/>
      <c r="H15" s="175"/>
      <c r="I15" s="175"/>
      <c r="J15" s="175"/>
      <c r="L15" s="373" t="s">
        <v>455</v>
      </c>
      <c r="M15" s="373"/>
      <c r="N15" s="373"/>
      <c r="O15" s="373"/>
      <c r="P15" s="373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7" t="s">
        <v>411</v>
      </c>
      <c r="C32" s="357"/>
      <c r="D32" s="357"/>
      <c r="E32" s="357"/>
      <c r="F32" s="357"/>
      <c r="G32" s="357"/>
      <c r="H32" s="357"/>
      <c r="I32" s="357"/>
    </row>
    <row r="33" spans="1:11" x14ac:dyDescent="0.15">
      <c r="A33" s="167"/>
      <c r="B33" s="168"/>
      <c r="C33" s="168" t="s">
        <v>399</v>
      </c>
      <c r="D33" s="339" t="s">
        <v>400</v>
      </c>
      <c r="E33" s="339"/>
      <c r="F33" s="339"/>
      <c r="G33" s="339"/>
      <c r="H33" s="339"/>
      <c r="I33" s="339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 t="shared" ref="D38:I38" si="1">(+D54+D62+D70+D78+D86+D94+D102)-D37</f>
        <v>1964</v>
      </c>
      <c r="E38" s="46">
        <f t="shared" si="1"/>
        <v>1930</v>
      </c>
      <c r="F38" s="46">
        <f t="shared" si="1"/>
        <v>1273</v>
      </c>
      <c r="G38" s="46">
        <f t="shared" si="1"/>
        <v>2023</v>
      </c>
      <c r="H38" s="46">
        <f t="shared" si="1"/>
        <v>1280</v>
      </c>
      <c r="I38" s="46">
        <f t="shared" si="1"/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 t="shared" ref="C40:I40" si="2">C37+C38+C39</f>
        <v>2011</v>
      </c>
      <c r="D40" s="46">
        <f t="shared" si="2"/>
        <v>2013.2777777777778</v>
      </c>
      <c r="E40" s="46">
        <f t="shared" si="2"/>
        <v>2015.5555555555557</v>
      </c>
      <c r="F40" s="46">
        <f t="shared" si="2"/>
        <v>2017.8333333333333</v>
      </c>
      <c r="G40" s="46">
        <f t="shared" si="2"/>
        <v>2020.1111111111111</v>
      </c>
      <c r="H40" s="46">
        <f t="shared" si="2"/>
        <v>2020.8888888888889</v>
      </c>
      <c r="I40" s="46">
        <f t="shared" si="2"/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362.00175405383914</v>
      </c>
      <c r="E41" s="46">
        <f>'Huntsman Standalone'!O139</f>
        <v>355.42053592434524</v>
      </c>
      <c r="F41" s="46">
        <f>'Huntsman Standalone'!P139</f>
        <v>493.12304269080812</v>
      </c>
      <c r="G41" s="46">
        <f>'Huntsman Standalone'!Q139</f>
        <v>782.59926730236384</v>
      </c>
      <c r="H41" s="46">
        <f>'Huntsman Standalone'!R139</f>
        <v>1175.8186140991402</v>
      </c>
      <c r="I41" s="46">
        <f>'Huntsman Standalone'!S139</f>
        <v>1639.9625599051276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 t="shared" ref="D43:I43" si="3">+D51-D52-D53+D83-D84-D85+D91-D92-D93</f>
        <v>0</v>
      </c>
      <c r="E43" s="46">
        <f t="shared" si="3"/>
        <v>0</v>
      </c>
      <c r="F43" s="46">
        <f t="shared" si="3"/>
        <v>0</v>
      </c>
      <c r="G43" s="46">
        <f t="shared" si="3"/>
        <v>0</v>
      </c>
      <c r="H43" s="46">
        <f t="shared" si="3"/>
        <v>0</v>
      </c>
      <c r="I43" s="46">
        <f t="shared" si="3"/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 t="shared" ref="D44:I44" si="4">+D59-D60-D61+D67-D68-D69+D75-D76-D77+D99-D100-D101</f>
        <v>0</v>
      </c>
      <c r="E44" s="46">
        <f t="shared" si="4"/>
        <v>0</v>
      </c>
      <c r="F44" s="46">
        <f t="shared" si="4"/>
        <v>0</v>
      </c>
      <c r="G44" s="46">
        <f t="shared" si="4"/>
        <v>0</v>
      </c>
      <c r="H44" s="46">
        <f t="shared" si="4"/>
        <v>0</v>
      </c>
      <c r="I44" s="46">
        <f t="shared" si="4"/>
        <v>0</v>
      </c>
    </row>
    <row r="45" spans="1:11" x14ac:dyDescent="0.15">
      <c r="B45" t="s">
        <v>329</v>
      </c>
      <c r="C45" s="46">
        <f t="shared" ref="C45" si="5">+C58+C66+C74+C82+C90+C98+C106</f>
        <v>0</v>
      </c>
      <c r="D45" s="46">
        <f t="shared" ref="D45:I45" si="6">+D55+D63+D71+D79+D87+D95+D103</f>
        <v>-91.88300000000001</v>
      </c>
      <c r="E45" s="46">
        <f t="shared" si="6"/>
        <v>-91.88300000000001</v>
      </c>
      <c r="F45" s="46">
        <f t="shared" si="6"/>
        <v>-91.88300000000001</v>
      </c>
      <c r="G45" s="46">
        <f t="shared" si="6"/>
        <v>-91.88300000000001</v>
      </c>
      <c r="H45" s="46">
        <f t="shared" si="6"/>
        <v>-91.88300000000001</v>
      </c>
      <c r="I45" s="46">
        <f t="shared" si="6"/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7">-(E39-D39)</f>
        <v>-2.2777777777777768</v>
      </c>
      <c r="F46" s="46">
        <f t="shared" si="7"/>
        <v>-2.2777777777777786</v>
      </c>
      <c r="G46" s="46">
        <f t="shared" si="7"/>
        <v>-2.2777777777777772</v>
      </c>
      <c r="H46" s="46">
        <f t="shared" si="7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8">D45+D46</f>
        <v>-94.160777777777781</v>
      </c>
      <c r="E47" s="46">
        <f t="shared" si="8"/>
        <v>-94.160777777777781</v>
      </c>
      <c r="F47" s="46">
        <f t="shared" si="8"/>
        <v>-94.160777777777781</v>
      </c>
      <c r="G47" s="46">
        <f t="shared" si="8"/>
        <v>-94.160777777777781</v>
      </c>
      <c r="H47" s="46">
        <f t="shared" si="8"/>
        <v>-92.660777777777781</v>
      </c>
      <c r="I47" s="46">
        <f t="shared" si="8"/>
        <v>-92.660777777777781</v>
      </c>
    </row>
    <row r="48" spans="1:11" x14ac:dyDescent="0.15">
      <c r="B48" s="88" t="s">
        <v>198</v>
      </c>
      <c r="C48" s="328">
        <f t="shared" ref="C48:I48" si="9">C40-C41</f>
        <v>1582</v>
      </c>
      <c r="D48" s="328">
        <f t="shared" si="9"/>
        <v>1651.2760237239386</v>
      </c>
      <c r="E48" s="328">
        <f t="shared" si="9"/>
        <v>1660.1350196312105</v>
      </c>
      <c r="F48" s="328">
        <f t="shared" si="9"/>
        <v>1524.7102906425253</v>
      </c>
      <c r="G48" s="328">
        <f t="shared" si="9"/>
        <v>1237.5118438087472</v>
      </c>
      <c r="H48" s="328">
        <f t="shared" si="9"/>
        <v>845.07027478974874</v>
      </c>
      <c r="I48" s="328">
        <f t="shared" si="9"/>
        <v>381.70410676153915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 t="shared" ref="D50:I50" si="10">C54</f>
        <v>343</v>
      </c>
      <c r="E50" s="46">
        <f t="shared" si="10"/>
        <v>343</v>
      </c>
      <c r="F50" s="46">
        <f t="shared" si="10"/>
        <v>343</v>
      </c>
      <c r="G50" s="46">
        <f t="shared" si="10"/>
        <v>343</v>
      </c>
      <c r="H50" s="46">
        <f t="shared" si="10"/>
        <v>343</v>
      </c>
      <c r="I50" s="46">
        <f t="shared" si="10"/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 t="shared" ref="D54:I54" si="11">D50+D51-D52-D53</f>
        <v>343</v>
      </c>
      <c r="E54" s="46">
        <f t="shared" si="11"/>
        <v>343</v>
      </c>
      <c r="F54" s="46">
        <f t="shared" si="11"/>
        <v>343</v>
      </c>
      <c r="G54" s="46">
        <f t="shared" si="11"/>
        <v>343</v>
      </c>
      <c r="H54" s="46">
        <f t="shared" si="11"/>
        <v>343</v>
      </c>
      <c r="I54" s="46">
        <f t="shared" si="11"/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 t="shared" ref="D58:I58" si="12">C62</f>
        <v>750</v>
      </c>
      <c r="E58" s="46">
        <f t="shared" si="12"/>
        <v>750</v>
      </c>
      <c r="F58" s="46">
        <f t="shared" si="12"/>
        <v>750</v>
      </c>
      <c r="G58" s="46">
        <f t="shared" si="12"/>
        <v>750</v>
      </c>
      <c r="H58" s="46">
        <f t="shared" si="12"/>
        <v>750</v>
      </c>
      <c r="I58" s="46">
        <f t="shared" si="12"/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 t="shared" ref="D62:I62" si="13">D58+D59-D60-D61</f>
        <v>750</v>
      </c>
      <c r="E62" s="46">
        <f t="shared" si="13"/>
        <v>750</v>
      </c>
      <c r="F62" s="46">
        <f t="shared" si="13"/>
        <v>750</v>
      </c>
      <c r="G62" s="46">
        <f t="shared" si="13"/>
        <v>750</v>
      </c>
      <c r="H62" s="46">
        <f t="shared" si="13"/>
        <v>750</v>
      </c>
      <c r="I62" s="46">
        <f t="shared" si="13"/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 t="shared" ref="D66:I66" si="14">C70</f>
        <v>400</v>
      </c>
      <c r="E66" s="46">
        <f t="shared" si="14"/>
        <v>400</v>
      </c>
      <c r="F66" s="46">
        <f t="shared" si="14"/>
        <v>400</v>
      </c>
      <c r="G66" s="46">
        <f t="shared" si="14"/>
        <v>400</v>
      </c>
      <c r="H66" s="46">
        <f t="shared" si="14"/>
        <v>400</v>
      </c>
      <c r="I66" s="46">
        <f t="shared" si="14"/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 t="shared" ref="D70:I70" si="15">D66+D67-D68-D69</f>
        <v>400</v>
      </c>
      <c r="E70" s="46">
        <f t="shared" si="15"/>
        <v>400</v>
      </c>
      <c r="F70" s="46">
        <f t="shared" si="15"/>
        <v>400</v>
      </c>
      <c r="G70" s="46">
        <f t="shared" si="15"/>
        <v>400</v>
      </c>
      <c r="H70" s="46">
        <f t="shared" si="15"/>
        <v>400</v>
      </c>
      <c r="I70" s="46">
        <f t="shared" si="15"/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 t="shared" ref="D74:I74" si="16">C78</f>
        <v>350</v>
      </c>
      <c r="E74" s="46">
        <f t="shared" si="16"/>
        <v>350</v>
      </c>
      <c r="F74" s="46">
        <f t="shared" si="16"/>
        <v>350</v>
      </c>
      <c r="G74" s="46">
        <f t="shared" si="16"/>
        <v>350</v>
      </c>
      <c r="H74" s="46">
        <f t="shared" si="16"/>
        <v>350</v>
      </c>
      <c r="I74" s="46">
        <f t="shared" si="16"/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 t="shared" ref="D78:I78" si="17">D74+D75-D76-D77</f>
        <v>350</v>
      </c>
      <c r="E78" s="46">
        <f t="shared" si="17"/>
        <v>350</v>
      </c>
      <c r="F78" s="46">
        <f t="shared" si="17"/>
        <v>350</v>
      </c>
      <c r="G78" s="46">
        <f t="shared" si="17"/>
        <v>350</v>
      </c>
      <c r="H78" s="46">
        <f t="shared" si="17"/>
        <v>350</v>
      </c>
      <c r="I78" s="46">
        <f t="shared" si="17"/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 t="shared" ref="D82:I82" si="18">C86</f>
        <v>93</v>
      </c>
      <c r="E82" s="46">
        <f t="shared" si="18"/>
        <v>93</v>
      </c>
      <c r="F82" s="46">
        <f t="shared" si="18"/>
        <v>93</v>
      </c>
      <c r="G82" s="46">
        <f t="shared" si="18"/>
        <v>93</v>
      </c>
      <c r="H82" s="46">
        <f t="shared" si="18"/>
        <v>93</v>
      </c>
      <c r="I82" s="46">
        <f t="shared" si="18"/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 t="shared" ref="D86:I86" si="19">D82+D83-D84-D85</f>
        <v>93</v>
      </c>
      <c r="E86" s="46">
        <f t="shared" si="19"/>
        <v>93</v>
      </c>
      <c r="F86" s="46">
        <f t="shared" si="19"/>
        <v>93</v>
      </c>
      <c r="G86" s="46">
        <f t="shared" si="19"/>
        <v>93</v>
      </c>
      <c r="H86" s="46">
        <f t="shared" si="19"/>
        <v>93</v>
      </c>
      <c r="I86" s="46">
        <f t="shared" si="19"/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 t="shared" ref="D90:I90" si="20">C94</f>
        <v>59</v>
      </c>
      <c r="E90" s="46">
        <f t="shared" si="20"/>
        <v>59</v>
      </c>
      <c r="F90" s="46">
        <f t="shared" si="20"/>
        <v>59</v>
      </c>
      <c r="G90" s="46">
        <f t="shared" si="20"/>
        <v>59</v>
      </c>
      <c r="H90" s="46">
        <f t="shared" si="20"/>
        <v>59</v>
      </c>
      <c r="I90" s="46">
        <f t="shared" si="20"/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 t="shared" ref="D94:I94" si="21">D90+D91-D92-D93</f>
        <v>59</v>
      </c>
      <c r="E94" s="46">
        <f t="shared" si="21"/>
        <v>59</v>
      </c>
      <c r="F94" s="46">
        <f t="shared" si="21"/>
        <v>59</v>
      </c>
      <c r="G94" s="46">
        <f t="shared" si="21"/>
        <v>59</v>
      </c>
      <c r="H94" s="46">
        <f t="shared" si="21"/>
        <v>59</v>
      </c>
      <c r="I94" s="46">
        <f t="shared" si="21"/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 t="shared" ref="D98:I98" si="22">C102</f>
        <v>28</v>
      </c>
      <c r="E98" s="46">
        <f t="shared" si="22"/>
        <v>28</v>
      </c>
      <c r="F98" s="46">
        <f t="shared" si="22"/>
        <v>28</v>
      </c>
      <c r="G98" s="46">
        <f t="shared" si="22"/>
        <v>28</v>
      </c>
      <c r="H98" s="46">
        <f t="shared" si="22"/>
        <v>28</v>
      </c>
      <c r="I98" s="46">
        <f t="shared" si="22"/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 t="shared" ref="D102:I102" si="23">D98+D99-D100-D101</f>
        <v>28</v>
      </c>
      <c r="E102" s="46">
        <f t="shared" si="23"/>
        <v>28</v>
      </c>
      <c r="F102" s="46">
        <f t="shared" si="23"/>
        <v>28</v>
      </c>
      <c r="G102" s="46">
        <f t="shared" si="23"/>
        <v>28</v>
      </c>
      <c r="H102" s="46">
        <f t="shared" si="23"/>
        <v>28</v>
      </c>
      <c r="I102" s="46">
        <f t="shared" si="23"/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topLeftCell="A110" workbookViewId="0">
      <selection activeCell="A146" sqref="A146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2026-08-03T04:01:48Z</dcterms:modified>
</cp:coreProperties>
</file>