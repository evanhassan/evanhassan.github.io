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hassan/Downloads/"/>
    </mc:Choice>
  </mc:AlternateContent>
  <xr:revisionPtr revIDLastSave="0" documentId="13_ncr:1_{987C0954-61CF-B04F-B615-0C9AADFCCB7F}" xr6:coauthVersionLast="47" xr6:coauthVersionMax="47" xr10:uidLastSave="{00000000-0000-0000-0000-000000000000}"/>
  <bookViews>
    <workbookView xWindow="1100" yWindow="820" windowWidth="28040" windowHeight="17440" xr2:uid="{D047A057-5455-FC44-8C76-B8E138E86726}"/>
  </bookViews>
  <sheets>
    <sheet name="Comps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21" i="1"/>
  <c r="C20" i="1"/>
  <c r="B20" i="1"/>
  <c r="C19" i="1"/>
  <c r="C27" i="1" s="1"/>
  <c r="B19" i="1"/>
  <c r="B27" i="1" s="1"/>
  <c r="C18" i="1"/>
  <c r="B18" i="1"/>
  <c r="C17" i="1"/>
  <c r="B17" i="1"/>
  <c r="C16" i="1"/>
  <c r="B16" i="1"/>
</calcChain>
</file>

<file path=xl/sharedStrings.xml><?xml version="1.0" encoding="utf-8"?>
<sst xmlns="http://schemas.openxmlformats.org/spreadsheetml/2006/main" count="48" uniqueCount="39">
  <si>
    <t>Public Comps Analysis</t>
  </si>
  <si>
    <t>Market Data</t>
  </si>
  <si>
    <t>Company</t>
  </si>
  <si>
    <t>Ticker</t>
  </si>
  <si>
    <t>High</t>
  </si>
  <si>
    <t>75th Percentile</t>
  </si>
  <si>
    <t>Average</t>
  </si>
  <si>
    <t>Median</t>
  </si>
  <si>
    <t>25th Percentile</t>
  </si>
  <si>
    <t>Low</t>
  </si>
  <si>
    <t>Share Price</t>
  </si>
  <si>
    <t>EV/Revenue</t>
  </si>
  <si>
    <t>EV/EBITDA</t>
  </si>
  <si>
    <t>Doximity</t>
  </si>
  <si>
    <t>DOCS</t>
  </si>
  <si>
    <t>Waystar</t>
  </si>
  <si>
    <t>WAY</t>
  </si>
  <si>
    <t>Phreesia</t>
  </si>
  <si>
    <t>PHR</t>
  </si>
  <si>
    <t>HealthStream</t>
  </si>
  <si>
    <t>HSTM</t>
  </si>
  <si>
    <t>Veeva Systems</t>
  </si>
  <si>
    <t>VEEV</t>
  </si>
  <si>
    <t>Tyler Technologies</t>
  </si>
  <si>
    <t>TYL</t>
  </si>
  <si>
    <t>Financials</t>
  </si>
  <si>
    <t>Valuation</t>
  </si>
  <si>
    <t>Equity Value($mm)</t>
  </si>
  <si>
    <t>Net Debt($mm)</t>
  </si>
  <si>
    <t>Enterprise Value($mm)</t>
  </si>
  <si>
    <t>Revenue($mm)</t>
  </si>
  <si>
    <t>EBITDA($mm)</t>
  </si>
  <si>
    <t>Net Income ($mm)</t>
  </si>
  <si>
    <t>Shares Outstanding($mm)</t>
  </si>
  <si>
    <t>CentralReach</t>
  </si>
  <si>
    <t>N/A</t>
  </si>
  <si>
    <t>Central Reach Valuation</t>
  </si>
  <si>
    <t>Implied Enterprise Value</t>
  </si>
  <si>
    <t>$`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</si>
</sst>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;[Red]\(\$#,##0.0\);\-"/>
    <numFmt numFmtId="165" formatCode="0.0\x"/>
    <numFmt numFmtId="166" formatCode="#,##0.00;[Red]\(#,##0.00\);\-"/>
    <numFmt numFmtId="167" formatCode="#,##0;[Red]\(#,##0\);\-"/>
    <numFmt numFmtId="169" formatCode="0.0\x;[Red]\(0.0\x\);\-"/>
  </numFmts>
  <fonts count="6">
    <font>
      <sz val="11"/>
      <name val="Carlito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E00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</borders>
  <cellStyleXfs count="6">
    <xf numFmtId="0" fontId="0" fillId="0" borderId="0"/>
    <xf numFmtId="0" fontId="1" fillId="2" borderId="1"/>
    <xf numFmtId="164" fontId="2" fillId="0" borderId="2"/>
    <xf numFmtId="0" fontId="3" fillId="3" borderId="3" applyBorder="0"/>
    <xf numFmtId="165" fontId="4" fillId="4" borderId="4" applyNumberFormat="0">
      <alignment horizontal="center" wrapText="1"/>
    </xf>
    <xf numFmtId="0" fontId="3" fillId="5" borderId="0">
      <alignment horizontal="left"/>
    </xf>
  </cellStyleXfs>
  <cellXfs count="30">
    <xf numFmtId="0" fontId="0" fillId="0" borderId="0" xfId="0"/>
    <xf numFmtId="0" fontId="2" fillId="0" borderId="0" xfId="0" applyFont="1"/>
    <xf numFmtId="0" fontId="3" fillId="5" borderId="0" xfId="5">
      <alignment horizontal="left"/>
    </xf>
    <xf numFmtId="0" fontId="3" fillId="3" borderId="0" xfId="3" applyBorder="1"/>
    <xf numFmtId="0" fontId="2" fillId="3" borderId="0" xfId="0" applyFont="1" applyFill="1"/>
    <xf numFmtId="0" fontId="5" fillId="3" borderId="0" xfId="0" applyFont="1" applyFill="1" applyAlignment="1">
      <alignment vertical="center"/>
    </xf>
    <xf numFmtId="0" fontId="3" fillId="3" borderId="5" xfId="3" applyBorder="1" applyAlignment="1">
      <alignment horizontal="center"/>
    </xf>
    <xf numFmtId="0" fontId="3" fillId="3" borderId="0" xfId="3" applyBorder="1" applyAlignment="1">
      <alignment horizontal="center"/>
    </xf>
    <xf numFmtId="164" fontId="2" fillId="0" borderId="2" xfId="2" applyBorder="1"/>
    <xf numFmtId="0" fontId="2" fillId="0" borderId="2" xfId="0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169" fontId="2" fillId="0" borderId="4" xfId="0" applyNumberFormat="1" applyFont="1" applyBorder="1"/>
    <xf numFmtId="169" fontId="2" fillId="0" borderId="2" xfId="0" applyNumberFormat="1" applyFont="1" applyBorder="1"/>
    <xf numFmtId="169" fontId="2" fillId="0" borderId="7" xfId="0" applyNumberFormat="1" applyFont="1" applyBorder="1"/>
    <xf numFmtId="169" fontId="2" fillId="0" borderId="0" xfId="0" applyNumberFormat="1" applyFont="1"/>
    <xf numFmtId="0" fontId="5" fillId="0" borderId="0" xfId="0" applyFont="1" applyFill="1" applyAlignment="1">
      <alignment vertical="center"/>
    </xf>
    <xf numFmtId="166" fontId="2" fillId="0" borderId="0" xfId="0" applyNumberFormat="1" applyFont="1" applyBorder="1"/>
    <xf numFmtId="169" fontId="2" fillId="0" borderId="0" xfId="0" applyNumberFormat="1" applyFont="1" applyBorder="1"/>
    <xf numFmtId="0" fontId="2" fillId="6" borderId="4" xfId="0" applyFont="1" applyFill="1" applyBorder="1"/>
    <xf numFmtId="0" fontId="2" fillId="6" borderId="2" xfId="0" applyFont="1" applyFill="1" applyBorder="1"/>
    <xf numFmtId="0" fontId="1" fillId="6" borderId="2" xfId="0" applyFont="1" applyFill="1" applyBorder="1"/>
    <xf numFmtId="0" fontId="2" fillId="6" borderId="7" xfId="0" applyFont="1" applyFill="1" applyBorder="1"/>
    <xf numFmtId="0" fontId="2" fillId="2" borderId="6" xfId="1" applyFont="1" applyBorder="1"/>
    <xf numFmtId="0" fontId="1" fillId="2" borderId="6" xfId="1" applyFont="1" applyBorder="1"/>
    <xf numFmtId="166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/>
    <xf numFmtId="165" fontId="2" fillId="0" borderId="2" xfId="0" applyNumberFormat="1" applyFont="1" applyBorder="1"/>
  </cellXfs>
  <cellStyles count="6">
    <cellStyle name="assumptions" xfId="1" xr:uid="{A87A6544-14FA-BE42-87D3-9CB9E8EDCC09}"/>
    <cellStyle name="basic inside" xfId="2" xr:uid="{CFFB1568-8A00-7D42-ADDC-D9E3DB35B2F2}"/>
    <cellStyle name="header" xfId="3" xr:uid="{3E5A6CDC-1AD4-4B49-84C2-10ADBC535247}"/>
    <cellStyle name="input1" xfId="4" xr:uid="{BFE3791B-6519-864D-AC64-4B79718403C7}"/>
    <cellStyle name="Normal" xfId="0" builtinId="0" customBuiltin="1"/>
    <cellStyle name="title1" xfId="5" xr:uid="{4C86F2D6-71E8-694B-868B-C03DAF87D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9180-FE68-4A44-8D05-CB40C4BFD153}">
  <dimension ref="A1:O27"/>
  <sheetViews>
    <sheetView showGridLines="0" tabSelected="1" workbookViewId="0">
      <selection activeCell="E24" sqref="E24"/>
    </sheetView>
  </sheetViews>
  <sheetFormatPr baseColWidth="10" defaultRowHeight="14"/>
  <cols>
    <col min="1" max="1" width="25.1640625" style="1" customWidth="1"/>
    <col min="2" max="2" width="10.83203125" style="1"/>
    <col min="3" max="3" width="12.83203125" style="1" customWidth="1"/>
    <col min="4" max="4" width="22.1640625" style="1" customWidth="1"/>
    <col min="5" max="5" width="20.1640625" style="1" customWidth="1"/>
    <col min="6" max="6" width="15.33203125" style="1" customWidth="1"/>
    <col min="7" max="7" width="20.33203125" style="1" customWidth="1"/>
    <col min="8" max="8" width="3.83203125" style="1" customWidth="1"/>
    <col min="9" max="10" width="13.6640625" style="1" customWidth="1"/>
    <col min="11" max="11" width="16.83203125" style="1" customWidth="1"/>
    <col min="12" max="12" width="4" style="1" customWidth="1"/>
    <col min="13" max="13" width="12.5" style="1" customWidth="1"/>
    <col min="14" max="14" width="10.83203125" style="1"/>
    <col min="15" max="15" width="0.83203125" style="1" customWidth="1"/>
    <col min="16" max="16384" width="10.83203125" style="1"/>
  </cols>
  <sheetData>
    <row r="1" spans="1:15">
      <c r="A1" s="2" t="s">
        <v>0</v>
      </c>
      <c r="B1" s="2"/>
      <c r="C1" s="2"/>
      <c r="D1" s="2"/>
      <c r="E1" s="2"/>
    </row>
    <row r="4" spans="1:15">
      <c r="A4" s="4"/>
      <c r="B4" s="4"/>
      <c r="C4" s="6" t="s">
        <v>1</v>
      </c>
      <c r="D4" s="6"/>
      <c r="E4" s="6"/>
      <c r="F4" s="6"/>
      <c r="G4" s="6"/>
      <c r="H4" s="3"/>
      <c r="I4" s="6" t="s">
        <v>25</v>
      </c>
      <c r="J4" s="6"/>
      <c r="K4" s="6"/>
      <c r="L4" s="3"/>
      <c r="M4" s="6" t="s">
        <v>26</v>
      </c>
      <c r="N4" s="6"/>
      <c r="O4" s="7"/>
    </row>
    <row r="5" spans="1:15">
      <c r="A5" s="5" t="s">
        <v>2</v>
      </c>
      <c r="B5" s="5" t="s">
        <v>3</v>
      </c>
      <c r="C5" s="5" t="s">
        <v>10</v>
      </c>
      <c r="D5" s="5" t="s">
        <v>33</v>
      </c>
      <c r="E5" s="5" t="s">
        <v>27</v>
      </c>
      <c r="F5" s="5" t="s">
        <v>28</v>
      </c>
      <c r="G5" s="5" t="s">
        <v>29</v>
      </c>
      <c r="H5" s="5"/>
      <c r="I5" s="5" t="s">
        <v>30</v>
      </c>
      <c r="J5" s="5" t="s">
        <v>31</v>
      </c>
      <c r="K5" s="5" t="s">
        <v>32</v>
      </c>
      <c r="L5" s="5"/>
      <c r="M5" s="5" t="s">
        <v>11</v>
      </c>
      <c r="N5" s="5" t="s">
        <v>12</v>
      </c>
      <c r="O5" s="5"/>
    </row>
    <row r="6" spans="1:15">
      <c r="A6" s="24" t="s">
        <v>34</v>
      </c>
      <c r="B6" s="8" t="s">
        <v>35</v>
      </c>
      <c r="C6" s="25" t="s">
        <v>35</v>
      </c>
      <c r="D6" s="25" t="s">
        <v>35</v>
      </c>
      <c r="E6" s="26" t="s">
        <v>35</v>
      </c>
      <c r="F6" s="27" t="s">
        <v>35</v>
      </c>
      <c r="G6" s="9">
        <v>1850</v>
      </c>
      <c r="H6" s="9"/>
      <c r="I6" s="28">
        <v>175</v>
      </c>
      <c r="J6" s="10">
        <v>75</v>
      </c>
      <c r="K6" s="25" t="s">
        <v>35</v>
      </c>
      <c r="L6" s="9"/>
      <c r="M6" s="29" t="s">
        <v>38</v>
      </c>
      <c r="N6" s="29">
        <v>22</v>
      </c>
      <c r="O6" s="17"/>
    </row>
    <row r="7" spans="1:15">
      <c r="A7" s="23" t="s">
        <v>13</v>
      </c>
      <c r="B7" s="8" t="s">
        <v>14</v>
      </c>
      <c r="C7" s="10">
        <v>21.86</v>
      </c>
      <c r="D7" s="10">
        <v>182.87</v>
      </c>
      <c r="E7" s="9">
        <v>4000</v>
      </c>
      <c r="F7" s="11">
        <v>-740</v>
      </c>
      <c r="G7" s="9">
        <v>3260</v>
      </c>
      <c r="H7" s="9"/>
      <c r="I7" s="10">
        <v>644.86</v>
      </c>
      <c r="J7" s="10">
        <v>228.79</v>
      </c>
      <c r="K7" s="10">
        <v>196.05</v>
      </c>
      <c r="L7" s="10"/>
      <c r="M7" s="13">
        <v>5.0999999999999996</v>
      </c>
      <c r="N7" s="13">
        <v>14.2</v>
      </c>
      <c r="O7" s="18"/>
    </row>
    <row r="8" spans="1:15">
      <c r="A8" s="23" t="s">
        <v>15</v>
      </c>
      <c r="B8" s="8" t="s">
        <v>16</v>
      </c>
      <c r="C8" s="10">
        <v>23.46</v>
      </c>
      <c r="D8" s="10">
        <v>191.81</v>
      </c>
      <c r="E8" s="9">
        <v>4500</v>
      </c>
      <c r="F8" s="11">
        <v>1330</v>
      </c>
      <c r="G8" s="9">
        <v>5830</v>
      </c>
      <c r="H8" s="9"/>
      <c r="I8" s="10">
        <v>1160</v>
      </c>
      <c r="J8" s="10">
        <v>413.98</v>
      </c>
      <c r="K8" s="10">
        <v>126.1</v>
      </c>
      <c r="L8" s="10"/>
      <c r="M8" s="13">
        <v>5</v>
      </c>
      <c r="N8" s="13">
        <v>14.1</v>
      </c>
      <c r="O8" s="18"/>
    </row>
    <row r="9" spans="1:15" ht="24" customHeight="1">
      <c r="A9" s="23" t="s">
        <v>17</v>
      </c>
      <c r="B9" s="8" t="s">
        <v>18</v>
      </c>
      <c r="C9" s="10">
        <v>10.94</v>
      </c>
      <c r="D9" s="10">
        <v>61.81</v>
      </c>
      <c r="E9" s="9">
        <v>676</v>
      </c>
      <c r="F9" s="11">
        <v>18</v>
      </c>
      <c r="G9" s="9">
        <v>694</v>
      </c>
      <c r="H9" s="9"/>
      <c r="I9" s="10">
        <v>495.59</v>
      </c>
      <c r="J9" s="10">
        <v>32.83</v>
      </c>
      <c r="K9" s="10">
        <v>9.18</v>
      </c>
      <c r="L9" s="10"/>
      <c r="M9" s="13">
        <v>1.4</v>
      </c>
      <c r="N9" s="13">
        <v>21.1</v>
      </c>
      <c r="O9" s="18"/>
    </row>
    <row r="10" spans="1:15">
      <c r="A10" s="23" t="s">
        <v>19</v>
      </c>
      <c r="B10" s="8" t="s">
        <v>20</v>
      </c>
      <c r="C10" s="10">
        <v>28.41</v>
      </c>
      <c r="D10" s="10">
        <v>29.22</v>
      </c>
      <c r="E10" s="9">
        <v>830</v>
      </c>
      <c r="F10" s="11">
        <v>-52</v>
      </c>
      <c r="G10" s="9">
        <v>778</v>
      </c>
      <c r="H10" s="9"/>
      <c r="I10" s="10">
        <v>311.77999999999997</v>
      </c>
      <c r="J10" s="10">
        <v>42.06</v>
      </c>
      <c r="K10" s="10">
        <v>19.920000000000002</v>
      </c>
      <c r="L10" s="10"/>
      <c r="M10" s="13">
        <v>2.5</v>
      </c>
      <c r="N10" s="13">
        <v>18.5</v>
      </c>
      <c r="O10" s="18"/>
    </row>
    <row r="11" spans="1:15">
      <c r="A11" s="23" t="s">
        <v>21</v>
      </c>
      <c r="B11" s="8" t="s">
        <v>22</v>
      </c>
      <c r="C11" s="10">
        <v>192.74</v>
      </c>
      <c r="D11" s="10">
        <v>162.44</v>
      </c>
      <c r="E11" s="9">
        <v>31310</v>
      </c>
      <c r="F11" s="11">
        <v>-7210</v>
      </c>
      <c r="G11" s="9">
        <v>24100</v>
      </c>
      <c r="H11" s="9"/>
      <c r="I11" s="10">
        <v>3320</v>
      </c>
      <c r="J11" s="10">
        <v>1030</v>
      </c>
      <c r="K11" s="10">
        <v>941.65</v>
      </c>
      <c r="L11" s="10"/>
      <c r="M11" s="13">
        <v>7.3</v>
      </c>
      <c r="N11" s="13">
        <v>23.4</v>
      </c>
      <c r="O11" s="18"/>
    </row>
    <row r="12" spans="1:15">
      <c r="A12" s="23" t="s">
        <v>23</v>
      </c>
      <c r="B12" s="8" t="s">
        <v>24</v>
      </c>
      <c r="C12" s="10">
        <v>318.10000000000002</v>
      </c>
      <c r="D12" s="10">
        <v>42.17</v>
      </c>
      <c r="E12" s="9">
        <v>13410</v>
      </c>
      <c r="F12" s="11">
        <v>-290</v>
      </c>
      <c r="G12" s="9">
        <v>13120</v>
      </c>
      <c r="H12" s="9"/>
      <c r="I12" s="10">
        <v>2380</v>
      </c>
      <c r="J12" s="10">
        <v>454.52</v>
      </c>
      <c r="K12" s="10">
        <v>315.73</v>
      </c>
      <c r="L12" s="10"/>
      <c r="M12" s="13">
        <v>5.5</v>
      </c>
      <c r="N12" s="13">
        <v>28.9</v>
      </c>
      <c r="O12" s="18"/>
    </row>
    <row r="15" spans="1:15">
      <c r="A15" s="4"/>
      <c r="B15" s="5" t="s">
        <v>11</v>
      </c>
      <c r="C15" s="5" t="s">
        <v>12</v>
      </c>
    </row>
    <row r="16" spans="1:15">
      <c r="A16" s="19" t="s">
        <v>4</v>
      </c>
      <c r="B16" s="12">
        <f>MAX(M7:M12)</f>
        <v>7.3</v>
      </c>
      <c r="C16" s="12">
        <f>MAX(N7:N12)</f>
        <v>28.9</v>
      </c>
      <c r="O16" s="15"/>
    </row>
    <row r="17" spans="1:15">
      <c r="A17" s="20" t="s">
        <v>5</v>
      </c>
      <c r="B17" s="13">
        <f>_xlfn.QUARTILE.INC(M7:M12,3)</f>
        <v>5.4</v>
      </c>
      <c r="C17" s="13">
        <f>_xlfn.QUARTILE.INC(N7:N12,3)</f>
        <v>22.824999999999999</v>
      </c>
      <c r="O17" s="15"/>
    </row>
    <row r="18" spans="1:15">
      <c r="A18" s="20" t="s">
        <v>6</v>
      </c>
      <c r="B18" s="13">
        <f>AVERAGE(M7:M12)</f>
        <v>4.4666666666666668</v>
      </c>
      <c r="C18" s="13">
        <f>AVERAGE(N7:N12)</f>
        <v>20.033333333333335</v>
      </c>
      <c r="O18" s="15"/>
    </row>
    <row r="19" spans="1:15">
      <c r="A19" s="21" t="s">
        <v>7</v>
      </c>
      <c r="B19" s="13">
        <f>MEDIAN(M7:M12)</f>
        <v>5.05</v>
      </c>
      <c r="C19" s="13">
        <f>MEDIAN(N7:N12)</f>
        <v>19.8</v>
      </c>
      <c r="O19" s="15"/>
    </row>
    <row r="20" spans="1:15">
      <c r="A20" s="20" t="s">
        <v>8</v>
      </c>
      <c r="B20" s="13">
        <f>_xlfn.QUARTILE.INC(M7:M12,1)</f>
        <v>3.125</v>
      </c>
      <c r="C20" s="13">
        <f>_xlfn.QUARTILE.INC(N7:N12,1)</f>
        <v>15.274999999999999</v>
      </c>
      <c r="O20" s="15"/>
    </row>
    <row r="21" spans="1:15">
      <c r="A21" s="22" t="s">
        <v>9</v>
      </c>
      <c r="B21" s="14">
        <f>MIN(M7:M12)</f>
        <v>1.4</v>
      </c>
      <c r="C21" s="14">
        <f>MIN(N7:N12)</f>
        <v>14.1</v>
      </c>
      <c r="O21" s="15"/>
    </row>
    <row r="26" spans="1:15">
      <c r="A26" s="3" t="s">
        <v>36</v>
      </c>
      <c r="B26" s="5" t="s">
        <v>11</v>
      </c>
      <c r="C26" s="5" t="s">
        <v>12</v>
      </c>
      <c r="D26" s="16"/>
    </row>
    <row r="27" spans="1:15">
      <c r="A27" s="1" t="s">
        <v>37</v>
      </c>
      <c r="B27" s="1">
        <f>B19*I6</f>
        <v>883.75</v>
      </c>
      <c r="C27" s="1">
        <f>J6*C19</f>
        <v>1485</v>
      </c>
    </row>
  </sheetData>
  <mergeCells count="3">
    <mergeCell ref="M4:N4"/>
    <mergeCell ref="I4:K4"/>
    <mergeCell ref="C4:G4"/>
  </mergeCells>
  <pageMargins left="0.7" right="0.7" top="0.75" bottom="0.75" header="0.3" footer="0.3"/>
  <ignoredErrors>
    <ignoredError sqref="B16:C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Hassan</dc:creator>
  <cp:lastModifiedBy>Evan Hassan</cp:lastModifiedBy>
  <dcterms:created xsi:type="dcterms:W3CDTF">2026-07-04T23:53:25Z</dcterms:created>
  <dcterms:modified xsi:type="dcterms:W3CDTF">2026-07-10T00:11:33Z</dcterms:modified>
</cp:coreProperties>
</file>