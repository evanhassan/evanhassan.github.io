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vanhassan/Downloads/"/>
    </mc:Choice>
  </mc:AlternateContent>
  <xr:revisionPtr revIDLastSave="0" documentId="13_ncr:1_{115B7EF3-4C9B-354D-AE3F-C5976433B7F6}" xr6:coauthVersionLast="47" xr6:coauthVersionMax="47" xr10:uidLastSave="{00000000-0000-0000-0000-000000000000}"/>
  <bookViews>
    <workbookView xWindow="0" yWindow="760" windowWidth="30220" windowHeight="18880" xr2:uid="{00000000-000D-0000-FFFF-FFFF00000000}"/>
  </bookViews>
  <sheets>
    <sheet name="Table of Contents" sheetId="19" r:id="rId1"/>
    <sheet name="Main Page &amp; Assumptions" sheetId="11" r:id="rId2"/>
    <sheet name="Summary" sheetId="18" r:id="rId3"/>
    <sheet name="Revenue Build" sheetId="8" r:id="rId4"/>
    <sheet name="ISP Carve Out Costs" sheetId="10" r:id="rId5"/>
    <sheet name="SLCA Financials (memo)" sheetId="6" r:id="rId6"/>
    <sheet name="Individual Cash Flow" sheetId="9" r:id="rId7"/>
    <sheet name="Carveout DCFs" sheetId="14" r:id="rId8"/>
    <sheet name="Standalone DCF" sheetId="12" r:id="rId9"/>
    <sheet name="Public Comps" sheetId="17" r:id="rId10"/>
    <sheet name="Site By Site Assignments" sheetId="7" r:id="rId11"/>
    <sheet name="SLCA Raw" sheetId="5" state="hidden" r:id="rId12"/>
  </sheets>
  <externalReferences>
    <externalReference r:id="rId13"/>
    <externalReference r:id="rId14"/>
  </externalReferences>
  <definedNames>
    <definedName name="_90346E10___AllReports" localSheetId="11">'SLCA Raw'!$A$1:$G$166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7" l="1"/>
  <c r="B16" i="19" s="1"/>
  <c r="A1" i="12"/>
  <c r="A1" i="14"/>
  <c r="A1" i="9"/>
  <c r="B15" i="19" s="1"/>
  <c r="A1" i="8"/>
  <c r="B12" i="19" s="1"/>
  <c r="A1" i="18"/>
  <c r="A1" i="11"/>
  <c r="B17" i="19"/>
  <c r="B14" i="19"/>
  <c r="B9" i="19"/>
  <c r="B8" i="19"/>
  <c r="B5" i="19"/>
  <c r="B4" i="19"/>
  <c r="E12" i="18" l="1"/>
  <c r="E6" i="18"/>
  <c r="C7" i="12"/>
  <c r="D7" i="12" s="1"/>
  <c r="E7" i="12" s="1"/>
  <c r="F7" i="12" s="1"/>
  <c r="G7" i="12" s="1"/>
  <c r="H7" i="12" s="1"/>
  <c r="P13" i="11"/>
  <c r="Q13" i="11" s="1"/>
  <c r="R13" i="11" s="1"/>
  <c r="S13" i="11" s="1"/>
  <c r="E13" i="11"/>
  <c r="F13" i="11" s="1"/>
  <c r="G13" i="11" s="1"/>
  <c r="H13" i="11" s="1"/>
  <c r="I13" i="11" s="1"/>
  <c r="K13" i="11"/>
  <c r="L13" i="11" s="1"/>
  <c r="M13" i="11" s="1"/>
  <c r="N13" i="11" s="1"/>
  <c r="Q17" i="11"/>
  <c r="R17" i="11"/>
  <c r="S17" i="11"/>
  <c r="P17" i="11"/>
  <c r="G17" i="11"/>
  <c r="H17" i="11"/>
  <c r="I17" i="11"/>
  <c r="F17" i="11"/>
  <c r="L17" i="11"/>
  <c r="M17" i="11"/>
  <c r="N17" i="11"/>
  <c r="K17" i="11"/>
  <c r="K58" i="6"/>
  <c r="L58" i="6" s="1"/>
  <c r="M58" i="6" s="1"/>
  <c r="N58" i="6" s="1"/>
  <c r="J117" i="6"/>
  <c r="K141" i="6"/>
  <c r="L141" i="6" s="1"/>
  <c r="M141" i="6" s="1"/>
  <c r="N141" i="6" s="1"/>
  <c r="K122" i="6"/>
  <c r="L122" i="6" s="1"/>
  <c r="M122" i="6" s="1"/>
  <c r="N122" i="6" s="1"/>
  <c r="K84" i="6"/>
  <c r="L84" i="6"/>
  <c r="M84" i="6"/>
  <c r="N84" i="6"/>
  <c r="K89" i="6"/>
  <c r="L89" i="6"/>
  <c r="M89" i="6"/>
  <c r="N89" i="6"/>
  <c r="E20" i="17"/>
  <c r="E19" i="17"/>
  <c r="E18" i="17"/>
  <c r="C28" i="12"/>
  <c r="I7" i="12" l="1"/>
  <c r="J7" i="12" s="1"/>
  <c r="K7" i="12" s="1"/>
  <c r="L7" i="12" s="1"/>
  <c r="M7" i="12" s="1"/>
  <c r="P16" i="11" l="1"/>
  <c r="Q16" i="11" s="1"/>
  <c r="R16" i="11" s="1"/>
  <c r="S16" i="11" s="1"/>
  <c r="F16" i="11"/>
  <c r="G16" i="11" s="1"/>
  <c r="H16" i="11" s="1"/>
  <c r="I16" i="11" s="1"/>
  <c r="E25" i="17"/>
  <c r="E26" i="17"/>
  <c r="E31" i="17"/>
  <c r="E27" i="17"/>
  <c r="E32" i="17"/>
  <c r="E24" i="17"/>
  <c r="E5" i="17"/>
  <c r="E6" i="17"/>
  <c r="E7" i="17"/>
  <c r="E17" i="17"/>
  <c r="E16" i="17"/>
  <c r="E8" i="17"/>
  <c r="E9" i="17"/>
  <c r="E10" i="17"/>
  <c r="J16" i="11"/>
  <c r="I49" i="8" s="1"/>
  <c r="J27" i="8"/>
  <c r="D5" i="14"/>
  <c r="E5" i="14"/>
  <c r="F5" i="14"/>
  <c r="G5" i="14"/>
  <c r="D25" i="14"/>
  <c r="E25" i="14"/>
  <c r="F25" i="14"/>
  <c r="G25" i="14"/>
  <c r="C25" i="14"/>
  <c r="C5" i="14"/>
  <c r="J46" i="8"/>
  <c r="K46" i="8"/>
  <c r="L46" i="8"/>
  <c r="M46" i="8"/>
  <c r="I46" i="8"/>
  <c r="J45" i="8"/>
  <c r="K45" i="8"/>
  <c r="L45" i="8"/>
  <c r="M45" i="8"/>
  <c r="I45" i="8"/>
  <c r="I23" i="8"/>
  <c r="L12" i="11"/>
  <c r="M12" i="11" s="1"/>
  <c r="N12" i="11" s="1"/>
  <c r="M24" i="8" s="1"/>
  <c r="M23" i="8"/>
  <c r="P10" i="11"/>
  <c r="Q10" i="11" s="1"/>
  <c r="R10" i="11" s="1"/>
  <c r="S10" i="11" s="1"/>
  <c r="K10" i="11"/>
  <c r="L10" i="11" s="1"/>
  <c r="M10" i="11" s="1"/>
  <c r="N10" i="11" s="1"/>
  <c r="F10" i="11"/>
  <c r="G10" i="11" s="1"/>
  <c r="H10" i="11" s="1"/>
  <c r="I10" i="11" s="1"/>
  <c r="M35" i="9"/>
  <c r="L35" i="9"/>
  <c r="K35" i="9"/>
  <c r="J35" i="9"/>
  <c r="I35" i="9"/>
  <c r="M34" i="9"/>
  <c r="L34" i="9"/>
  <c r="K34" i="9"/>
  <c r="J34" i="9"/>
  <c r="I34" i="9"/>
  <c r="C33" i="12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D5" i="10"/>
  <c r="E5" i="10" s="1"/>
  <c r="F5" i="10" s="1"/>
  <c r="G5" i="10" s="1"/>
  <c r="G30" i="10"/>
  <c r="F30" i="10"/>
  <c r="E30" i="10"/>
  <c r="D30" i="10"/>
  <c r="C30" i="10"/>
  <c r="G10" i="10"/>
  <c r="G17" i="10" s="1"/>
  <c r="F10" i="10"/>
  <c r="F17" i="10" s="1"/>
  <c r="E10" i="10"/>
  <c r="E17" i="10" s="1"/>
  <c r="D10" i="10"/>
  <c r="D17" i="10" s="1"/>
  <c r="C10" i="10"/>
  <c r="C17" i="10" s="1"/>
  <c r="A1" i="10"/>
  <c r="B13" i="19" s="1"/>
  <c r="D28" i="6" l="1"/>
  <c r="K28" i="6" s="1"/>
  <c r="C13" i="14"/>
  <c r="K16" i="11"/>
  <c r="L16" i="11" s="1"/>
  <c r="M16" i="11" s="1"/>
  <c r="N16" i="11" s="1"/>
  <c r="I27" i="8"/>
  <c r="L23" i="8"/>
  <c r="K23" i="8"/>
  <c r="J23" i="8"/>
  <c r="L24" i="8"/>
  <c r="K24" i="8"/>
  <c r="J24" i="8"/>
  <c r="I24" i="8"/>
  <c r="F28" i="6" l="1"/>
  <c r="E28" i="6"/>
  <c r="N28" i="6"/>
  <c r="H28" i="6"/>
  <c r="G28" i="6"/>
  <c r="J28" i="6"/>
  <c r="M28" i="6"/>
  <c r="I28" i="6"/>
  <c r="L28" i="6"/>
  <c r="C33" i="14"/>
  <c r="K49" i="8"/>
  <c r="J49" i="8"/>
  <c r="K27" i="8"/>
  <c r="M49" i="8" l="1"/>
  <c r="L49" i="8"/>
  <c r="L27" i="8"/>
  <c r="M27" i="8"/>
  <c r="D44" i="9" l="1"/>
  <c r="E44" i="9"/>
  <c r="F44" i="9"/>
  <c r="G44" i="9"/>
  <c r="H44" i="9"/>
  <c r="C44" i="9"/>
  <c r="D21" i="9"/>
  <c r="E21" i="9"/>
  <c r="F21" i="9"/>
  <c r="G21" i="9"/>
  <c r="H21" i="9"/>
  <c r="C21" i="9"/>
  <c r="J39" i="9"/>
  <c r="J44" i="9" s="1"/>
  <c r="K39" i="9"/>
  <c r="K44" i="9" s="1"/>
  <c r="L39" i="9"/>
  <c r="L44" i="9" s="1"/>
  <c r="M39" i="9"/>
  <c r="M44" i="9" s="1"/>
  <c r="I39" i="9"/>
  <c r="I44" i="9" s="1"/>
  <c r="J13" i="9"/>
  <c r="K13" i="9"/>
  <c r="L13" i="9"/>
  <c r="M13" i="9"/>
  <c r="I13" i="9"/>
  <c r="E24" i="9"/>
  <c r="F24" i="9"/>
  <c r="G24" i="9"/>
  <c r="H24" i="9"/>
  <c r="D24" i="9"/>
  <c r="E47" i="9"/>
  <c r="F47" i="9"/>
  <c r="G47" i="9"/>
  <c r="H47" i="9"/>
  <c r="D47" i="9"/>
  <c r="D7" i="9"/>
  <c r="E7" i="9"/>
  <c r="F7" i="9"/>
  <c r="G7" i="9"/>
  <c r="H7" i="9"/>
  <c r="C7" i="9"/>
  <c r="D30" i="9"/>
  <c r="E30" i="9" s="1"/>
  <c r="F30" i="9" s="1"/>
  <c r="G30" i="9" s="1"/>
  <c r="H30" i="9" s="1"/>
  <c r="I30" i="9" s="1"/>
  <c r="J30" i="9" s="1"/>
  <c r="K30" i="9" s="1"/>
  <c r="L30" i="9" s="1"/>
  <c r="M30" i="9" s="1"/>
  <c r="C31" i="9"/>
  <c r="D31" i="9"/>
  <c r="E31" i="9"/>
  <c r="F31" i="9"/>
  <c r="G31" i="9"/>
  <c r="H31" i="9"/>
  <c r="D6" i="9"/>
  <c r="E6" i="9" s="1"/>
  <c r="F6" i="9" s="1"/>
  <c r="G6" i="9" s="1"/>
  <c r="H6" i="9" s="1"/>
  <c r="I6" i="9" s="1"/>
  <c r="J6" i="9" s="1"/>
  <c r="K6" i="9" s="1"/>
  <c r="L6" i="9" s="1"/>
  <c r="M6" i="9" s="1"/>
  <c r="H24" i="8"/>
  <c r="G24" i="8"/>
  <c r="F24" i="8"/>
  <c r="E24" i="8"/>
  <c r="D24" i="8"/>
  <c r="E46" i="8"/>
  <c r="F46" i="8"/>
  <c r="G46" i="8"/>
  <c r="H46" i="8"/>
  <c r="D46" i="8"/>
  <c r="H45" i="8"/>
  <c r="G45" i="8"/>
  <c r="F45" i="8"/>
  <c r="E45" i="8"/>
  <c r="D45" i="8"/>
  <c r="C48" i="8"/>
  <c r="C49" i="8" s="1"/>
  <c r="D48" i="8"/>
  <c r="D49" i="8" s="1"/>
  <c r="E48" i="8"/>
  <c r="E49" i="8" s="1"/>
  <c r="F48" i="8"/>
  <c r="F49" i="8" s="1"/>
  <c r="G48" i="8"/>
  <c r="G49" i="8" s="1"/>
  <c r="H48" i="8"/>
  <c r="H49" i="8" s="1"/>
  <c r="E23" i="8"/>
  <c r="F23" i="8"/>
  <c r="G23" i="8"/>
  <c r="H23" i="8"/>
  <c r="D23" i="8"/>
  <c r="D44" i="8"/>
  <c r="H44" i="8"/>
  <c r="G44" i="8"/>
  <c r="F44" i="8"/>
  <c r="E44" i="8"/>
  <c r="E22" i="8"/>
  <c r="F22" i="8"/>
  <c r="G22" i="8"/>
  <c r="H22" i="8"/>
  <c r="D22" i="8"/>
  <c r="D50" i="8"/>
  <c r="E50" i="8"/>
  <c r="F50" i="8"/>
  <c r="G50" i="8"/>
  <c r="H50" i="8"/>
  <c r="C50" i="8"/>
  <c r="D41" i="8"/>
  <c r="E41" i="8"/>
  <c r="F41" i="8"/>
  <c r="G41" i="8"/>
  <c r="H41" i="8"/>
  <c r="C41" i="8"/>
  <c r="D28" i="8"/>
  <c r="E28" i="8"/>
  <c r="F28" i="8"/>
  <c r="G28" i="8"/>
  <c r="H28" i="8"/>
  <c r="C28" i="8"/>
  <c r="D26" i="8"/>
  <c r="D27" i="8" s="1"/>
  <c r="E26" i="8"/>
  <c r="E27" i="8" s="1"/>
  <c r="F26" i="8"/>
  <c r="F27" i="8" s="1"/>
  <c r="G26" i="8"/>
  <c r="G27" i="8" s="1"/>
  <c r="H26" i="8"/>
  <c r="H27" i="8" s="1"/>
  <c r="C26" i="8"/>
  <c r="C27" i="8" s="1"/>
  <c r="D19" i="8"/>
  <c r="E19" i="8"/>
  <c r="F19" i="8"/>
  <c r="G19" i="8"/>
  <c r="H19" i="8"/>
  <c r="C19" i="8"/>
  <c r="D6" i="8"/>
  <c r="E6" i="8" s="1"/>
  <c r="F6" i="8" s="1"/>
  <c r="G6" i="8" s="1"/>
  <c r="H6" i="8" s="1"/>
  <c r="I6" i="8" s="1"/>
  <c r="J6" i="8" s="1"/>
  <c r="K6" i="8" s="1"/>
  <c r="L6" i="8" s="1"/>
  <c r="M6" i="8" s="1"/>
  <c r="D5" i="6"/>
  <c r="D62" i="6" s="1"/>
  <c r="E62" i="6" s="1"/>
  <c r="F62" i="6" s="1"/>
  <c r="G62" i="6" s="1"/>
  <c r="H62" i="6" s="1"/>
  <c r="I62" i="6" s="1"/>
  <c r="J62" i="6" s="1"/>
  <c r="K62" i="6" s="1"/>
  <c r="L62" i="6" s="1"/>
  <c r="M62" i="6" s="1"/>
  <c r="N62" i="6" s="1"/>
  <c r="N134" i="6"/>
  <c r="M134" i="6"/>
  <c r="L134" i="6"/>
  <c r="K134" i="6"/>
  <c r="N123" i="6"/>
  <c r="M123" i="6"/>
  <c r="L123" i="6"/>
  <c r="K123" i="6"/>
  <c r="N117" i="6"/>
  <c r="M117" i="6"/>
  <c r="L117" i="6"/>
  <c r="K117" i="6"/>
  <c r="N53" i="6"/>
  <c r="M53" i="6"/>
  <c r="L53" i="6"/>
  <c r="K53" i="6"/>
  <c r="N48" i="6"/>
  <c r="M48" i="6"/>
  <c r="L48" i="6"/>
  <c r="K48" i="6"/>
  <c r="J48" i="6"/>
  <c r="K16" i="6"/>
  <c r="L16" i="6" s="1"/>
  <c r="M16" i="6" s="1"/>
  <c r="N16" i="6" s="1"/>
  <c r="B1" i="6"/>
  <c r="L21" i="9" l="1"/>
  <c r="K21" i="9"/>
  <c r="J21" i="9"/>
  <c r="I21" i="9"/>
  <c r="M21" i="9"/>
  <c r="D33" i="6"/>
  <c r="K41" i="6"/>
  <c r="M41" i="6"/>
  <c r="N41" i="6"/>
  <c r="L41" i="6"/>
  <c r="J41" i="6"/>
  <c r="I36" i="8"/>
  <c r="I35" i="8"/>
  <c r="E5" i="6"/>
  <c r="F5" i="6" s="1"/>
  <c r="G5" i="6" s="1"/>
  <c r="H5" i="6" s="1"/>
  <c r="I5" i="6" s="1"/>
  <c r="J5" i="6" s="1"/>
  <c r="K5" i="6" s="1"/>
  <c r="L5" i="6" s="1"/>
  <c r="D74" i="6" l="1"/>
  <c r="D86" i="6"/>
  <c r="D93" i="6"/>
  <c r="D107" i="6"/>
  <c r="D64" i="6"/>
  <c r="D75" i="6"/>
  <c r="D88" i="6"/>
  <c r="D94" i="6"/>
  <c r="D65" i="6"/>
  <c r="D67" i="6"/>
  <c r="D68" i="6"/>
  <c r="D79" i="6"/>
  <c r="D99" i="6"/>
  <c r="D69" i="6"/>
  <c r="D81" i="6"/>
  <c r="D100" i="6"/>
  <c r="D83" i="6"/>
  <c r="D91" i="6"/>
  <c r="D73" i="6"/>
  <c r="D71" i="6"/>
  <c r="D82" i="6"/>
  <c r="D89" i="6"/>
  <c r="D90" i="6"/>
  <c r="D101" i="6"/>
  <c r="D72" i="6"/>
  <c r="D103" i="6"/>
  <c r="D84" i="6"/>
  <c r="D77" i="6"/>
  <c r="D97" i="6"/>
  <c r="D66" i="6"/>
  <c r="D96" i="6"/>
  <c r="D78" i="6"/>
  <c r="D92" i="6"/>
  <c r="D76" i="6"/>
  <c r="D98" i="6"/>
  <c r="D85" i="6"/>
  <c r="D41" i="6"/>
  <c r="L11" i="12"/>
  <c r="L16" i="12" s="1"/>
  <c r="K11" i="12"/>
  <c r="K16" i="12" s="1"/>
  <c r="J11" i="12"/>
  <c r="J16" i="12" s="1"/>
  <c r="I11" i="12"/>
  <c r="I16" i="12" s="1"/>
  <c r="M11" i="12"/>
  <c r="M16" i="12" s="1"/>
  <c r="N114" i="6"/>
  <c r="M114" i="6"/>
  <c r="K114" i="6"/>
  <c r="J114" i="6"/>
  <c r="L114" i="6"/>
  <c r="J36" i="8"/>
  <c r="K36" i="8" s="1"/>
  <c r="L36" i="8" s="1"/>
  <c r="M36" i="8" s="1"/>
  <c r="J35" i="8"/>
  <c r="K35" i="8" s="1"/>
  <c r="L35" i="8" s="1"/>
  <c r="I34" i="8"/>
  <c r="I46" i="9" s="1"/>
  <c r="M5" i="6"/>
  <c r="N5" i="6" s="1"/>
  <c r="D111" i="6"/>
  <c r="E111" i="6" s="1"/>
  <c r="F111" i="6" s="1"/>
  <c r="G111" i="6" s="1"/>
  <c r="H111" i="6" s="1"/>
  <c r="I111" i="6" s="1"/>
  <c r="D137" i="6"/>
  <c r="D125" i="6"/>
  <c r="D50" i="6"/>
  <c r="D38" i="6"/>
  <c r="D128" i="6"/>
  <c r="D49" i="6"/>
  <c r="D37" i="6"/>
  <c r="D45" i="6"/>
  <c r="D17" i="6"/>
  <c r="D42" i="6"/>
  <c r="D134" i="6"/>
  <c r="D122" i="6"/>
  <c r="D47" i="6"/>
  <c r="D18" i="6"/>
  <c r="D56" i="6"/>
  <c r="D142" i="6"/>
  <c r="D130" i="6"/>
  <c r="D116" i="6"/>
  <c r="D43" i="6"/>
  <c r="D39" i="6"/>
  <c r="D138" i="6"/>
  <c r="D126" i="6"/>
  <c r="D51" i="6"/>
  <c r="D40" i="6"/>
  <c r="D129" i="6"/>
  <c r="D113" i="6"/>
  <c r="D140" i="6"/>
  <c r="D135" i="6"/>
  <c r="D123" i="6"/>
  <c r="D48" i="6"/>
  <c r="D35" i="6"/>
  <c r="D55" i="6"/>
  <c r="D139" i="6" a="1"/>
  <c r="D139" i="6" s="1"/>
  <c r="D131" i="6"/>
  <c r="D119" i="6"/>
  <c r="D57" i="6"/>
  <c r="D44" i="6"/>
  <c r="D16" i="6"/>
  <c r="D52" i="6"/>
  <c r="D136" i="6"/>
  <c r="D124" i="6"/>
  <c r="D141" i="6"/>
  <c r="D132" i="6"/>
  <c r="D121" i="6"/>
  <c r="D58" i="6"/>
  <c r="E33" i="6"/>
  <c r="D114" i="6" l="1"/>
  <c r="D105" i="6"/>
  <c r="D115" i="6"/>
  <c r="E73" i="6"/>
  <c r="E84" i="6"/>
  <c r="E85" i="6"/>
  <c r="E92" i="6"/>
  <c r="E74" i="6"/>
  <c r="E86" i="6"/>
  <c r="E93" i="6"/>
  <c r="E64" i="6"/>
  <c r="E66" i="6"/>
  <c r="E67" i="6"/>
  <c r="E78" i="6"/>
  <c r="E98" i="6"/>
  <c r="E68" i="6"/>
  <c r="E79" i="6"/>
  <c r="E99" i="6"/>
  <c r="E89" i="6"/>
  <c r="E101" i="6"/>
  <c r="E69" i="6"/>
  <c r="E81" i="6"/>
  <c r="E100" i="6"/>
  <c r="E71" i="6"/>
  <c r="E82" i="6"/>
  <c r="E90" i="6"/>
  <c r="E72" i="6"/>
  <c r="E65" i="6"/>
  <c r="E77" i="6"/>
  <c r="E91" i="6"/>
  <c r="E97" i="6"/>
  <c r="E75" i="6"/>
  <c r="E96" i="6"/>
  <c r="E103" i="6"/>
  <c r="E107" i="6"/>
  <c r="E83" i="6"/>
  <c r="E94" i="6"/>
  <c r="E76" i="6"/>
  <c r="E88" i="6"/>
  <c r="D19" i="6"/>
  <c r="D21" i="6"/>
  <c r="D22" i="6"/>
  <c r="D20" i="6"/>
  <c r="C7" i="8"/>
  <c r="C20" i="8" s="1"/>
  <c r="D25" i="6"/>
  <c r="D26" i="6"/>
  <c r="E41" i="6"/>
  <c r="D11" i="12" s="1"/>
  <c r="D16" i="12" s="1"/>
  <c r="C11" i="12"/>
  <c r="C16" i="12" s="1"/>
  <c r="Q61" i="9"/>
  <c r="I44" i="8"/>
  <c r="C17" i="12"/>
  <c r="C9" i="12"/>
  <c r="C19" i="12"/>
  <c r="Q65" i="9"/>
  <c r="K34" i="8"/>
  <c r="K46" i="9" s="1"/>
  <c r="J34" i="8"/>
  <c r="J46" i="9" s="1"/>
  <c r="M35" i="8"/>
  <c r="M34" i="8" s="1"/>
  <c r="M46" i="9" s="1"/>
  <c r="L34" i="8"/>
  <c r="L46" i="9" s="1"/>
  <c r="J111" i="6"/>
  <c r="K111" i="6" s="1"/>
  <c r="L111" i="6" s="1"/>
  <c r="M111" i="6" s="1"/>
  <c r="N111" i="6" s="1"/>
  <c r="E142" i="6"/>
  <c r="E141" i="6"/>
  <c r="E140" i="6"/>
  <c r="E138" i="6"/>
  <c r="E137" i="6"/>
  <c r="E136" i="6"/>
  <c r="E135" i="6"/>
  <c r="E134" i="6"/>
  <c r="E132" i="6"/>
  <c r="E131" i="6"/>
  <c r="E130" i="6"/>
  <c r="E129" i="6"/>
  <c r="E128" i="6"/>
  <c r="E126" i="6"/>
  <c r="E125" i="6"/>
  <c r="E124" i="6"/>
  <c r="E123" i="6"/>
  <c r="E122" i="6"/>
  <c r="E121" i="6"/>
  <c r="E119" i="6"/>
  <c r="E116" i="6"/>
  <c r="E113" i="6"/>
  <c r="E58" i="6"/>
  <c r="E57" i="6"/>
  <c r="E56" i="6"/>
  <c r="E55" i="6"/>
  <c r="E52" i="6"/>
  <c r="E51" i="6"/>
  <c r="E50" i="6"/>
  <c r="E49" i="6"/>
  <c r="E48" i="6"/>
  <c r="E47" i="6"/>
  <c r="E45" i="6"/>
  <c r="E44" i="6"/>
  <c r="E43" i="6"/>
  <c r="E42" i="6"/>
  <c r="E40" i="6"/>
  <c r="E39" i="6"/>
  <c r="E38" i="6"/>
  <c r="E37" i="6"/>
  <c r="E35" i="6"/>
  <c r="E18" i="6"/>
  <c r="E17" i="6"/>
  <c r="E16" i="6"/>
  <c r="E139" i="6" a="1"/>
  <c r="E139" i="6" s="1"/>
  <c r="D12" i="6"/>
  <c r="D10" i="6"/>
  <c r="D11" i="6"/>
  <c r="D53" i="6"/>
  <c r="D117" i="6"/>
  <c r="D13" i="6"/>
  <c r="D9" i="6"/>
  <c r="F33" i="6"/>
  <c r="E105" i="6" l="1"/>
  <c r="E115" i="6"/>
  <c r="F72" i="6"/>
  <c r="F83" i="6"/>
  <c r="F91" i="6"/>
  <c r="F103" i="6"/>
  <c r="F73" i="6"/>
  <c r="F84" i="6"/>
  <c r="F85" i="6"/>
  <c r="F92" i="6"/>
  <c r="F65" i="6"/>
  <c r="F66" i="6"/>
  <c r="F77" i="6"/>
  <c r="F97" i="6"/>
  <c r="F67" i="6"/>
  <c r="F78" i="6"/>
  <c r="F98" i="6"/>
  <c r="F81" i="6"/>
  <c r="F71" i="6"/>
  <c r="F82" i="6"/>
  <c r="F68" i="6"/>
  <c r="F79" i="6"/>
  <c r="F99" i="6"/>
  <c r="F69" i="6"/>
  <c r="F100" i="6"/>
  <c r="F64" i="6"/>
  <c r="F74" i="6"/>
  <c r="F89" i="6"/>
  <c r="F94" i="6"/>
  <c r="F86" i="6"/>
  <c r="F75" i="6"/>
  <c r="F93" i="6"/>
  <c r="F76" i="6"/>
  <c r="F96" i="6"/>
  <c r="F107" i="6"/>
  <c r="F90" i="6"/>
  <c r="F101" i="6"/>
  <c r="F88" i="6"/>
  <c r="R61" i="9"/>
  <c r="E20" i="6"/>
  <c r="E19" i="6"/>
  <c r="E21" i="6"/>
  <c r="E22" i="6"/>
  <c r="C42" i="8"/>
  <c r="C55" i="8" s="1"/>
  <c r="D7" i="8"/>
  <c r="D76" i="8" s="1"/>
  <c r="E25" i="6"/>
  <c r="E26" i="6"/>
  <c r="C13" i="12"/>
  <c r="C15" i="12" s="1"/>
  <c r="F41" i="6"/>
  <c r="S61" i="9" s="1"/>
  <c r="J44" i="8"/>
  <c r="I47" i="9"/>
  <c r="C9" i="9"/>
  <c r="C33" i="9"/>
  <c r="D9" i="12"/>
  <c r="D13" i="12" s="1"/>
  <c r="D15" i="12" s="1"/>
  <c r="D19" i="12"/>
  <c r="D17" i="12"/>
  <c r="C18" i="12"/>
  <c r="Q69" i="9"/>
  <c r="R65" i="9"/>
  <c r="E114" i="6"/>
  <c r="K44" i="8"/>
  <c r="L44" i="8"/>
  <c r="M44" i="8"/>
  <c r="E8" i="6"/>
  <c r="E11" i="6"/>
  <c r="E9" i="6"/>
  <c r="E12" i="6"/>
  <c r="F139" i="6" a="1"/>
  <c r="F139" i="6" s="1"/>
  <c r="F134" i="6"/>
  <c r="F122" i="6"/>
  <c r="F47" i="6"/>
  <c r="F18" i="6"/>
  <c r="F45" i="6"/>
  <c r="F17" i="6"/>
  <c r="F42" i="6"/>
  <c r="F125" i="6"/>
  <c r="F50" i="6"/>
  <c r="F142" i="6"/>
  <c r="F130" i="6"/>
  <c r="F116" i="6"/>
  <c r="F56" i="6"/>
  <c r="F43" i="6"/>
  <c r="F39" i="6"/>
  <c r="F138" i="6"/>
  <c r="F126" i="6"/>
  <c r="F51" i="6"/>
  <c r="F35" i="6"/>
  <c r="F136" i="6"/>
  <c r="F124" i="6"/>
  <c r="F140" i="6"/>
  <c r="F135" i="6"/>
  <c r="F123" i="6"/>
  <c r="F48" i="6"/>
  <c r="F37" i="6"/>
  <c r="F38" i="6"/>
  <c r="F131" i="6"/>
  <c r="F119" i="6"/>
  <c r="F57" i="6"/>
  <c r="F44" i="6"/>
  <c r="F16" i="6"/>
  <c r="F128" i="6"/>
  <c r="F52" i="6"/>
  <c r="F40" i="6"/>
  <c r="F49" i="6"/>
  <c r="F58" i="6"/>
  <c r="F141" i="6"/>
  <c r="F132" i="6"/>
  <c r="F121" i="6"/>
  <c r="F129" i="6"/>
  <c r="F113" i="6"/>
  <c r="F55" i="6"/>
  <c r="F137" i="6"/>
  <c r="G33" i="6"/>
  <c r="E10" i="6"/>
  <c r="E53" i="6"/>
  <c r="E13" i="6"/>
  <c r="E117" i="6"/>
  <c r="F105" i="6" l="1"/>
  <c r="G71" i="6"/>
  <c r="G82" i="6"/>
  <c r="G89" i="6"/>
  <c r="G90" i="6"/>
  <c r="G101" i="6"/>
  <c r="G72" i="6"/>
  <c r="G83" i="6"/>
  <c r="G91" i="6"/>
  <c r="G103" i="6"/>
  <c r="G64" i="6"/>
  <c r="G65" i="6"/>
  <c r="G76" i="6"/>
  <c r="G96" i="6"/>
  <c r="G66" i="6"/>
  <c r="G77" i="6"/>
  <c r="G97" i="6"/>
  <c r="G99" i="6"/>
  <c r="G69" i="6"/>
  <c r="G67" i="6"/>
  <c r="G78" i="6"/>
  <c r="G98" i="6"/>
  <c r="G68" i="6"/>
  <c r="G79" i="6"/>
  <c r="G81" i="6"/>
  <c r="G92" i="6"/>
  <c r="G74" i="6"/>
  <c r="G84" i="6"/>
  <c r="G94" i="6"/>
  <c r="G100" i="6"/>
  <c r="G73" i="6"/>
  <c r="G86" i="6"/>
  <c r="G75" i="6"/>
  <c r="G93" i="6"/>
  <c r="G85" i="6"/>
  <c r="G107" i="6"/>
  <c r="G88" i="6"/>
  <c r="F115" i="6"/>
  <c r="D20" i="8"/>
  <c r="D33" i="9" s="1"/>
  <c r="D42" i="8"/>
  <c r="D8" i="8"/>
  <c r="F20" i="6"/>
  <c r="F21" i="6"/>
  <c r="F19" i="6"/>
  <c r="F22" i="6"/>
  <c r="E7" i="8"/>
  <c r="E8" i="8" s="1"/>
  <c r="F25" i="6"/>
  <c r="F26" i="6"/>
  <c r="E11" i="12"/>
  <c r="E16" i="12" s="1"/>
  <c r="G41" i="6"/>
  <c r="T61" i="9" s="1"/>
  <c r="J47" i="9"/>
  <c r="E17" i="12"/>
  <c r="E19" i="12"/>
  <c r="E9" i="12"/>
  <c r="D18" i="12"/>
  <c r="D21" i="12"/>
  <c r="S65" i="9"/>
  <c r="F114" i="6"/>
  <c r="F9" i="6"/>
  <c r="F10" i="6"/>
  <c r="F8" i="6"/>
  <c r="F53" i="6"/>
  <c r="F12" i="6"/>
  <c r="G142" i="6"/>
  <c r="G130" i="6"/>
  <c r="G116" i="6"/>
  <c r="G56" i="6"/>
  <c r="G43" i="6"/>
  <c r="G57" i="6"/>
  <c r="G121" i="6"/>
  <c r="G17" i="6"/>
  <c r="G42" i="6"/>
  <c r="G50" i="6"/>
  <c r="G138" i="6"/>
  <c r="G126" i="6"/>
  <c r="G51" i="6"/>
  <c r="G39" i="6"/>
  <c r="G48" i="6"/>
  <c r="G35" i="6"/>
  <c r="G140" i="6"/>
  <c r="G139" i="6" a="1"/>
  <c r="G139" i="6" s="1"/>
  <c r="G135" i="6"/>
  <c r="G123" i="6"/>
  <c r="G44" i="6"/>
  <c r="G132" i="6"/>
  <c r="G131" i="6"/>
  <c r="G119" i="6"/>
  <c r="G16" i="6"/>
  <c r="G38" i="6"/>
  <c r="G122" i="6"/>
  <c r="G128" i="6"/>
  <c r="G52" i="6"/>
  <c r="G40" i="6"/>
  <c r="G47" i="6"/>
  <c r="G18" i="6"/>
  <c r="G136" i="6"/>
  <c r="G124" i="6"/>
  <c r="G49" i="6"/>
  <c r="G37" i="6"/>
  <c r="G58" i="6"/>
  <c r="G45" i="6"/>
  <c r="G55" i="6"/>
  <c r="G141" i="6"/>
  <c r="G129" i="6"/>
  <c r="G113" i="6"/>
  <c r="G137" i="6"/>
  <c r="G125" i="6"/>
  <c r="G134" i="6"/>
  <c r="F11" i="6"/>
  <c r="H33" i="6"/>
  <c r="F117" i="6"/>
  <c r="F13" i="6"/>
  <c r="H69" i="6" l="1"/>
  <c r="H81" i="6"/>
  <c r="H100" i="6"/>
  <c r="H90" i="6"/>
  <c r="H71" i="6"/>
  <c r="H82" i="6"/>
  <c r="H89" i="6"/>
  <c r="H101" i="6"/>
  <c r="H64" i="6"/>
  <c r="H75" i="6"/>
  <c r="H88" i="6"/>
  <c r="H94" i="6"/>
  <c r="H65" i="6"/>
  <c r="H76" i="6"/>
  <c r="H96" i="6"/>
  <c r="H78" i="6"/>
  <c r="H79" i="6"/>
  <c r="H66" i="6"/>
  <c r="H77" i="6"/>
  <c r="H97" i="6"/>
  <c r="H67" i="6"/>
  <c r="H98" i="6"/>
  <c r="H68" i="6"/>
  <c r="H85" i="6"/>
  <c r="H92" i="6"/>
  <c r="H74" i="6"/>
  <c r="H84" i="6"/>
  <c r="H91" i="6"/>
  <c r="H73" i="6"/>
  <c r="H72" i="6"/>
  <c r="H86" i="6"/>
  <c r="H99" i="6"/>
  <c r="H103" i="6"/>
  <c r="H93" i="6"/>
  <c r="H107" i="6"/>
  <c r="H83" i="6"/>
  <c r="D9" i="9"/>
  <c r="G115" i="6"/>
  <c r="D55" i="8"/>
  <c r="G105" i="6"/>
  <c r="E20" i="8"/>
  <c r="E33" i="9" s="1"/>
  <c r="E42" i="8"/>
  <c r="G20" i="6"/>
  <c r="G19" i="6"/>
  <c r="G21" i="6"/>
  <c r="G22" i="6"/>
  <c r="F7" i="8"/>
  <c r="F8" i="8" s="1"/>
  <c r="G26" i="6"/>
  <c r="G25" i="6"/>
  <c r="E13" i="12"/>
  <c r="E15" i="12" s="1"/>
  <c r="F11" i="12"/>
  <c r="F16" i="12" s="1"/>
  <c r="H41" i="6"/>
  <c r="U61" i="9" s="1"/>
  <c r="K47" i="9"/>
  <c r="F9" i="12"/>
  <c r="E18" i="12"/>
  <c r="F19" i="12"/>
  <c r="F17" i="12"/>
  <c r="T65" i="9"/>
  <c r="G114" i="6"/>
  <c r="G10" i="6"/>
  <c r="G12" i="6"/>
  <c r="G11" i="6"/>
  <c r="G53" i="6"/>
  <c r="G8" i="6"/>
  <c r="H142" i="6"/>
  <c r="H139" i="6" a="1"/>
  <c r="H139" i="6" s="1"/>
  <c r="H138" i="6"/>
  <c r="H126" i="6"/>
  <c r="H51" i="6"/>
  <c r="H39" i="6"/>
  <c r="H16" i="6"/>
  <c r="H113" i="6"/>
  <c r="H55" i="6"/>
  <c r="H47" i="6"/>
  <c r="H140" i="6"/>
  <c r="H135" i="6"/>
  <c r="H123" i="6"/>
  <c r="H48" i="6"/>
  <c r="H35" i="6"/>
  <c r="H57" i="6"/>
  <c r="H131" i="6"/>
  <c r="H119" i="6"/>
  <c r="H44" i="6"/>
  <c r="H40" i="6"/>
  <c r="H129" i="6"/>
  <c r="H128" i="6"/>
  <c r="H52" i="6"/>
  <c r="H42" i="6"/>
  <c r="H18" i="6"/>
  <c r="H116" i="6"/>
  <c r="H136" i="6"/>
  <c r="H124" i="6"/>
  <c r="H49" i="6"/>
  <c r="H37" i="6"/>
  <c r="H141" i="6"/>
  <c r="H132" i="6"/>
  <c r="H121" i="6"/>
  <c r="H58" i="6"/>
  <c r="H45" i="6"/>
  <c r="H17" i="6"/>
  <c r="H50" i="6"/>
  <c r="H38" i="6"/>
  <c r="H56" i="6"/>
  <c r="H137" i="6"/>
  <c r="H125" i="6"/>
  <c r="H134" i="6"/>
  <c r="H122" i="6"/>
  <c r="H130" i="6"/>
  <c r="H43" i="6"/>
  <c r="I33" i="6"/>
  <c r="G117" i="6"/>
  <c r="G13" i="6"/>
  <c r="G9" i="6"/>
  <c r="E9" i="9" l="1"/>
  <c r="E55" i="8"/>
  <c r="H105" i="6"/>
  <c r="H115" i="6"/>
  <c r="I68" i="6"/>
  <c r="I79" i="6"/>
  <c r="I99" i="6"/>
  <c r="J99" i="6" s="1"/>
  <c r="K99" i="6" s="1"/>
  <c r="L99" i="6" s="1"/>
  <c r="M99" i="6" s="1"/>
  <c r="N99" i="6" s="1"/>
  <c r="I69" i="6"/>
  <c r="I81" i="6"/>
  <c r="I100" i="6"/>
  <c r="I74" i="6"/>
  <c r="J74" i="6" s="1"/>
  <c r="K74" i="6" s="1"/>
  <c r="L74" i="6" s="1"/>
  <c r="M74" i="6" s="1"/>
  <c r="N74" i="6" s="1"/>
  <c r="I86" i="6"/>
  <c r="I93" i="6"/>
  <c r="J93" i="6" s="1"/>
  <c r="K93" i="6" s="1"/>
  <c r="L93" i="6" s="1"/>
  <c r="M93" i="6" s="1"/>
  <c r="N93" i="6" s="1"/>
  <c r="I107" i="6"/>
  <c r="J107" i="6" s="1"/>
  <c r="K107" i="6" s="1"/>
  <c r="L107" i="6" s="1"/>
  <c r="M107" i="6" s="1"/>
  <c r="N107" i="6" s="1"/>
  <c r="I64" i="6"/>
  <c r="I75" i="6"/>
  <c r="J75" i="6" s="1"/>
  <c r="K75" i="6" s="1"/>
  <c r="L75" i="6" s="1"/>
  <c r="M75" i="6" s="1"/>
  <c r="N75" i="6" s="1"/>
  <c r="I88" i="6"/>
  <c r="J88" i="6" s="1"/>
  <c r="I94" i="6"/>
  <c r="I97" i="6"/>
  <c r="J97" i="6" s="1"/>
  <c r="K97" i="6" s="1"/>
  <c r="I67" i="6"/>
  <c r="I65" i="6"/>
  <c r="I76" i="6"/>
  <c r="J76" i="6" s="1"/>
  <c r="K76" i="6" s="1"/>
  <c r="L76" i="6" s="1"/>
  <c r="M76" i="6" s="1"/>
  <c r="N76" i="6" s="1"/>
  <c r="I96" i="6"/>
  <c r="I66" i="6"/>
  <c r="I77" i="6"/>
  <c r="I78" i="6"/>
  <c r="M78" i="6" s="1"/>
  <c r="I85" i="6"/>
  <c r="I89" i="6"/>
  <c r="I92" i="6"/>
  <c r="I84" i="6"/>
  <c r="I91" i="6"/>
  <c r="I73" i="6"/>
  <c r="I82" i="6"/>
  <c r="I103" i="6"/>
  <c r="I101" i="6"/>
  <c r="I98" i="6"/>
  <c r="I72" i="6"/>
  <c r="J72" i="6" s="1"/>
  <c r="K72" i="6" s="1"/>
  <c r="L72" i="6" s="1"/>
  <c r="M72" i="6" s="1"/>
  <c r="N72" i="6" s="1"/>
  <c r="I90" i="6"/>
  <c r="I71" i="6"/>
  <c r="I83" i="6"/>
  <c r="F20" i="8"/>
  <c r="F33" i="9" s="1"/>
  <c r="F42" i="8"/>
  <c r="H19" i="6"/>
  <c r="H20" i="6"/>
  <c r="H21" i="6"/>
  <c r="H22" i="6"/>
  <c r="E21" i="12"/>
  <c r="G7" i="8"/>
  <c r="G8" i="8" s="1"/>
  <c r="H26" i="6"/>
  <c r="H25" i="6"/>
  <c r="G11" i="12"/>
  <c r="G16" i="12" s="1"/>
  <c r="F13" i="12"/>
  <c r="F15" i="12" s="1"/>
  <c r="I41" i="6"/>
  <c r="V61" i="9" s="1"/>
  <c r="L47" i="9"/>
  <c r="G9" i="12"/>
  <c r="F18" i="12"/>
  <c r="G19" i="12"/>
  <c r="G17" i="12"/>
  <c r="U65" i="9"/>
  <c r="J33" i="6"/>
  <c r="H114" i="6"/>
  <c r="H8" i="6"/>
  <c r="I141" i="6"/>
  <c r="I140" i="6"/>
  <c r="I142" i="6"/>
  <c r="I135" i="6"/>
  <c r="I123" i="6"/>
  <c r="I48" i="6"/>
  <c r="I35" i="6"/>
  <c r="I43" i="6"/>
  <c r="I138" i="6"/>
  <c r="I131" i="6"/>
  <c r="I119" i="6"/>
  <c r="I57" i="6"/>
  <c r="I44" i="6"/>
  <c r="I16" i="6"/>
  <c r="I52" i="6"/>
  <c r="I128" i="6"/>
  <c r="I40" i="6"/>
  <c r="I49" i="6"/>
  <c r="I37" i="6"/>
  <c r="I125" i="6"/>
  <c r="I136" i="6"/>
  <c r="I124" i="6"/>
  <c r="I50" i="6"/>
  <c r="I38" i="6"/>
  <c r="I18" i="6"/>
  <c r="J18" i="6" s="1"/>
  <c r="I139" i="6" a="1"/>
  <c r="I139" i="6" s="1"/>
  <c r="I132" i="6"/>
  <c r="I121" i="6"/>
  <c r="I58" i="6"/>
  <c r="I45" i="6"/>
  <c r="I17" i="6"/>
  <c r="J17" i="6" s="1"/>
  <c r="I137" i="6"/>
  <c r="J136" i="6" s="1"/>
  <c r="I129" i="6"/>
  <c r="I113" i="6"/>
  <c r="I55" i="6"/>
  <c r="I42" i="6"/>
  <c r="I47" i="6"/>
  <c r="I51" i="6"/>
  <c r="I134" i="6"/>
  <c r="I122" i="6"/>
  <c r="I130" i="6"/>
  <c r="I116" i="6"/>
  <c r="I56" i="6"/>
  <c r="I126" i="6"/>
  <c r="I39" i="6"/>
  <c r="H9" i="6"/>
  <c r="H53" i="6"/>
  <c r="H10" i="6"/>
  <c r="H11" i="6"/>
  <c r="H12" i="6"/>
  <c r="H117" i="6"/>
  <c r="H13" i="6"/>
  <c r="K83" i="6" l="1"/>
  <c r="L83" i="6"/>
  <c r="M83" i="6"/>
  <c r="N83" i="6"/>
  <c r="J83" i="6"/>
  <c r="K90" i="6"/>
  <c r="L90" i="6"/>
  <c r="M90" i="6"/>
  <c r="N90" i="6"/>
  <c r="J90" i="6"/>
  <c r="L97" i="6"/>
  <c r="K88" i="6"/>
  <c r="F55" i="8"/>
  <c r="I105" i="6"/>
  <c r="F9" i="9"/>
  <c r="L78" i="6"/>
  <c r="K78" i="6"/>
  <c r="J78" i="6"/>
  <c r="I115" i="6"/>
  <c r="N78" i="6"/>
  <c r="G20" i="8"/>
  <c r="G33" i="9" s="1"/>
  <c r="I22" i="6"/>
  <c r="I19" i="6"/>
  <c r="J19" i="6" s="1"/>
  <c r="K19" i="6" s="1"/>
  <c r="L19" i="6" s="1"/>
  <c r="M19" i="6" s="1"/>
  <c r="N19" i="6" s="1"/>
  <c r="I20" i="6"/>
  <c r="J20" i="6" s="1"/>
  <c r="K20" i="6" s="1"/>
  <c r="L20" i="6" s="1"/>
  <c r="M20" i="6" s="1"/>
  <c r="N20" i="6" s="1"/>
  <c r="I21" i="6"/>
  <c r="J21" i="6" s="1"/>
  <c r="K21" i="6" s="1"/>
  <c r="L21" i="6" s="1"/>
  <c r="M21" i="6" s="1"/>
  <c r="N21" i="6" s="1"/>
  <c r="G42" i="8"/>
  <c r="H7" i="8"/>
  <c r="H76" i="8" s="1"/>
  <c r="I25" i="6"/>
  <c r="J25" i="6" s="1"/>
  <c r="K25" i="6" s="1"/>
  <c r="L25" i="6" s="1"/>
  <c r="M25" i="6" s="1"/>
  <c r="N25" i="6" s="1"/>
  <c r="I26" i="6"/>
  <c r="J26" i="6" s="1"/>
  <c r="K26" i="6" s="1"/>
  <c r="L26" i="6" s="1"/>
  <c r="M26" i="6" s="1"/>
  <c r="N26" i="6" s="1"/>
  <c r="H11" i="12"/>
  <c r="H16" i="12" s="1"/>
  <c r="F21" i="12"/>
  <c r="G13" i="12"/>
  <c r="G15" i="12" s="1"/>
  <c r="M47" i="9"/>
  <c r="H9" i="12"/>
  <c r="G18" i="12"/>
  <c r="H17" i="12"/>
  <c r="H19" i="12"/>
  <c r="K56" i="6"/>
  <c r="M56" i="6"/>
  <c r="L56" i="6"/>
  <c r="N56" i="6"/>
  <c r="J56" i="6"/>
  <c r="V65" i="9"/>
  <c r="Q77" i="9" s="1"/>
  <c r="I114" i="6"/>
  <c r="I8" i="6"/>
  <c r="I53" i="6"/>
  <c r="I10" i="6"/>
  <c r="J10" i="6" s="1"/>
  <c r="I12" i="6"/>
  <c r="J12" i="6" s="1"/>
  <c r="I11" i="6"/>
  <c r="J11" i="6" s="1"/>
  <c r="I117" i="6"/>
  <c r="I13" i="6"/>
  <c r="I9" i="6"/>
  <c r="M97" i="6" l="1"/>
  <c r="L88" i="6"/>
  <c r="J22" i="6"/>
  <c r="K22" i="6" s="1"/>
  <c r="L22" i="6" s="1"/>
  <c r="M22" i="6" s="1"/>
  <c r="N22" i="6" s="1"/>
  <c r="G55" i="8"/>
  <c r="G9" i="9"/>
  <c r="H42" i="8"/>
  <c r="H20" i="8"/>
  <c r="H33" i="9" s="1"/>
  <c r="H8" i="8"/>
  <c r="H13" i="12"/>
  <c r="H15" i="12" s="1"/>
  <c r="G21" i="12"/>
  <c r="C11" i="9"/>
  <c r="C15" i="9" s="1"/>
  <c r="C20" i="9" s="1"/>
  <c r="H18" i="12"/>
  <c r="J9" i="6"/>
  <c r="K9" i="6" s="1"/>
  <c r="M49" i="6"/>
  <c r="K18" i="6"/>
  <c r="L18" i="6" s="1"/>
  <c r="M18" i="6" s="1"/>
  <c r="N18" i="6" s="1"/>
  <c r="K17" i="6"/>
  <c r="L17" i="6" s="1"/>
  <c r="M17" i="6" s="1"/>
  <c r="N17" i="6" s="1"/>
  <c r="K33" i="6"/>
  <c r="L33" i="6" s="1"/>
  <c r="M33" i="6" s="1"/>
  <c r="N33" i="6" s="1"/>
  <c r="N97" i="6" l="1"/>
  <c r="M88" i="6"/>
  <c r="H9" i="9"/>
  <c r="H55" i="8"/>
  <c r="H21" i="12"/>
  <c r="F37" i="9"/>
  <c r="F41" i="9" s="1"/>
  <c r="F43" i="9" s="1"/>
  <c r="F49" i="9" s="1"/>
  <c r="E37" i="9"/>
  <c r="E41" i="9" s="1"/>
  <c r="E43" i="9" s="1"/>
  <c r="E49" i="9" s="1"/>
  <c r="H37" i="9"/>
  <c r="G37" i="9"/>
  <c r="G41" i="9" s="1"/>
  <c r="G43" i="9" s="1"/>
  <c r="G49" i="9" s="1"/>
  <c r="D37" i="9"/>
  <c r="D41" i="9" s="1"/>
  <c r="D43" i="9" s="1"/>
  <c r="D49" i="9" s="1"/>
  <c r="C37" i="9"/>
  <c r="C41" i="9" s="1"/>
  <c r="C43" i="9" s="1"/>
  <c r="L9" i="6"/>
  <c r="L49" i="6"/>
  <c r="K11" i="6"/>
  <c r="L11" i="6" s="1"/>
  <c r="M11" i="6" s="1"/>
  <c r="N11" i="6" s="1"/>
  <c r="K10" i="6"/>
  <c r="L10" i="6" s="1"/>
  <c r="M10" i="6" s="1"/>
  <c r="N10" i="6" s="1"/>
  <c r="N49" i="6"/>
  <c r="K49" i="6"/>
  <c r="J49" i="6"/>
  <c r="N88" i="6" l="1"/>
  <c r="H41" i="9"/>
  <c r="H43" i="9" s="1"/>
  <c r="H49" i="9" s="1"/>
  <c r="M9" i="6"/>
  <c r="N9" i="6" l="1"/>
  <c r="J55" i="6" l="1"/>
  <c r="K55" i="6" l="1"/>
  <c r="L55" i="6" l="1"/>
  <c r="M55" i="6" l="1"/>
  <c r="N55" i="6" l="1"/>
  <c r="J132" i="6" l="1"/>
  <c r="K132" i="6"/>
  <c r="I13" i="8" l="1"/>
  <c r="I14" i="8"/>
  <c r="J14" i="8" s="1"/>
  <c r="K14" i="8" s="1"/>
  <c r="L14" i="8" s="1"/>
  <c r="M14" i="8" s="1"/>
  <c r="J13" i="8" l="1"/>
  <c r="K13" i="8" s="1"/>
  <c r="K12" i="8" s="1"/>
  <c r="K23" i="9" s="1"/>
  <c r="I12" i="8"/>
  <c r="K15" i="8" l="1"/>
  <c r="K7" i="9" s="1"/>
  <c r="I15" i="8"/>
  <c r="I7" i="9" s="1"/>
  <c r="I23" i="9"/>
  <c r="I7" i="8"/>
  <c r="J12" i="8"/>
  <c r="J23" i="9" s="1"/>
  <c r="L13" i="8"/>
  <c r="M13" i="8" s="1"/>
  <c r="I22" i="8"/>
  <c r="K7" i="8"/>
  <c r="K45" i="9" l="1"/>
  <c r="I45" i="9"/>
  <c r="K22" i="9"/>
  <c r="I22" i="9"/>
  <c r="K26" i="8"/>
  <c r="K19" i="8"/>
  <c r="K28" i="8"/>
  <c r="I28" i="8"/>
  <c r="J15" i="8"/>
  <c r="J7" i="9" s="1"/>
  <c r="I26" i="8"/>
  <c r="L35" i="6"/>
  <c r="L82" i="6" s="1"/>
  <c r="I8" i="8"/>
  <c r="J35" i="6"/>
  <c r="J82" i="6" s="1"/>
  <c r="I20" i="8"/>
  <c r="I42" i="8"/>
  <c r="K22" i="8"/>
  <c r="J22" i="8"/>
  <c r="J7" i="8"/>
  <c r="L12" i="8"/>
  <c r="L23" i="9" s="1"/>
  <c r="I19" i="8"/>
  <c r="M12" i="8"/>
  <c r="M23" i="9" s="1"/>
  <c r="K42" i="8"/>
  <c r="K20" i="8"/>
  <c r="J45" i="9" l="1"/>
  <c r="J22" i="9"/>
  <c r="J67" i="6"/>
  <c r="J68" i="6"/>
  <c r="J85" i="6"/>
  <c r="J92" i="6"/>
  <c r="J65" i="6"/>
  <c r="J77" i="6"/>
  <c r="K82" i="6"/>
  <c r="L65" i="6"/>
  <c r="L77" i="6"/>
  <c r="L67" i="6"/>
  <c r="L85" i="6"/>
  <c r="L92" i="6"/>
  <c r="L68" i="6"/>
  <c r="J8" i="6"/>
  <c r="L121" i="6"/>
  <c r="K17" i="12" s="1"/>
  <c r="M15" i="8"/>
  <c r="M26" i="8" s="1"/>
  <c r="L15" i="8"/>
  <c r="L7" i="9" s="1"/>
  <c r="I24" i="9"/>
  <c r="J24" i="9"/>
  <c r="J121" i="6"/>
  <c r="J71" i="6" s="1"/>
  <c r="K35" i="6"/>
  <c r="I55" i="8"/>
  <c r="J43" i="6"/>
  <c r="J40" i="6"/>
  <c r="J39" i="6"/>
  <c r="J37" i="6"/>
  <c r="J8" i="8"/>
  <c r="K8" i="8"/>
  <c r="J20" i="8"/>
  <c r="J42" i="8"/>
  <c r="L7" i="8"/>
  <c r="M22" i="8"/>
  <c r="L22" i="8"/>
  <c r="J28" i="8"/>
  <c r="J26" i="8"/>
  <c r="J19" i="8"/>
  <c r="K55" i="8"/>
  <c r="M7" i="8"/>
  <c r="L37" i="6"/>
  <c r="L40" i="6"/>
  <c r="L43" i="6"/>
  <c r="L39" i="6"/>
  <c r="L45" i="9" l="1"/>
  <c r="M45" i="9"/>
  <c r="M22" i="9"/>
  <c r="L22" i="9"/>
  <c r="J118" i="6"/>
  <c r="I17" i="12"/>
  <c r="J73" i="6"/>
  <c r="K77" i="6"/>
  <c r="K67" i="6"/>
  <c r="K68" i="6"/>
  <c r="K85" i="6"/>
  <c r="K92" i="6"/>
  <c r="K65" i="6"/>
  <c r="L66" i="6"/>
  <c r="L81" i="6"/>
  <c r="L86" i="6" s="1"/>
  <c r="L94" i="6" s="1"/>
  <c r="J66" i="6"/>
  <c r="J81" i="6"/>
  <c r="J86" i="6" s="1"/>
  <c r="J94" i="6" s="1"/>
  <c r="K8" i="6"/>
  <c r="J38" i="6"/>
  <c r="K121" i="6"/>
  <c r="K126" i="6" s="1"/>
  <c r="L8" i="6"/>
  <c r="K43" i="6"/>
  <c r="L126" i="6"/>
  <c r="M28" i="8"/>
  <c r="M7" i="9"/>
  <c r="J126" i="6"/>
  <c r="K24" i="9"/>
  <c r="K33" i="9"/>
  <c r="N35" i="6"/>
  <c r="N82" i="6" s="1"/>
  <c r="M35" i="6"/>
  <c r="M82" i="6" s="1"/>
  <c r="I33" i="9"/>
  <c r="K9" i="9"/>
  <c r="I9" i="9"/>
  <c r="F11" i="9"/>
  <c r="F15" i="9" s="1"/>
  <c r="F20" i="9" s="1"/>
  <c r="F26" i="9" s="1"/>
  <c r="D11" i="9"/>
  <c r="D15" i="9" s="1"/>
  <c r="D20" i="9" s="1"/>
  <c r="D26" i="9" s="1"/>
  <c r="J44" i="6"/>
  <c r="J45" i="6" s="1"/>
  <c r="J139" i="6" s="1"/>
  <c r="L8" i="8"/>
  <c r="M8" i="8"/>
  <c r="J55" i="8"/>
  <c r="M20" i="8"/>
  <c r="L20" i="8"/>
  <c r="K39" i="6"/>
  <c r="K37" i="6"/>
  <c r="K40" i="6"/>
  <c r="L42" i="8"/>
  <c r="L28" i="8"/>
  <c r="L26" i="8"/>
  <c r="L19" i="8"/>
  <c r="M19" i="8"/>
  <c r="L44" i="6"/>
  <c r="L45" i="6" s="1"/>
  <c r="L38" i="6"/>
  <c r="M42" i="8"/>
  <c r="L118" i="6" l="1"/>
  <c r="K118" i="6"/>
  <c r="J115" i="6"/>
  <c r="L115" i="6"/>
  <c r="K71" i="6"/>
  <c r="L71" i="6" s="1"/>
  <c r="M65" i="6"/>
  <c r="M85" i="6"/>
  <c r="M92" i="6"/>
  <c r="M77" i="6"/>
  <c r="M67" i="6"/>
  <c r="M68" i="6"/>
  <c r="N65" i="6"/>
  <c r="N67" i="6"/>
  <c r="N68" i="6"/>
  <c r="N85" i="6"/>
  <c r="N77" i="6"/>
  <c r="N92" i="6"/>
  <c r="K66" i="6"/>
  <c r="K81" i="6"/>
  <c r="K86" i="6" s="1"/>
  <c r="K94" i="6" s="1"/>
  <c r="J17" i="12"/>
  <c r="K38" i="6"/>
  <c r="M8" i="6"/>
  <c r="N8" i="6"/>
  <c r="M37" i="6"/>
  <c r="N121" i="6"/>
  <c r="N126" i="6" s="1"/>
  <c r="M121" i="6"/>
  <c r="M126" i="6" s="1"/>
  <c r="L24" i="9"/>
  <c r="J33" i="9"/>
  <c r="J9" i="9"/>
  <c r="E11" i="9"/>
  <c r="E15" i="9" s="1"/>
  <c r="E20" i="9" s="1"/>
  <c r="E26" i="9" s="1"/>
  <c r="J140" i="6"/>
  <c r="J50" i="6"/>
  <c r="J51" i="6" s="1"/>
  <c r="J52" i="6" s="1"/>
  <c r="L55" i="8"/>
  <c r="M55" i="8"/>
  <c r="K44" i="6"/>
  <c r="K45" i="6" s="1"/>
  <c r="K140" i="6" s="1"/>
  <c r="M43" i="6"/>
  <c r="M39" i="6"/>
  <c r="M40" i="6"/>
  <c r="N40" i="6"/>
  <c r="N37" i="6"/>
  <c r="N39" i="6"/>
  <c r="N43" i="6"/>
  <c r="L50" i="6"/>
  <c r="L140" i="6"/>
  <c r="L139" i="6"/>
  <c r="N118" i="6" l="1"/>
  <c r="M118" i="6"/>
  <c r="K18" i="12"/>
  <c r="I18" i="12"/>
  <c r="J116" i="6"/>
  <c r="I19" i="12" s="1"/>
  <c r="K115" i="6"/>
  <c r="L116" i="6" s="1"/>
  <c r="J113" i="6"/>
  <c r="J98" i="6"/>
  <c r="J101" i="6" s="1"/>
  <c r="J103" i="6" s="1"/>
  <c r="K73" i="6"/>
  <c r="M71" i="6"/>
  <c r="N71" i="6" s="1"/>
  <c r="L73" i="6"/>
  <c r="N81" i="6"/>
  <c r="N86" i="6" s="1"/>
  <c r="N94" i="6" s="1"/>
  <c r="N66" i="6"/>
  <c r="M66" i="6"/>
  <c r="M81" i="6"/>
  <c r="M86" i="6" s="1"/>
  <c r="M94" i="6" s="1"/>
  <c r="M17" i="12"/>
  <c r="M38" i="6"/>
  <c r="L17" i="12"/>
  <c r="M24" i="9"/>
  <c r="M33" i="9"/>
  <c r="L33" i="9"/>
  <c r="M9" i="9"/>
  <c r="L9" i="9"/>
  <c r="H11" i="9"/>
  <c r="G11" i="9"/>
  <c r="G15" i="9" s="1"/>
  <c r="G20" i="9" s="1"/>
  <c r="G26" i="9" s="1"/>
  <c r="K9" i="12"/>
  <c r="K13" i="12" s="1"/>
  <c r="K15" i="12" s="1"/>
  <c r="I9" i="12"/>
  <c r="I13" i="12" s="1"/>
  <c r="I15" i="12" s="1"/>
  <c r="J9" i="12"/>
  <c r="J13" i="12" s="1"/>
  <c r="J15" i="12" s="1"/>
  <c r="J57" i="6"/>
  <c r="K50" i="6"/>
  <c r="K51" i="6" s="1"/>
  <c r="K52" i="6" s="1"/>
  <c r="K139" i="6"/>
  <c r="M44" i="6"/>
  <c r="M45" i="6" s="1"/>
  <c r="M140" i="6" s="1"/>
  <c r="L51" i="6"/>
  <c r="L52" i="6" s="1"/>
  <c r="N38" i="6"/>
  <c r="N44" i="6"/>
  <c r="N45" i="6" s="1"/>
  <c r="J119" i="6" l="1"/>
  <c r="J135" i="6" s="1"/>
  <c r="J137" i="6" s="1"/>
  <c r="I21" i="12"/>
  <c r="I24" i="12" s="1"/>
  <c r="K116" i="6"/>
  <c r="J19" i="12" s="1"/>
  <c r="J21" i="12" s="1"/>
  <c r="J24" i="12" s="1"/>
  <c r="J18" i="12"/>
  <c r="N115" i="6"/>
  <c r="M18" i="12" s="1"/>
  <c r="M115" i="6"/>
  <c r="K98" i="6"/>
  <c r="K101" i="6" s="1"/>
  <c r="M73" i="6"/>
  <c r="N73" i="6"/>
  <c r="C14" i="14"/>
  <c r="C38" i="14"/>
  <c r="C18" i="14"/>
  <c r="H15" i="9"/>
  <c r="H20" i="9" s="1"/>
  <c r="H26" i="9" s="1"/>
  <c r="L9" i="12"/>
  <c r="L13" i="12" s="1"/>
  <c r="L15" i="12" s="1"/>
  <c r="M139" i="6"/>
  <c r="M50" i="6"/>
  <c r="M51" i="6" s="1"/>
  <c r="M52" i="6" s="1"/>
  <c r="M113" i="6" s="1"/>
  <c r="L57" i="6"/>
  <c r="L113" i="6"/>
  <c r="L119" i="6" s="1"/>
  <c r="N140" i="6"/>
  <c r="N139" i="6"/>
  <c r="N50" i="6"/>
  <c r="K113" i="6"/>
  <c r="K57" i="6"/>
  <c r="K119" i="6" l="1"/>
  <c r="K135" i="6" s="1"/>
  <c r="J142" i="6"/>
  <c r="N116" i="6"/>
  <c r="M116" i="6"/>
  <c r="M119" i="6" s="1"/>
  <c r="L18" i="12"/>
  <c r="L98" i="6"/>
  <c r="M98" i="6" s="1"/>
  <c r="K103" i="6"/>
  <c r="K136" i="6"/>
  <c r="J64" i="6"/>
  <c r="J69" i="6" s="1"/>
  <c r="J79" i="6" s="1"/>
  <c r="J105" i="6" s="1"/>
  <c r="K19" i="12"/>
  <c r="K21" i="12" s="1"/>
  <c r="K24" i="12" s="1"/>
  <c r="M9" i="12"/>
  <c r="M13" i="12" s="1"/>
  <c r="M15" i="12" s="1"/>
  <c r="M57" i="6"/>
  <c r="N51" i="6"/>
  <c r="N52" i="6" s="1"/>
  <c r="K142" i="6" l="1"/>
  <c r="L19" i="12"/>
  <c r="L21" i="12" s="1"/>
  <c r="L24" i="12" s="1"/>
  <c r="K137" i="6"/>
  <c r="K64" i="6" s="1"/>
  <c r="K69" i="6" s="1"/>
  <c r="K79" i="6" s="1"/>
  <c r="K105" i="6" s="1"/>
  <c r="M101" i="6"/>
  <c r="M103" i="6" s="1"/>
  <c r="L101" i="6"/>
  <c r="L103" i="6" s="1"/>
  <c r="N98" i="6"/>
  <c r="M19" i="12"/>
  <c r="M21" i="12" s="1"/>
  <c r="M24" i="12" s="1"/>
  <c r="C29" i="12"/>
  <c r="C30" i="12" s="1"/>
  <c r="L142" i="6"/>
  <c r="N57" i="6"/>
  <c r="N113" i="6"/>
  <c r="N119" i="6" s="1"/>
  <c r="M142" i="6"/>
  <c r="L136" i="6" l="1"/>
  <c r="C27" i="12"/>
  <c r="C32" i="12" s="1"/>
  <c r="C34" i="12" s="1"/>
  <c r="N101" i="6"/>
  <c r="N103" i="6" s="1"/>
  <c r="N142" i="6"/>
  <c r="C36" i="12" l="1"/>
  <c r="E11" i="18"/>
  <c r="E13" i="18" s="1"/>
  <c r="M37" i="8" l="1"/>
  <c r="K37" i="8"/>
  <c r="L37" i="8"/>
  <c r="I37" i="8"/>
  <c r="J37" i="8"/>
  <c r="I11" i="9" l="1"/>
  <c r="I15" i="9" s="1"/>
  <c r="I20" i="9" s="1"/>
  <c r="K11" i="9"/>
  <c r="K15" i="9" s="1"/>
  <c r="K20" i="9" s="1"/>
  <c r="M11" i="9"/>
  <c r="M15" i="9" s="1"/>
  <c r="L11" i="9"/>
  <c r="L15" i="9" s="1"/>
  <c r="L20" i="9" s="1"/>
  <c r="L26" i="9" s="1"/>
  <c r="F7" i="14" s="1"/>
  <c r="F10" i="14" s="1"/>
  <c r="I31" i="9"/>
  <c r="I37" i="9" s="1"/>
  <c r="J31" i="9"/>
  <c r="J37" i="9" s="1"/>
  <c r="J41" i="9" s="1"/>
  <c r="J11" i="9"/>
  <c r="J15" i="9" s="1"/>
  <c r="J20" i="9" s="1"/>
  <c r="L31" i="9"/>
  <c r="K31" i="9"/>
  <c r="M31" i="9"/>
  <c r="J41" i="8"/>
  <c r="J50" i="8"/>
  <c r="J48" i="8"/>
  <c r="I50" i="8"/>
  <c r="I48" i="8"/>
  <c r="L41" i="8"/>
  <c r="L50" i="8"/>
  <c r="L48" i="8"/>
  <c r="K50" i="8"/>
  <c r="K48" i="8"/>
  <c r="M41" i="8"/>
  <c r="M50" i="8"/>
  <c r="M48" i="8"/>
  <c r="K41" i="8"/>
  <c r="I41" i="8"/>
  <c r="J26" i="9" l="1"/>
  <c r="D7" i="14" s="1"/>
  <c r="D10" i="14" s="1"/>
  <c r="I26" i="9"/>
  <c r="C7" i="14" s="1"/>
  <c r="C10" i="14" s="1"/>
  <c r="K26" i="9"/>
  <c r="E7" i="14" s="1"/>
  <c r="E10" i="14" s="1"/>
  <c r="K37" i="9"/>
  <c r="K41" i="9" s="1"/>
  <c r="M37" i="9"/>
  <c r="M41" i="9" s="1"/>
  <c r="L37" i="9"/>
  <c r="L41" i="9" s="1"/>
  <c r="I41" i="9"/>
  <c r="C34" i="14"/>
  <c r="M20" i="9"/>
  <c r="M26" i="9" s="1"/>
  <c r="G7" i="14" s="1"/>
  <c r="G10" i="14" s="1"/>
  <c r="C12" i="14" l="1"/>
  <c r="C15" i="14"/>
  <c r="F7" i="10"/>
  <c r="F20" i="10" s="1"/>
  <c r="E7" i="10"/>
  <c r="E20" i="10" s="1"/>
  <c r="K43" i="9"/>
  <c r="K49" i="9" s="1"/>
  <c r="G7" i="10"/>
  <c r="G20" i="10" s="1"/>
  <c r="M43" i="9"/>
  <c r="M49" i="9" s="1"/>
  <c r="D7" i="10"/>
  <c r="D20" i="10" s="1"/>
  <c r="J43" i="9"/>
  <c r="J49" i="9" s="1"/>
  <c r="L43" i="9"/>
  <c r="L49" i="9" s="1"/>
  <c r="I43" i="9"/>
  <c r="I49" i="9" s="1"/>
  <c r="C27" i="14" s="1"/>
  <c r="C30" i="14" s="1"/>
  <c r="C7" i="10"/>
  <c r="C20" i="10" s="1"/>
  <c r="C17" i="14" l="1"/>
  <c r="C19" i="14" s="1"/>
  <c r="C5" i="18" s="1"/>
  <c r="D27" i="14"/>
  <c r="D30" i="14" s="1"/>
  <c r="F27" i="14"/>
  <c r="F30" i="14" s="1"/>
  <c r="G27" i="14"/>
  <c r="G30" i="14" s="1"/>
  <c r="C35" i="14" s="1"/>
  <c r="E27" i="14"/>
  <c r="E30" i="14" s="1"/>
  <c r="C32" i="14" l="1"/>
  <c r="C37" i="14" s="1"/>
  <c r="C39" i="14" s="1"/>
  <c r="D5" i="18" s="1"/>
  <c r="E5" i="18" s="1"/>
  <c r="E7" i="18" s="1"/>
  <c r="C21" i="10" l="1"/>
  <c r="D21" i="10" l="1"/>
  <c r="E21" i="10" l="1"/>
  <c r="F21" i="10" l="1"/>
  <c r="G21" i="10" l="1"/>
  <c r="N128" i="6" l="1"/>
  <c r="N132" i="6"/>
  <c r="N135" i="6"/>
  <c r="M105" i="6"/>
  <c r="M79" i="6"/>
  <c r="M69" i="6"/>
  <c r="M64" i="6"/>
  <c r="L64" i="6"/>
  <c r="L69" i="6"/>
  <c r="L79" i="6"/>
  <c r="L105" i="6"/>
  <c r="M128" i="6"/>
  <c r="M132" i="6"/>
  <c r="M135" i="6"/>
  <c r="N105" i="6"/>
  <c r="L128" i="6"/>
  <c r="L132" i="6"/>
  <c r="L135" i="6"/>
  <c r="L137" i="6"/>
  <c r="M136" i="6"/>
  <c r="M137" i="6"/>
  <c r="N136" i="6"/>
  <c r="N137" i="6"/>
  <c r="N64" i="6"/>
  <c r="N69" i="6"/>
  <c r="N7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BD8A57-95DF-1A41-B58E-03A641909A7F}" name="90346E10 - AllReports" type="6" refreshedVersion="8" background="1" saveData="1">
    <textPr codePage="65001" sourceFile="/Users/evanhassan/Downloads/90346E10 - AllReports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<sst xmlns="http://schemas.openxmlformats.org/spreadsheetml/2006/main" count="1023" uniqueCount="508">
  <si>
    <t>Sales ($000)</t>
  </si>
  <si>
    <t>Tons Sold (000s)</t>
  </si>
  <si>
    <t>Average Selling Price ($/ton)</t>
  </si>
  <si>
    <t>Segment Contribution Margin ($000)</t>
  </si>
  <si>
    <t>Contribution Margin %</t>
  </si>
  <si>
    <t>Segment Cost of Sales ($000)</t>
  </si>
  <si>
    <t>Segment Cost of Sales / Ton ($/ton)</t>
  </si>
  <si>
    <t>Contribution Margin / Ton ($/ton)</t>
  </si>
  <si>
    <t>Year</t>
  </si>
  <si>
    <t>US Silica Holdings Inc (90346E10)</t>
  </si>
  <si>
    <t>Income Statement - Annual (As Originally Reported)</t>
  </si>
  <si>
    <t>FYE December</t>
  </si>
  <si>
    <t>Currency</t>
  </si>
  <si>
    <t>USD</t>
  </si>
  <si>
    <t>Scale</t>
  </si>
  <si>
    <t>Million</t>
  </si>
  <si>
    <t>Total Revenue</t>
  </si>
  <si>
    <t xml:space="preserve">    Cost of Revenue, Total</t>
  </si>
  <si>
    <t>Gross Profit</t>
  </si>
  <si>
    <t xml:space="preserve">    Selling/General/Admin. Expenses, Total</t>
  </si>
  <si>
    <t xml:space="preserve">    Research &amp; Development</t>
  </si>
  <si>
    <t xml:space="preserve">    Depreciation/Amortization</t>
  </si>
  <si>
    <t xml:space="preserve">    Interest Exp.(Inc.), Net-Operating, Total</t>
  </si>
  <si>
    <t xml:space="preserve">    Unusual Expense (Income)</t>
  </si>
  <si>
    <t xml:space="preserve">    Other Operating Expenses, Total</t>
  </si>
  <si>
    <t>Total Operating Expense</t>
  </si>
  <si>
    <t>Operating Income</t>
  </si>
  <si>
    <t xml:space="preserve">    Interest Inc.(Exp.),Net-Non-Op., Total</t>
  </si>
  <si>
    <t xml:space="preserve">    Gain (Loss) on Sale of Assets</t>
  </si>
  <si>
    <t xml:space="preserve">    Other, Net</t>
  </si>
  <si>
    <t>Net Income Before Taxes</t>
  </si>
  <si>
    <t xml:space="preserve">    Provision for Income Taxes</t>
  </si>
  <si>
    <t>Net Income</t>
  </si>
  <si>
    <t>Preferred Dividends</t>
  </si>
  <si>
    <t>Basic EPS Excluding Extraordinary Items</t>
  </si>
  <si>
    <t>Basic EPS Including Extraordinary Items</t>
  </si>
  <si>
    <t>Normalized Basic EPS</t>
  </si>
  <si>
    <t>Basic Weighted Average Shares</t>
  </si>
  <si>
    <t>Diluted EPS Excluding ExtraOrd Items</t>
  </si>
  <si>
    <t>Diluted EPS Including ExtraOrd Items</t>
  </si>
  <si>
    <t>Normalized Diluted EPS</t>
  </si>
  <si>
    <t>Diluted Weighted Average Shares</t>
  </si>
  <si>
    <t>Dividends Per Share</t>
  </si>
  <si>
    <t>Number of Employees</t>
  </si>
  <si>
    <t>Balance Sheet - Annual (As Originally Reported)</t>
  </si>
  <si>
    <t xml:space="preserve">    Cash &amp; Equivalents</t>
  </si>
  <si>
    <t>Cash, Cash Equiv. &amp; Short Term Inv.</t>
  </si>
  <si>
    <t>Total Receivables, Net</t>
  </si>
  <si>
    <t>Total Inventory</t>
  </si>
  <si>
    <t>Prepaid Expenses</t>
  </si>
  <si>
    <t>Other Current Assets, Total</t>
  </si>
  <si>
    <t>Total Current Assets</t>
  </si>
  <si>
    <t xml:space="preserve">    Property/Plant/Equipment, Total - Gross</t>
  </si>
  <si>
    <t xml:space="preserve">    Accumulated Depreciation, Total</t>
  </si>
  <si>
    <t>Property/Plant/Equipment, Total - Net</t>
  </si>
  <si>
    <t>Goodwill, Net</t>
  </si>
  <si>
    <t>Intangibles, Net</t>
  </si>
  <si>
    <t>Long Term Investments</t>
  </si>
  <si>
    <t>Note Receivable - Long Term</t>
  </si>
  <si>
    <t>Other Long Term Assets, Total</t>
  </si>
  <si>
    <t>Other Assets, Total</t>
  </si>
  <si>
    <t>Total Assets</t>
  </si>
  <si>
    <t>Accounts Payable</t>
  </si>
  <si>
    <t>Payable/Accrued</t>
  </si>
  <si>
    <t>Accrued Expenses</t>
  </si>
  <si>
    <t>Current Port. of  LT Debt/Capital Leases</t>
  </si>
  <si>
    <t>Notes Payable/Short Term Debt</t>
  </si>
  <si>
    <t>Other Current Liabilities, Total</t>
  </si>
  <si>
    <t>Total Current Liabilities</t>
  </si>
  <si>
    <t xml:space="preserve">    Long Term Debt</t>
  </si>
  <si>
    <t xml:space="preserve">    Capital Lease Obligations</t>
  </si>
  <si>
    <t>Total Long Term Debt</t>
  </si>
  <si>
    <t>Deferred Income Tax</t>
  </si>
  <si>
    <t>Other Liabilities, Total</t>
  </si>
  <si>
    <t>Minority Interest</t>
  </si>
  <si>
    <t>Total Liabilities</t>
  </si>
  <si>
    <t>Redeemable Preferred Stock, Total</t>
  </si>
  <si>
    <t>Preferred Stock - Non Redeemable, Net</t>
  </si>
  <si>
    <t>Limited Partner</t>
  </si>
  <si>
    <t>Common Stock</t>
  </si>
  <si>
    <t>Additional Paid-In Capital</t>
  </si>
  <si>
    <t>Retained Earnings (Accumulated Deficit)</t>
  </si>
  <si>
    <t>Treasury Stock - Common</t>
  </si>
  <si>
    <t>ESOP Debt Guarantee</t>
  </si>
  <si>
    <t>Unrealized Gain (Loss)</t>
  </si>
  <si>
    <t>Other Equity, Total</t>
  </si>
  <si>
    <t>Total Equity</t>
  </si>
  <si>
    <t>Total Liabilities &amp; Shareholders' Equity</t>
  </si>
  <si>
    <t>Total Common Shares Outstanding</t>
  </si>
  <si>
    <t>Cash Flow - Annual (As Originally Reported)</t>
  </si>
  <si>
    <t>Changes in Working Capital</t>
  </si>
  <si>
    <t>Cash from Operating Activities</t>
  </si>
  <si>
    <t>Capital Expenditures</t>
  </si>
  <si>
    <t>Investment, Net</t>
  </si>
  <si>
    <t>Software Development Costs</t>
  </si>
  <si>
    <t>Sale of Fixed Assets</t>
  </si>
  <si>
    <t>Acquisition of Business</t>
  </si>
  <si>
    <t>Sale/Maturity of Investment</t>
  </si>
  <si>
    <t>Other Investing Cash Flow Items, Total</t>
  </si>
  <si>
    <t>Cash from Investing Activities</t>
  </si>
  <si>
    <t>Short Term Debt, Net</t>
  </si>
  <si>
    <t>Issuance (Retirement) of Debt, Net</t>
  </si>
  <si>
    <t>Issuance (Retirement) of Stock, Net</t>
  </si>
  <si>
    <t>Total Cash Dividends Paid</t>
  </si>
  <si>
    <t>Cash from Financing Activities</t>
  </si>
  <si>
    <t>Foreign Exchange Effects</t>
  </si>
  <si>
    <t>Net Change in Cash</t>
  </si>
  <si>
    <t>Net Cash - Beginning Balance</t>
  </si>
  <si>
    <t>Net Cash - Ending Balance</t>
  </si>
  <si>
    <t>Ratio Analysis - Annual (As Originally Reported)</t>
  </si>
  <si>
    <t>Profitability</t>
  </si>
  <si>
    <t>Gross Margin</t>
  </si>
  <si>
    <t>Operating Margin</t>
  </si>
  <si>
    <t>Pretax Margin</t>
  </si>
  <si>
    <t>Effective Tax Rate</t>
  </si>
  <si>
    <t>Net Profit Margin</t>
  </si>
  <si>
    <t>Normalized EBIT</t>
  </si>
  <si>
    <t>Normalized EBITDA</t>
  </si>
  <si>
    <t>EBITDA Margin %</t>
  </si>
  <si>
    <t>Management Effectiveness</t>
  </si>
  <si>
    <t>Normalized Return on Equity % TTM</t>
  </si>
  <si>
    <t>Normalized Return on Capital % TTM</t>
  </si>
  <si>
    <t>Normalized Return on Assets % TTM</t>
  </si>
  <si>
    <t>Financial Strength</t>
  </si>
  <si>
    <t>Total Current Assets less Inventory</t>
  </si>
  <si>
    <t>Quick Ratio</t>
  </si>
  <si>
    <t>Current Ratio</t>
  </si>
  <si>
    <t>Net Debt</t>
  </si>
  <si>
    <t>Long Term Debt / Equity %</t>
  </si>
  <si>
    <t>Long Term Debt / Capital %</t>
  </si>
  <si>
    <t>Net Debt / Equity %</t>
  </si>
  <si>
    <t>Total Debt / Total Equity %</t>
  </si>
  <si>
    <t>Total Debt / Total Capital %</t>
  </si>
  <si>
    <t>Total Debt / Assets %</t>
  </si>
  <si>
    <t>Interest Coverage</t>
  </si>
  <si>
    <t>Financial Leverage Ratio</t>
  </si>
  <si>
    <t>Efficiency</t>
  </si>
  <si>
    <t>Days Inventory (DOH)</t>
  </si>
  <si>
    <t>Days Receivable (DSO)</t>
  </si>
  <si>
    <t>Days Payable (DP)</t>
  </si>
  <si>
    <t>Cash Cycle (DOH+DSO-DP)</t>
  </si>
  <si>
    <t>Asset Turnover TTM</t>
  </si>
  <si>
    <t>Receivables Turnover TTM</t>
  </si>
  <si>
    <t>Inventory Turnover TTM</t>
  </si>
  <si>
    <t>Payables Turnover TTM</t>
  </si>
  <si>
    <t>Sales / Inventory TTM</t>
  </si>
  <si>
    <t>Sales / Working Capital TTM</t>
  </si>
  <si>
    <t>Sales / Cash TTM</t>
  </si>
  <si>
    <t>Sales / Fixed Assets TTM</t>
  </si>
  <si>
    <t>Miscellaneous</t>
  </si>
  <si>
    <t>Free Cash Flow TTM</t>
  </si>
  <si>
    <t>Free Cash Flow Per Share TTM</t>
  </si>
  <si>
    <t>Book Value Per Share</t>
  </si>
  <si>
    <t>Tangible Book Value</t>
  </si>
  <si>
    <t>Tangible Book Value per Share</t>
  </si>
  <si>
    <t>Bank Total Revenue</t>
  </si>
  <si>
    <t>Actual</t>
  </si>
  <si>
    <t>Forecast</t>
  </si>
  <si>
    <t>Revenue Drivers</t>
  </si>
  <si>
    <t>Revenue Growth</t>
  </si>
  <si>
    <t>SG&amp;A % Revenue</t>
  </si>
  <si>
    <t>R&amp;D % Revenue</t>
  </si>
  <si>
    <t>Other Operating Expenses % Revenue</t>
  </si>
  <si>
    <t>Gain (Loss) on Asset Sales</t>
  </si>
  <si>
    <t>Working Capital Drivers</t>
  </si>
  <si>
    <t>DSO</t>
  </si>
  <si>
    <t>DOH</t>
  </si>
  <si>
    <t>DPO</t>
  </si>
  <si>
    <t>Other Balance Sheet Drivers</t>
  </si>
  <si>
    <t>Prepaids % Revenue</t>
  </si>
  <si>
    <t>Other Current Assets % Revenue</t>
  </si>
  <si>
    <t>Accrued Expenses % Revenue</t>
  </si>
  <si>
    <t>Other Current Liabilities % Revenue</t>
  </si>
  <si>
    <t>Other Long-Term Assets % Revenue</t>
  </si>
  <si>
    <t>Other Long-Term Liabilities % Revenue</t>
  </si>
  <si>
    <t>Tax Rate</t>
  </si>
  <si>
    <t>Income Statement</t>
  </si>
  <si>
    <t>Revenue</t>
  </si>
  <si>
    <t>Cost of Revenue, Total</t>
  </si>
  <si>
    <t>Cost of Revenue</t>
  </si>
  <si>
    <t>Selling/General/Admin. Expenses, Total</t>
  </si>
  <si>
    <t>SG&amp;A</t>
  </si>
  <si>
    <t>Research &amp; Development</t>
  </si>
  <si>
    <t>R&amp;D</t>
  </si>
  <si>
    <t>Depreciation/Amortization</t>
  </si>
  <si>
    <t>D&amp;A</t>
  </si>
  <si>
    <t>Unusual Expense (Income)</t>
  </si>
  <si>
    <t>Other Operating Expenses, Total</t>
  </si>
  <si>
    <t>Other Operating Expenses</t>
  </si>
  <si>
    <t>Total Operating Costs &amp; Expenses</t>
  </si>
  <si>
    <t>Interest Inc.(Exp.),Net-Non-Op., Total</t>
  </si>
  <si>
    <t>Interest Expense, Net</t>
  </si>
  <si>
    <t>Gain (Loss) on Sale of Assets</t>
  </si>
  <si>
    <t>Other, Net</t>
  </si>
  <si>
    <t>Other Non-Operating Income (Expense)</t>
  </si>
  <si>
    <t>Pre-Tax Income</t>
  </si>
  <si>
    <t>Provision for Income Taxes</t>
  </si>
  <si>
    <t>Income Taxes</t>
  </si>
  <si>
    <t>Net Income Attributable to NCI</t>
  </si>
  <si>
    <t>Diluted Shares</t>
  </si>
  <si>
    <t>Diluted EPS</t>
  </si>
  <si>
    <t>Balance Sheet</t>
  </si>
  <si>
    <t>Cash &amp; Equivalents</t>
  </si>
  <si>
    <t>Cash and Cash Equivalents</t>
  </si>
  <si>
    <t>Accounts Receivable</t>
  </si>
  <si>
    <t>Inventory</t>
  </si>
  <si>
    <t>Other Current Assets</t>
  </si>
  <si>
    <t>Property/Plant/Equipment, Total - Gross</t>
  </si>
  <si>
    <t>Gross PP&amp;E</t>
  </si>
  <si>
    <t>Accumulated Depreciation, Total</t>
  </si>
  <si>
    <t>Accumulated Depreciation</t>
  </si>
  <si>
    <t>Net PP&amp;E</t>
  </si>
  <si>
    <t>Goodwill</t>
  </si>
  <si>
    <t>Intangible Assets</t>
  </si>
  <si>
    <t>Long-Term Investments</t>
  </si>
  <si>
    <t>Other Long-Term Assets</t>
  </si>
  <si>
    <t>Other Assets</t>
  </si>
  <si>
    <t>Current Portion of Debt</t>
  </si>
  <si>
    <t>Other Short-Term Debt</t>
  </si>
  <si>
    <t>Other Current Liabilities</t>
  </si>
  <si>
    <t>Long Term Debt</t>
  </si>
  <si>
    <t>Long-Term Debt</t>
  </si>
  <si>
    <t>(see writeup)</t>
  </si>
  <si>
    <t>Capital Lease Obligations</t>
  </si>
  <si>
    <t>Lease Obligations</t>
  </si>
  <si>
    <t>Total Long-Term Debt</t>
  </si>
  <si>
    <t>Deferred Taxes</t>
  </si>
  <si>
    <t>Other Long-Term Liabilities</t>
  </si>
  <si>
    <t>Noncontrolling Interest</t>
  </si>
  <si>
    <t>Retained Earnings</t>
  </si>
  <si>
    <t>Treasury Stock</t>
  </si>
  <si>
    <t>Other Equity</t>
  </si>
  <si>
    <t>Total Liabilities and Equity</t>
  </si>
  <si>
    <t>Assets = Liabilities + Equity Check</t>
  </si>
  <si>
    <t>Common Shares Outstanding</t>
  </si>
  <si>
    <t>Cash Flow Statement</t>
  </si>
  <si>
    <t>Operating Net Working Capital</t>
  </si>
  <si>
    <t>Change in Working Capital</t>
  </si>
  <si>
    <t>Change in Other Operating Assets &amp; Liabilities</t>
  </si>
  <si>
    <t>Cash Flow from Operations</t>
  </si>
  <si>
    <t>Investments, Net</t>
  </si>
  <si>
    <t>Proceeds from Asset Sales</t>
  </si>
  <si>
    <t>Acquisitions</t>
  </si>
  <si>
    <t>Other Investing Activities</t>
  </si>
  <si>
    <t>Cash Flow from Investing</t>
  </si>
  <si>
    <t>Change in Short-Term Debt</t>
  </si>
  <si>
    <t>Debt Issuance (Repayment)</t>
  </si>
  <si>
    <t>Stock Issuance (Repurchases)</t>
  </si>
  <si>
    <t>Dividends Paid</t>
  </si>
  <si>
    <t>Cash Flow from Financing</t>
  </si>
  <si>
    <t>Beginning Cash</t>
  </si>
  <si>
    <t>Ending Cash</t>
  </si>
  <si>
    <t>Free Cash Flow</t>
  </si>
  <si>
    <t>Interest Exp.(Inc.), Net-Operating, Total</t>
  </si>
  <si>
    <t>Olin Corp (OLN)</t>
  </si>
  <si>
    <t>Current Port. of LT Debt/Capital Leases</t>
  </si>
  <si>
    <t>possibly circular</t>
  </si>
  <si>
    <t>Gain(Loss) On Asset sales</t>
  </si>
  <si>
    <t>Site</t>
  </si>
  <si>
    <t>Verdict</t>
  </si>
  <si>
    <t>Reason</t>
  </si>
  <si>
    <t>Crane, TX</t>
  </si>
  <si>
    <t>Proppant sand</t>
  </si>
  <si>
    <t>O&amp;G</t>
  </si>
  <si>
    <t>Frac sand asset</t>
  </si>
  <si>
    <t>Lamesa, TX</t>
  </si>
  <si>
    <t>Ottawa, IL</t>
  </si>
  <si>
    <t>Silica sand</t>
  </si>
  <si>
    <t>ISP</t>
  </si>
  <si>
    <t>Broader industrial silica</t>
  </si>
  <si>
    <t>Lovelock/Colado, NV</t>
  </si>
  <si>
    <t>Diatomaceous earth</t>
  </si>
  <si>
    <t>Specialty industrial mineral</t>
  </si>
  <si>
    <t>Dubberly, LA</t>
  </si>
  <si>
    <t>Silica for glass/foundry/building</t>
  </si>
  <si>
    <t>Industrial end markets</t>
  </si>
  <si>
    <t>Pacific, MO</t>
  </si>
  <si>
    <t>Silica, some proppant</t>
  </si>
  <si>
    <t>Mixed / ISP</t>
  </si>
  <si>
    <t>Mostly industrial, some O&amp;G</t>
  </si>
  <si>
    <t>Mapleton Depot, PA</t>
  </si>
  <si>
    <t>Mill Creek, OK</t>
  </si>
  <si>
    <t>Ground/fine ground silica</t>
  </si>
  <si>
    <t>Industrial silica</t>
  </si>
  <si>
    <t>Columbia, SC</t>
  </si>
  <si>
    <t>Glass/building/fillers/filtration</t>
  </si>
  <si>
    <t>Hurtsboro, AL</t>
  </si>
  <si>
    <t>Foundry/building/recreation</t>
  </si>
  <si>
    <t>Mauricetown, NJ</t>
  </si>
  <si>
    <t>Foundry/filtration/building/recreation</t>
  </si>
  <si>
    <t>Millen, GA</t>
  </si>
  <si>
    <t>Heat-treated silica</t>
  </si>
  <si>
    <t>Specialty processing</t>
  </si>
  <si>
    <t>Montpelier, VA</t>
  </si>
  <si>
    <t>Aplite</t>
  </si>
  <si>
    <t>Industrial mineral</t>
  </si>
  <si>
    <t>Jackson, TN</t>
  </si>
  <si>
    <t>Fiberglass/ceramics/fillers</t>
  </si>
  <si>
    <t>Jackson/Aberdeen, MS</t>
  </si>
  <si>
    <t>Bentonite clay</t>
  </si>
  <si>
    <t>Specialty clay</t>
  </si>
  <si>
    <t>Middleton, TN</t>
  </si>
  <si>
    <t>Bentonite/montmorillonite clay</t>
  </si>
  <si>
    <t>Specialty clay / absorbents</t>
  </si>
  <si>
    <t>Rockwood, MI</t>
  </si>
  <si>
    <t>Silica, glass + some proppant</t>
  </si>
  <si>
    <t>Specialty glass angle, some O&amp;G</t>
  </si>
  <si>
    <t>Sparta, WI</t>
  </si>
  <si>
    <t>Proppant-quality silica</t>
  </si>
  <si>
    <t>O&amp;G / mixed</t>
  </si>
  <si>
    <t>Strong frac sand characteristics</t>
  </si>
  <si>
    <t>Blair, NE</t>
  </si>
  <si>
    <t>Perlite processing</t>
  </si>
  <si>
    <t>Filtration/specialty mineral</t>
  </si>
  <si>
    <t>Clark, NV</t>
  </si>
  <si>
    <t>Fernley, NV</t>
  </si>
  <si>
    <t>Absorbents/fertilizer/pet litter</t>
  </si>
  <si>
    <t>Hazen, NV</t>
  </si>
  <si>
    <t>DE mine</t>
  </si>
  <si>
    <t>Feeds DE business</t>
  </si>
  <si>
    <t>Popcorn, NV</t>
  </si>
  <si>
    <t>Perlite mine</t>
  </si>
  <si>
    <t>Feeds perlite business</t>
  </si>
  <si>
    <t>Sanders, AZ</t>
  </si>
  <si>
    <t>Sequoya, NV</t>
  </si>
  <si>
    <t>DE exploration</t>
  </si>
  <si>
    <t>Future DE resource</t>
  </si>
  <si>
    <t>Siskiyou, CA</t>
  </si>
  <si>
    <t>Type</t>
  </si>
  <si>
    <t>SLCA Site Split</t>
  </si>
  <si>
    <t>% Total Revenue</t>
  </si>
  <si>
    <t>Segment Revenue Growth</t>
  </si>
  <si>
    <t>segment contribution check</t>
  </si>
  <si>
    <t>Selling Price Growth</t>
  </si>
  <si>
    <t>Sales Volume Growth</t>
  </si>
  <si>
    <t>calculated metrics/ drivers</t>
  </si>
  <si>
    <t>U.S. Silica</t>
  </si>
  <si>
    <t>calculated metrics / drivers</t>
  </si>
  <si>
    <t>YoY Growth</t>
  </si>
  <si>
    <t>O&amp;G and I&amp;P Sales Build</t>
  </si>
  <si>
    <t>O&amp;G D&amp;A</t>
  </si>
  <si>
    <t>ISP D&amp;A</t>
  </si>
  <si>
    <t>Total D&amp;A</t>
  </si>
  <si>
    <t>O&amp;G Capex</t>
  </si>
  <si>
    <t>ISP Capex</t>
  </si>
  <si>
    <t>Total Capex</t>
  </si>
  <si>
    <t>O&amp;G Op. NWC</t>
  </si>
  <si>
    <t>ISP Op. NWC</t>
  </si>
  <si>
    <t>Total Op. NWC</t>
  </si>
  <si>
    <t>EBIT</t>
  </si>
  <si>
    <t>EBITDA</t>
  </si>
  <si>
    <t>Segment Contribution Margin</t>
  </si>
  <si>
    <t>Allocated Operating Expense</t>
  </si>
  <si>
    <t>Less: Taxes</t>
  </si>
  <si>
    <t>Less: Capex</t>
  </si>
  <si>
    <t>UFCF</t>
  </si>
  <si>
    <t>NWC</t>
  </si>
  <si>
    <t>Less: Change NWC</t>
  </si>
  <si>
    <t>predicted</t>
  </si>
  <si>
    <t>actual</t>
  </si>
  <si>
    <t>Plus: D&amp;A</t>
  </si>
  <si>
    <t>Plus D&amp;A</t>
  </si>
  <si>
    <t>(read writeup)</t>
  </si>
  <si>
    <t>($mm)</t>
  </si>
  <si>
    <t>Predicted</t>
  </si>
  <si>
    <t>1. PROJECTED SEGMENT EBITDA</t>
  </si>
  <si>
    <t>Reported EBITDA</t>
  </si>
  <si>
    <t>2. LESS RUN-RATE ADJUSTMENTS</t>
  </si>
  <si>
    <t>Corporate Functions to be Replaced</t>
  </si>
  <si>
    <t>Finance/Accounting</t>
  </si>
  <si>
    <t>HR / Payroll</t>
  </si>
  <si>
    <t>IT / Systems</t>
  </si>
  <si>
    <t>Legal / Compliance</t>
  </si>
  <si>
    <t>other</t>
  </si>
  <si>
    <t>Total Run-Rate Adjustments</t>
  </si>
  <si>
    <t>3. STANDALONE ADJUSTED EBITDA</t>
  </si>
  <si>
    <t>Adjusted Ebitda</t>
  </si>
  <si>
    <t>EBITDA Margin</t>
  </si>
  <si>
    <t>4. ONE TIME SEPERATION COSTS</t>
  </si>
  <si>
    <t>Legal</t>
  </si>
  <si>
    <t>People / HR</t>
  </si>
  <si>
    <t>Facilities</t>
  </si>
  <si>
    <t>Branding / Rebrand</t>
  </si>
  <si>
    <t>Other</t>
  </si>
  <si>
    <t>Total One-Time Seperation Costs</t>
  </si>
  <si>
    <t xml:space="preserve">Treasury </t>
  </si>
  <si>
    <t>Carve Out Adjustments (ISP)</t>
  </si>
  <si>
    <t>Transaction Toggle</t>
  </si>
  <si>
    <t>Scenario Toggle</t>
  </si>
  <si>
    <t>Transaction Assumptions</t>
  </si>
  <si>
    <t>Operating Assumptions</t>
  </si>
  <si>
    <t>Downside</t>
  </si>
  <si>
    <t>Base</t>
  </si>
  <si>
    <t>Upside</t>
  </si>
  <si>
    <t>See ISP Carve Out Costs</t>
  </si>
  <si>
    <t>Carveout Assumptions</t>
  </si>
  <si>
    <t>DCF Assumptions</t>
  </si>
  <si>
    <t>WACC</t>
  </si>
  <si>
    <t>Low</t>
  </si>
  <si>
    <t>High</t>
  </si>
  <si>
    <t>Multiple Assumptions</t>
  </si>
  <si>
    <t>Apollo Offer/Share</t>
  </si>
  <si>
    <t>Diluted Shares Outstanding</t>
  </si>
  <si>
    <t>SLCA DCF</t>
  </si>
  <si>
    <t>Discount Period</t>
  </si>
  <si>
    <t>PV of Free Cash Flow</t>
  </si>
  <si>
    <t>Discount Rate</t>
  </si>
  <si>
    <t>Combined Cash Flows</t>
  </si>
  <si>
    <t>Standalone SLCA</t>
  </si>
  <si>
    <t xml:space="preserve">Low </t>
  </si>
  <si>
    <t>Selected Exit Multiple</t>
  </si>
  <si>
    <t>Terminal Value</t>
  </si>
  <si>
    <t>Present Value of Terminal Value</t>
  </si>
  <si>
    <t>Enterprise Value</t>
  </si>
  <si>
    <t>Warraned Enterprise Value</t>
  </si>
  <si>
    <t>Minus Net Debt</t>
  </si>
  <si>
    <t>Equity Value</t>
  </si>
  <si>
    <t>Implied Share Price</t>
  </si>
  <si>
    <t>Less: Seperation Costs</t>
  </si>
  <si>
    <t>Less: Run Rate Adjustments</t>
  </si>
  <si>
    <t>ISP Selling Price Growth</t>
  </si>
  <si>
    <t>ISP Segment Cost of Sales</t>
  </si>
  <si>
    <t>OG Segment Cost of Sales</t>
  </si>
  <si>
    <t>(NOT in $mm ($000))</t>
  </si>
  <si>
    <t>Present Value of Free Cash Flow</t>
  </si>
  <si>
    <t>Median</t>
  </si>
  <si>
    <t>Warranted Enterprise Value</t>
  </si>
  <si>
    <t>OG Sales Volume Gorwth</t>
  </si>
  <si>
    <t>ISP Sales Volume Gorwth</t>
  </si>
  <si>
    <t>OG Selling Price Growth</t>
  </si>
  <si>
    <t>Company</t>
  </si>
  <si>
    <t>Ownership Status</t>
  </si>
  <si>
    <t>Website</t>
  </si>
  <si>
    <t>Ticker</t>
  </si>
  <si>
    <t>Vulcan Materials</t>
  </si>
  <si>
    <t>Publicly Held</t>
  </si>
  <si>
    <t>www.vulcanmaterials.com</t>
  </si>
  <si>
    <t>VMC</t>
  </si>
  <si>
    <t>United States Lime &amp; Minerals</t>
  </si>
  <si>
    <t>www.uslm.com</t>
  </si>
  <si>
    <t>USLM</t>
  </si>
  <si>
    <t>Orion (Senningerberg)</t>
  </si>
  <si>
    <t>www.orioncarbons.com</t>
  </si>
  <si>
    <t>OEC</t>
  </si>
  <si>
    <t>Oil Dri Corporation Of America</t>
  </si>
  <si>
    <t>www.oildri.com</t>
  </si>
  <si>
    <t>ODC</t>
  </si>
  <si>
    <t>Martin Marietta</t>
  </si>
  <si>
    <t>www.martinmarietta.com</t>
  </si>
  <si>
    <t>MLM</t>
  </si>
  <si>
    <t>Kronos Worldwide</t>
  </si>
  <si>
    <t>www.kronosww.com</t>
  </si>
  <si>
    <t>KRO</t>
  </si>
  <si>
    <t>Ingevity</t>
  </si>
  <si>
    <t>www.ingevity.com</t>
  </si>
  <si>
    <t>NGVT</t>
  </si>
  <si>
    <t>Hawkins</t>
  </si>
  <si>
    <t>www.hawkinsinc.com</t>
  </si>
  <si>
    <t>HWKN</t>
  </si>
  <si>
    <t>Ecovyst</t>
  </si>
  <si>
    <t>www.ecovyst.com</t>
  </si>
  <si>
    <t>ECVT</t>
  </si>
  <si>
    <t>Compass Minerals International</t>
  </si>
  <si>
    <t>www.compassminerals.com</t>
  </si>
  <si>
    <t>CMP</t>
  </si>
  <si>
    <t>AdvanSix</t>
  </si>
  <si>
    <t>www.advansix.com</t>
  </si>
  <si>
    <t>ASIX</t>
  </si>
  <si>
    <t>ISP Comps</t>
  </si>
  <si>
    <t>EV / EBITDA</t>
  </si>
  <si>
    <t>Disregarded Pulled Comps:</t>
  </si>
  <si>
    <t>O&amp;G Comps</t>
  </si>
  <si>
    <t>Source Energy Services</t>
  </si>
  <si>
    <t>www.sourceenergyservices.com</t>
  </si>
  <si>
    <t>SHLE</t>
  </si>
  <si>
    <t>Smart Sand</t>
  </si>
  <si>
    <t>www.smartsand.com</t>
  </si>
  <si>
    <t>SND</t>
  </si>
  <si>
    <t>Select Water Solutions</t>
  </si>
  <si>
    <t>www.selectwater.com</t>
  </si>
  <si>
    <t>WTTR</t>
  </si>
  <si>
    <t>ProFrac Holding</t>
  </si>
  <si>
    <t>www.profrac.com</t>
  </si>
  <si>
    <t>ACDC</t>
  </si>
  <si>
    <t>Liberty Energy</t>
  </si>
  <si>
    <t>www.libertyenergy.com</t>
  </si>
  <si>
    <t>LBRT</t>
  </si>
  <si>
    <t>Atlas Energy Solutions</t>
  </si>
  <si>
    <t>www.atlas.energy</t>
  </si>
  <si>
    <t>AESI</t>
  </si>
  <si>
    <t>Capex Split (O&amp;G)</t>
  </si>
  <si>
    <t>CapEx % Revenue</t>
  </si>
  <si>
    <t>(potentially change)</t>
  </si>
  <si>
    <t>SLCA (memo)</t>
  </si>
  <si>
    <t>Standalone</t>
  </si>
  <si>
    <t>Individual Cash Flow Schedules($mm)</t>
  </si>
  <si>
    <t>Consolidated Financials($mm)</t>
  </si>
  <si>
    <t>Summary</t>
  </si>
  <si>
    <t>Sum-Of-Parts</t>
  </si>
  <si>
    <t>Total</t>
  </si>
  <si>
    <t>SLCA Standalone Shares</t>
  </si>
  <si>
    <t>Diluted Share Price</t>
  </si>
  <si>
    <t>Standalone Total</t>
  </si>
  <si>
    <r>
      <t>Conclusion</t>
    </r>
    <r>
      <rPr>
        <sz val="10"/>
        <rFont val="Arial"/>
        <family val="2"/>
      </rPr>
      <t>:</t>
    </r>
  </si>
  <si>
    <t>Value-Neutral</t>
  </si>
  <si>
    <t>TABLE OF CONTENTS</t>
  </si>
  <si>
    <t>DCFs</t>
  </si>
  <si>
    <t>Supporting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</si>
</sst>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[Red]\(#,##0\);\-"/>
    <numFmt numFmtId="165" formatCode="0.0%"/>
    <numFmt numFmtId="166" formatCode="\$#,##0.0;[Red]\(\$#,##0.0\);\-"/>
    <numFmt numFmtId="167" formatCode="0.0\x;[Red]\(0.0\x\);\-"/>
    <numFmt numFmtId="168" formatCode="0.0"/>
    <numFmt numFmtId="169" formatCode="#,##0.0"/>
    <numFmt numFmtId="171" formatCode="0.0\x"/>
    <numFmt numFmtId="172" formatCode="0.0000000"/>
    <numFmt numFmtId="173" formatCode="0.00\x"/>
  </numFmts>
  <fonts count="35" x14ac:knownFonts="1">
    <font>
      <sz val="10"/>
      <name val="Arial"/>
      <family val="2"/>
    </font>
    <font>
      <u/>
      <sz val="10"/>
      <color theme="10"/>
      <name val="Arial"/>
      <family val="2"/>
    </font>
    <font>
      <b/>
      <sz val="16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202124"/>
      <name val="Arial"/>
      <family val="2"/>
    </font>
    <font>
      <sz val="10"/>
      <color rgb="FF0000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0"/>
      <color rgb="FF1F2D3D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02124"/>
      <name val="Arial"/>
      <family val="2"/>
    </font>
    <font>
      <i/>
      <sz val="10"/>
      <color rgb="FF50647A"/>
      <name val="Arial"/>
      <family val="2"/>
    </font>
    <font>
      <b/>
      <sz val="11"/>
      <color rgb="FF1F2D3D"/>
      <name val="Arial"/>
      <family val="2"/>
    </font>
    <font>
      <b/>
      <sz val="16"/>
      <color rgb="FF1F2D3D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sz val="12"/>
      <color rgb="FF202124"/>
      <name val="Arial"/>
      <family val="2"/>
    </font>
    <font>
      <sz val="10"/>
      <name val="Arial"/>
      <family val="2"/>
    </font>
    <font>
      <i/>
      <sz val="10"/>
      <color rgb="FF0000FF"/>
      <name val="Arial"/>
      <family val="2"/>
    </font>
    <font>
      <sz val="10"/>
      <color rgb="FF00A900"/>
      <name val="Arial"/>
      <family val="2"/>
    </font>
    <font>
      <i/>
      <sz val="10"/>
      <color rgb="FF00A900"/>
      <name val="Arial"/>
      <family val="2"/>
    </font>
    <font>
      <b/>
      <i/>
      <sz val="10"/>
      <color rgb="FF202124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DE5EB"/>
      </patternFill>
    </fill>
    <fill>
      <patternFill patternType="solid">
        <fgColor rgb="FFF3EFD8"/>
      </patternFill>
    </fill>
    <fill>
      <patternFill patternType="solid">
        <fgColor rgb="FFEAF2F8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1F2D3D"/>
        <bgColor rgb="FF000000"/>
      </patternFill>
    </fill>
    <fill>
      <patternFill patternType="solid">
        <fgColor rgb="FFDDE5EB"/>
        <bgColor rgb="FF000000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A7A7A3"/>
      </bottom>
      <diagonal/>
    </border>
    <border>
      <left style="thin">
        <color indexed="64"/>
      </left>
      <right/>
      <top/>
      <bottom style="thin">
        <color rgb="FFA7A7A3"/>
      </bottom>
      <diagonal/>
    </border>
    <border>
      <left/>
      <right style="thin">
        <color indexed="64"/>
      </right>
      <top/>
      <bottom style="thin">
        <color rgb="FFA7A7A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AF2F8"/>
      </left>
      <right/>
      <top style="thin">
        <color rgb="FFEAF2F8"/>
      </top>
      <bottom style="thin">
        <color rgb="FFEAF2F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rgb="FFA7A7A3"/>
      </top>
      <bottom style="thin">
        <color indexed="64"/>
      </bottom>
      <diagonal/>
    </border>
    <border>
      <left style="thin">
        <color indexed="64"/>
      </left>
      <right/>
      <top style="thin">
        <color rgb="FFA7A7A3"/>
      </top>
      <bottom style="thin">
        <color indexed="64"/>
      </bottom>
      <diagonal/>
    </border>
    <border>
      <left/>
      <right style="thin">
        <color indexed="64"/>
      </right>
      <top style="thin">
        <color rgb="FFA7A7A3"/>
      </top>
      <bottom style="thin">
        <color indexed="64"/>
      </bottom>
      <diagonal/>
    </border>
    <border>
      <left style="thin">
        <color rgb="FFEAF2F8"/>
      </left>
      <right/>
      <top style="thin">
        <color rgb="FFEAF2F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202124"/>
      </bottom>
      <diagonal/>
    </border>
    <border>
      <left/>
      <right/>
      <top style="thin">
        <color rgb="FF202124"/>
      </top>
      <bottom style="double">
        <color indexed="64"/>
      </bottom>
      <diagonal/>
    </border>
    <border>
      <left/>
      <right/>
      <top style="thin">
        <color rgb="FF1F2D3D"/>
      </top>
      <bottom style="thin">
        <color rgb="FF1F2D3D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20212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rgb="FFA7A7A3"/>
      </bottom>
      <diagonal/>
    </border>
    <border>
      <left/>
      <right/>
      <top style="thin">
        <color indexed="64"/>
      </top>
      <bottom style="thin">
        <color rgb="FFA7A7A3"/>
      </bottom>
      <diagonal/>
    </border>
    <border>
      <left/>
      <right style="thin">
        <color indexed="64"/>
      </right>
      <top style="thin">
        <color indexed="64"/>
      </top>
      <bottom style="thin">
        <color rgb="FFA7A7A3"/>
      </bottom>
      <diagonal/>
    </border>
    <border>
      <left style="thin">
        <color indexed="64"/>
      </left>
      <right/>
      <top style="thin">
        <color rgb="FFA7A7A3"/>
      </top>
      <bottom style="thin">
        <color rgb="FFEAF2F8"/>
      </bottom>
      <diagonal/>
    </border>
    <border>
      <left/>
      <right/>
      <top/>
      <bottom style="thin">
        <color rgb="FFEAF2F8"/>
      </bottom>
      <diagonal/>
    </border>
    <border>
      <left/>
      <right style="thin">
        <color indexed="64"/>
      </right>
      <top/>
      <bottom style="thin">
        <color rgb="FFEAF2F8"/>
      </bottom>
      <diagonal/>
    </border>
    <border>
      <left/>
      <right/>
      <top style="thin">
        <color rgb="FFA7A7A3"/>
      </top>
      <bottom style="thin">
        <color rgb="FFEAF2F8"/>
      </bottom>
      <diagonal/>
    </border>
    <border>
      <left/>
      <right style="thin">
        <color indexed="64"/>
      </right>
      <top style="thin">
        <color rgb="FFA7A7A3"/>
      </top>
      <bottom style="thin">
        <color rgb="FFEAF2F8"/>
      </bottom>
      <diagonal/>
    </border>
    <border>
      <left style="thin">
        <color rgb="FFEAF2F8"/>
      </left>
      <right/>
      <top style="thin">
        <color indexed="64"/>
      </top>
      <bottom style="thin">
        <color indexed="64"/>
      </bottom>
      <diagonal/>
    </border>
    <border>
      <left style="thin">
        <color rgb="FFEAF2F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1"/>
    <xf numFmtId="0" fontId="1" fillId="0" borderId="1" applyNumberFormat="0" applyFill="0" applyBorder="0" applyAlignment="0" applyProtection="0"/>
    <xf numFmtId="0" fontId="3" fillId="2" borderId="1">
      <alignment vertical="center"/>
    </xf>
    <xf numFmtId="0" fontId="6" fillId="5" borderId="4" applyNumberFormat="0">
      <alignment vertical="center"/>
    </xf>
    <xf numFmtId="166" fontId="7" fillId="6" borderId="1" applyNumberFormat="0">
      <alignment vertical="center"/>
    </xf>
    <xf numFmtId="0" fontId="10" fillId="7" borderId="16" applyNumberFormat="0" applyFont="0" applyAlignment="0"/>
    <xf numFmtId="166" fontId="15" fillId="0" borderId="1">
      <alignment vertical="center"/>
    </xf>
    <xf numFmtId="166" fontId="7" fillId="6" borderId="24" applyNumberFormat="0">
      <alignment vertical="center"/>
    </xf>
    <xf numFmtId="166" fontId="16" fillId="0" borderId="1">
      <alignment vertical="center"/>
    </xf>
    <xf numFmtId="0" fontId="17" fillId="0" borderId="25">
      <alignment horizontal="left" vertical="center"/>
    </xf>
    <xf numFmtId="0" fontId="17" fillId="0" borderId="26" applyAlignment="0">
      <alignment horizontal="left" vertical="center"/>
    </xf>
    <xf numFmtId="166" fontId="18" fillId="0" borderId="1">
      <alignment vertical="center"/>
    </xf>
    <xf numFmtId="0" fontId="19" fillId="0" borderId="1">
      <alignment horizontal="left"/>
    </xf>
    <xf numFmtId="0" fontId="20" fillId="0" borderId="1">
      <alignment horizontal="left"/>
    </xf>
    <xf numFmtId="167" fontId="21" fillId="7" borderId="27">
      <alignment vertical="center"/>
    </xf>
    <xf numFmtId="0" fontId="22" fillId="0" borderId="28">
      <alignment vertical="center"/>
    </xf>
    <xf numFmtId="0" fontId="14" fillId="0" borderId="1"/>
    <xf numFmtId="10" fontId="7" fillId="0" borderId="1" applyFill="0" applyBorder="0"/>
    <xf numFmtId="0" fontId="17" fillId="0" borderId="29">
      <alignment horizontal="left" vertical="center"/>
    </xf>
    <xf numFmtId="164" fontId="23" fillId="0" borderId="30">
      <alignment vertical="center"/>
    </xf>
  </cellStyleXfs>
  <cellXfs count="291">
    <xf numFmtId="0" fontId="0" fillId="0" borderId="1" xfId="0"/>
    <xf numFmtId="1" fontId="0" fillId="0" borderId="1" xfId="0" applyNumberFormat="1"/>
    <xf numFmtId="14" fontId="0" fillId="0" borderId="1" xfId="0" applyNumberFormat="1"/>
    <xf numFmtId="0" fontId="1" fillId="0" borderId="1" xfId="1"/>
    <xf numFmtId="0" fontId="2" fillId="0" borderId="1" xfId="0" applyFont="1"/>
    <xf numFmtId="0" fontId="3" fillId="3" borderId="1" xfId="2" applyFill="1" applyAlignment="1">
      <alignment horizontal="left" vertical="center"/>
    </xf>
    <xf numFmtId="0" fontId="6" fillId="5" borderId="4" xfId="3">
      <alignment vertical="center"/>
    </xf>
    <xf numFmtId="14" fontId="6" fillId="5" borderId="4" xfId="3" applyNumberFormat="1">
      <alignment vertical="center"/>
    </xf>
    <xf numFmtId="14" fontId="6" fillId="5" borderId="5" xfId="3" applyNumberFormat="1" applyBorder="1">
      <alignment vertical="center"/>
    </xf>
    <xf numFmtId="14" fontId="6" fillId="5" borderId="6" xfId="3" applyNumberFormat="1" applyBorder="1">
      <alignment vertical="center"/>
    </xf>
    <xf numFmtId="0" fontId="0" fillId="0" borderId="1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6" fillId="5" borderId="1" xfId="3" applyBorder="1">
      <alignment vertical="center"/>
    </xf>
    <xf numFmtId="0" fontId="6" fillId="5" borderId="2" xfId="3" applyBorder="1">
      <alignment vertical="center"/>
    </xf>
    <xf numFmtId="0" fontId="6" fillId="5" borderId="3" xfId="3" applyBorder="1">
      <alignment vertical="center"/>
    </xf>
    <xf numFmtId="165" fontId="0" fillId="0" borderId="1" xfId="0" applyNumberFormat="1"/>
    <xf numFmtId="165" fontId="7" fillId="6" borderId="7" xfId="4" applyNumberFormat="1" applyBorder="1">
      <alignment vertical="center"/>
    </xf>
    <xf numFmtId="165" fontId="7" fillId="6" borderId="8" xfId="4" applyNumberFormat="1" applyBorder="1">
      <alignment vertical="center"/>
    </xf>
    <xf numFmtId="165" fontId="7" fillId="6" borderId="9" xfId="4" applyNumberFormat="1" applyBorder="1">
      <alignment vertical="center"/>
    </xf>
    <xf numFmtId="165" fontId="7" fillId="6" borderId="2" xfId="4" applyNumberFormat="1" applyBorder="1">
      <alignment vertical="center"/>
    </xf>
    <xf numFmtId="165" fontId="7" fillId="6" borderId="1" xfId="4" applyNumberFormat="1">
      <alignment vertical="center"/>
    </xf>
    <xf numFmtId="165" fontId="7" fillId="6" borderId="3" xfId="4" applyNumberFormat="1" applyBorder="1">
      <alignment vertical="center"/>
    </xf>
    <xf numFmtId="2" fontId="0" fillId="0" borderId="1" xfId="0" applyNumberFormat="1"/>
    <xf numFmtId="2" fontId="7" fillId="6" borderId="10" xfId="4" applyNumberFormat="1" applyBorder="1">
      <alignment vertical="center"/>
    </xf>
    <xf numFmtId="2" fontId="7" fillId="6" borderId="11" xfId="4" applyNumberFormat="1" applyBorder="1">
      <alignment vertical="center"/>
    </xf>
    <xf numFmtId="2" fontId="7" fillId="6" borderId="12" xfId="4" applyNumberFormat="1" applyBorder="1">
      <alignment vertical="center"/>
    </xf>
    <xf numFmtId="2" fontId="7" fillId="0" borderId="2" xfId="4" applyNumberFormat="1" applyFill="1" applyBorder="1">
      <alignment vertical="center"/>
    </xf>
    <xf numFmtId="2" fontId="7" fillId="0" borderId="1" xfId="4" applyNumberFormat="1" applyFill="1">
      <alignment vertical="center"/>
    </xf>
    <xf numFmtId="2" fontId="7" fillId="0" borderId="3" xfId="4" applyNumberFormat="1" applyFill="1" applyBorder="1">
      <alignment vertical="center"/>
    </xf>
    <xf numFmtId="1" fontId="7" fillId="6" borderId="7" xfId="4" applyNumberFormat="1" applyBorder="1">
      <alignment vertical="center"/>
    </xf>
    <xf numFmtId="1" fontId="7" fillId="6" borderId="8" xfId="4" applyNumberFormat="1" applyBorder="1">
      <alignment vertical="center"/>
    </xf>
    <xf numFmtId="1" fontId="7" fillId="6" borderId="9" xfId="4" applyNumberFormat="1" applyBorder="1">
      <alignment vertical="center"/>
    </xf>
    <xf numFmtId="1" fontId="7" fillId="0" borderId="1" xfId="0" applyNumberFormat="1" applyFont="1"/>
    <xf numFmtId="1" fontId="7" fillId="6" borderId="2" xfId="4" applyNumberFormat="1" applyBorder="1">
      <alignment vertical="center"/>
    </xf>
    <xf numFmtId="1" fontId="7" fillId="6" borderId="1" xfId="4" applyNumberFormat="1">
      <alignment vertical="center"/>
    </xf>
    <xf numFmtId="1" fontId="7" fillId="6" borderId="3" xfId="4" applyNumberFormat="1" applyBorder="1">
      <alignment vertical="center"/>
    </xf>
    <xf numFmtId="165" fontId="7" fillId="6" borderId="10" xfId="4" applyNumberFormat="1" applyBorder="1">
      <alignment vertical="center"/>
    </xf>
    <xf numFmtId="165" fontId="7" fillId="6" borderId="11" xfId="4" applyNumberFormat="1" applyBorder="1">
      <alignment vertical="center"/>
    </xf>
    <xf numFmtId="165" fontId="7" fillId="6" borderId="12" xfId="4" applyNumberFormat="1" applyBorder="1">
      <alignment vertical="center"/>
    </xf>
    <xf numFmtId="165" fontId="7" fillId="0" borderId="2" xfId="0" applyNumberFormat="1" applyFont="1" applyBorder="1"/>
    <xf numFmtId="165" fontId="7" fillId="0" borderId="1" xfId="0" applyNumberFormat="1" applyFont="1"/>
    <xf numFmtId="165" fontId="7" fillId="0" borderId="3" xfId="0" applyNumberFormat="1" applyFont="1" applyBorder="1"/>
    <xf numFmtId="2" fontId="7" fillId="0" borderId="2" xfId="0" applyNumberFormat="1" applyFont="1" applyBorder="1"/>
    <xf numFmtId="2" fontId="7" fillId="0" borderId="1" xfId="0" applyNumberFormat="1" applyFont="1"/>
    <xf numFmtId="2" fontId="7" fillId="0" borderId="3" xfId="0" applyNumberFormat="1" applyFont="1" applyBorder="1"/>
    <xf numFmtId="165" fontId="7" fillId="6" borderId="14" xfId="4" applyNumberFormat="1" applyBorder="1">
      <alignment vertical="center"/>
    </xf>
    <xf numFmtId="165" fontId="7" fillId="6" borderId="13" xfId="4" applyNumberFormat="1" applyBorder="1">
      <alignment vertical="center"/>
    </xf>
    <xf numFmtId="165" fontId="7" fillId="6" borderId="15" xfId="4" applyNumberFormat="1" applyBorder="1">
      <alignment vertical="center"/>
    </xf>
    <xf numFmtId="0" fontId="9" fillId="0" borderId="8" xfId="0" applyFont="1" applyBorder="1"/>
    <xf numFmtId="1" fontId="9" fillId="0" borderId="7" xfId="0" applyNumberFormat="1" applyFont="1" applyBorder="1"/>
    <xf numFmtId="1" fontId="9" fillId="0" borderId="8" xfId="0" applyNumberFormat="1" applyFont="1" applyBorder="1"/>
    <xf numFmtId="1" fontId="9" fillId="0" borderId="9" xfId="0" applyNumberFormat="1" applyFont="1" applyBorder="1"/>
    <xf numFmtId="0" fontId="9" fillId="0" borderId="1" xfId="0" applyFont="1"/>
    <xf numFmtId="1" fontId="9" fillId="0" borderId="2" xfId="0" applyNumberFormat="1" applyFont="1" applyBorder="1"/>
    <xf numFmtId="1" fontId="9" fillId="0" borderId="1" xfId="0" applyNumberFormat="1" applyFont="1"/>
    <xf numFmtId="1" fontId="9" fillId="0" borderId="3" xfId="0" applyNumberFormat="1" applyFont="1" applyBorder="1"/>
    <xf numFmtId="0" fontId="0" fillId="0" borderId="1" xfId="0" applyAlignment="1">
      <alignment horizontal="left" indent="1"/>
    </xf>
    <xf numFmtId="1" fontId="0" fillId="0" borderId="2" xfId="0" applyNumberFormat="1" applyBorder="1"/>
    <xf numFmtId="1" fontId="0" fillId="0" borderId="3" xfId="0" applyNumberFormat="1" applyBorder="1"/>
    <xf numFmtId="0" fontId="0" fillId="0" borderId="2" xfId="0" applyBorder="1"/>
    <xf numFmtId="0" fontId="0" fillId="0" borderId="3" xfId="0" applyBorder="1"/>
    <xf numFmtId="0" fontId="7" fillId="0" borderId="1" xfId="0" applyFont="1"/>
    <xf numFmtId="0" fontId="7" fillId="0" borderId="3" xfId="0" applyFont="1" applyBorder="1"/>
    <xf numFmtId="1" fontId="11" fillId="0" borderId="2" xfId="0" applyNumberFormat="1" applyFont="1" applyBorder="1"/>
    <xf numFmtId="1" fontId="11" fillId="0" borderId="1" xfId="0" applyNumberFormat="1" applyFont="1"/>
    <xf numFmtId="1" fontId="11" fillId="0" borderId="3" xfId="0" applyNumberFormat="1" applyFont="1" applyBorder="1"/>
    <xf numFmtId="1" fontId="7" fillId="0" borderId="2" xfId="0" applyNumberFormat="1" applyFont="1" applyBorder="1" applyAlignment="1">
      <alignment horizontal="right"/>
    </xf>
    <xf numFmtId="1" fontId="7" fillId="0" borderId="1" xfId="0" applyNumberFormat="1" applyFont="1" applyAlignment="1">
      <alignment horizontal="right"/>
    </xf>
    <xf numFmtId="1" fontId="7" fillId="0" borderId="3" xfId="0" applyNumberFormat="1" applyFont="1" applyBorder="1" applyAlignment="1">
      <alignment horizontal="right"/>
    </xf>
    <xf numFmtId="0" fontId="12" fillId="0" borderId="1" xfId="0" applyFont="1" applyAlignment="1">
      <alignment horizontal="left" indent="1"/>
    </xf>
    <xf numFmtId="1" fontId="7" fillId="0" borderId="2" xfId="0" applyNumberFormat="1" applyFont="1" applyBorder="1"/>
    <xf numFmtId="1" fontId="7" fillId="0" borderId="3" xfId="0" applyNumberFormat="1" applyFont="1" applyBorder="1"/>
    <xf numFmtId="0" fontId="12" fillId="0" borderId="1" xfId="0" applyFont="1"/>
    <xf numFmtId="2" fontId="0" fillId="0" borderId="2" xfId="0" applyNumberFormat="1" applyBorder="1"/>
    <xf numFmtId="2" fontId="0" fillId="0" borderId="3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8" xfId="0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  <xf numFmtId="0" fontId="9" fillId="0" borderId="17" xfId="0" applyFont="1" applyBorder="1"/>
    <xf numFmtId="1" fontId="9" fillId="0" borderId="18" xfId="0" applyNumberFormat="1" applyFont="1" applyBorder="1"/>
    <xf numFmtId="1" fontId="9" fillId="0" borderId="17" xfId="0" applyNumberFormat="1" applyFont="1" applyBorder="1"/>
    <xf numFmtId="1" fontId="9" fillId="0" borderId="19" xfId="0" applyNumberFormat="1" applyFont="1" applyBorder="1"/>
    <xf numFmtId="1" fontId="13" fillId="0" borderId="2" xfId="0" applyNumberFormat="1" applyFont="1" applyBorder="1" applyAlignment="1">
      <alignment horizontal="right"/>
    </xf>
    <xf numFmtId="1" fontId="11" fillId="0" borderId="10" xfId="0" applyNumberFormat="1" applyFont="1" applyBorder="1"/>
    <xf numFmtId="1" fontId="11" fillId="0" borderId="11" xfId="0" applyNumberFormat="1" applyFont="1" applyBorder="1"/>
    <xf numFmtId="1" fontId="11" fillId="0" borderId="12" xfId="0" applyNumberFormat="1" applyFont="1" applyBorder="1"/>
    <xf numFmtId="0" fontId="0" fillId="0" borderId="20" xfId="0" applyBorder="1"/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12" fillId="0" borderId="1" xfId="0" applyFont="1" applyAlignment="1">
      <alignment horizontal="left" indent="2"/>
    </xf>
    <xf numFmtId="1" fontId="12" fillId="0" borderId="2" xfId="0" applyNumberFormat="1" applyFont="1" applyBorder="1"/>
    <xf numFmtId="1" fontId="12" fillId="0" borderId="1" xfId="0" applyNumberFormat="1" applyFont="1"/>
    <xf numFmtId="1" fontId="12" fillId="0" borderId="3" xfId="0" applyNumberFormat="1" applyFont="1" applyBorder="1"/>
    <xf numFmtId="1" fontId="9" fillId="0" borderId="10" xfId="0" applyNumberFormat="1" applyFont="1" applyBorder="1"/>
    <xf numFmtId="1" fontId="9" fillId="0" borderId="11" xfId="0" applyNumberFormat="1" applyFont="1" applyBorder="1"/>
    <xf numFmtId="1" fontId="9" fillId="0" borderId="12" xfId="0" applyNumberFormat="1" applyFont="1" applyBorder="1"/>
    <xf numFmtId="1" fontId="13" fillId="0" borderId="2" xfId="0" applyNumberFormat="1" applyFont="1" applyBorder="1"/>
    <xf numFmtId="0" fontId="3" fillId="2" borderId="1" xfId="2">
      <alignment vertical="center"/>
    </xf>
    <xf numFmtId="0" fontId="8" fillId="2" borderId="1" xfId="2" applyFont="1">
      <alignment vertical="center"/>
    </xf>
    <xf numFmtId="0" fontId="0" fillId="9" borderId="1" xfId="0" applyFill="1"/>
    <xf numFmtId="0" fontId="0" fillId="8" borderId="1" xfId="0" applyFill="1"/>
    <xf numFmtId="10" fontId="0" fillId="0" borderId="1" xfId="0" applyNumberFormat="1"/>
    <xf numFmtId="168" fontId="0" fillId="0" borderId="1" xfId="0" applyNumberFormat="1"/>
    <xf numFmtId="3" fontId="0" fillId="0" borderId="1" xfId="0" applyNumberFormat="1"/>
    <xf numFmtId="10" fontId="7" fillId="0" borderId="1" xfId="0" applyNumberFormat="1" applyFont="1"/>
    <xf numFmtId="168" fontId="7" fillId="0" borderId="1" xfId="0" applyNumberFormat="1" applyFont="1"/>
    <xf numFmtId="0" fontId="0" fillId="0" borderId="11" xfId="0" applyBorder="1"/>
    <xf numFmtId="0" fontId="24" fillId="0" borderId="1" xfId="0" applyFont="1"/>
    <xf numFmtId="0" fontId="25" fillId="0" borderId="1" xfId="0" applyFont="1"/>
    <xf numFmtId="3" fontId="9" fillId="0" borderId="1" xfId="0" applyNumberFormat="1" applyFont="1"/>
    <xf numFmtId="3" fontId="9" fillId="0" borderId="11" xfId="0" applyNumberFormat="1" applyFont="1" applyBorder="1"/>
    <xf numFmtId="0" fontId="9" fillId="0" borderId="10" xfId="0" applyFont="1" applyBorder="1"/>
    <xf numFmtId="3" fontId="9" fillId="0" borderId="12" xfId="0" applyNumberFormat="1" applyFont="1" applyBorder="1"/>
    <xf numFmtId="3" fontId="0" fillId="0" borderId="3" xfId="0" applyNumberFormat="1" applyBorder="1"/>
    <xf numFmtId="169" fontId="0" fillId="0" borderId="1" xfId="0" applyNumberFormat="1"/>
    <xf numFmtId="169" fontId="0" fillId="0" borderId="3" xfId="0" applyNumberFormat="1" applyBorder="1"/>
    <xf numFmtId="0" fontId="6" fillId="5" borderId="5" xfId="3" applyBorder="1">
      <alignment vertical="center"/>
    </xf>
    <xf numFmtId="0" fontId="6" fillId="5" borderId="6" xfId="3" applyBorder="1">
      <alignment vertical="center"/>
    </xf>
    <xf numFmtId="10" fontId="0" fillId="0" borderId="3" xfId="0" applyNumberFormat="1" applyBorder="1"/>
    <xf numFmtId="0" fontId="0" fillId="0" borderId="2" xfId="0" applyBorder="1" applyAlignment="1">
      <alignment horizontal="left" indent="1"/>
    </xf>
    <xf numFmtId="10" fontId="7" fillId="0" borderId="3" xfId="0" applyNumberFormat="1" applyFont="1" applyBorder="1"/>
    <xf numFmtId="168" fontId="7" fillId="0" borderId="3" xfId="0" applyNumberFormat="1" applyFont="1" applyBorder="1"/>
    <xf numFmtId="0" fontId="0" fillId="0" borderId="10" xfId="0" applyBorder="1"/>
    <xf numFmtId="168" fontId="0" fillId="0" borderId="11" xfId="0" applyNumberFormat="1" applyBorder="1"/>
    <xf numFmtId="168" fontId="0" fillId="0" borderId="12" xfId="0" applyNumberFormat="1" applyBorder="1"/>
    <xf numFmtId="0" fontId="9" fillId="0" borderId="2" xfId="0" applyFont="1" applyBorder="1"/>
    <xf numFmtId="10" fontId="9" fillId="0" borderId="1" xfId="0" applyNumberFormat="1" applyFont="1"/>
    <xf numFmtId="10" fontId="9" fillId="0" borderId="3" xfId="0" applyNumberFormat="1" applyFont="1" applyBorder="1"/>
    <xf numFmtId="10" fontId="9" fillId="0" borderId="11" xfId="0" applyNumberFormat="1" applyFont="1" applyBorder="1"/>
    <xf numFmtId="10" fontId="5" fillId="0" borderId="11" xfId="0" applyNumberFormat="1" applyFont="1" applyBorder="1"/>
    <xf numFmtId="10" fontId="5" fillId="0" borderId="12" xfId="0" applyNumberFormat="1" applyFont="1" applyBorder="1"/>
    <xf numFmtId="0" fontId="8" fillId="2" borderId="2" xfId="2" applyFont="1" applyBorder="1">
      <alignment vertical="center"/>
    </xf>
    <xf numFmtId="0" fontId="12" fillId="0" borderId="2" xfId="0" applyFont="1" applyBorder="1" applyAlignment="1">
      <alignment horizontal="left" indent="1"/>
    </xf>
    <xf numFmtId="10" fontId="12" fillId="0" borderId="1" xfId="0" applyNumberFormat="1" applyFont="1"/>
    <xf numFmtId="0" fontId="8" fillId="2" borderId="3" xfId="2" applyFont="1" applyBorder="1">
      <alignment vertical="center"/>
    </xf>
    <xf numFmtId="3" fontId="9" fillId="0" borderId="3" xfId="0" applyNumberFormat="1" applyFont="1" applyBorder="1"/>
    <xf numFmtId="10" fontId="12" fillId="0" borderId="3" xfId="0" applyNumberFormat="1" applyFont="1" applyBorder="1"/>
    <xf numFmtId="168" fontId="0" fillId="0" borderId="3" xfId="0" applyNumberFormat="1" applyBorder="1"/>
    <xf numFmtId="0" fontId="3" fillId="3" borderId="2" xfId="2" applyFill="1" applyBorder="1">
      <alignment vertical="center"/>
    </xf>
    <xf numFmtId="3" fontId="9" fillId="0" borderId="2" xfId="0" applyNumberFormat="1" applyFont="1" applyBorder="1"/>
    <xf numFmtId="10" fontId="12" fillId="0" borderId="2" xfId="0" applyNumberFormat="1" applyFont="1" applyBorder="1"/>
    <xf numFmtId="3" fontId="9" fillId="0" borderId="10" xfId="0" applyNumberFormat="1" applyFont="1" applyBorder="1"/>
    <xf numFmtId="3" fontId="0" fillId="0" borderId="2" xfId="0" applyNumberFormat="1" applyBorder="1"/>
    <xf numFmtId="169" fontId="0" fillId="0" borderId="2" xfId="0" applyNumberFormat="1" applyBorder="1"/>
    <xf numFmtId="10" fontId="0" fillId="0" borderId="2" xfId="0" applyNumberFormat="1" applyBorder="1"/>
    <xf numFmtId="10" fontId="9" fillId="0" borderId="2" xfId="0" applyNumberFormat="1" applyFont="1" applyBorder="1"/>
    <xf numFmtId="10" fontId="5" fillId="0" borderId="10" xfId="0" applyNumberFormat="1" applyFont="1" applyBorder="1"/>
    <xf numFmtId="10" fontId="7" fillId="0" borderId="2" xfId="0" applyNumberFormat="1" applyFont="1" applyBorder="1"/>
    <xf numFmtId="168" fontId="7" fillId="0" borderId="2" xfId="0" applyNumberFormat="1" applyFont="1" applyBorder="1"/>
    <xf numFmtId="168" fontId="0" fillId="0" borderId="10" xfId="0" applyNumberFormat="1" applyBorder="1"/>
    <xf numFmtId="168" fontId="0" fillId="0" borderId="2" xfId="0" applyNumberFormat="1" applyBorder="1"/>
    <xf numFmtId="0" fontId="27" fillId="5" borderId="31" xfId="3" applyFont="1" applyBorder="1">
      <alignment vertical="center"/>
    </xf>
    <xf numFmtId="0" fontId="27" fillId="5" borderId="32" xfId="3" applyFont="1" applyBorder="1">
      <alignment vertical="center"/>
    </xf>
    <xf numFmtId="0" fontId="27" fillId="5" borderId="33" xfId="3" applyFont="1" applyBorder="1">
      <alignment vertical="center"/>
    </xf>
    <xf numFmtId="14" fontId="6" fillId="5" borderId="3" xfId="3" applyNumberFormat="1" applyBorder="1">
      <alignment vertical="center"/>
    </xf>
    <xf numFmtId="0" fontId="28" fillId="0" borderId="1" xfId="0" applyFont="1"/>
    <xf numFmtId="0" fontId="29" fillId="0" borderId="1" xfId="0" applyFont="1"/>
    <xf numFmtId="0" fontId="11" fillId="0" borderId="1" xfId="0" applyFont="1"/>
    <xf numFmtId="168" fontId="9" fillId="0" borderId="1" xfId="0" applyNumberFormat="1" applyFont="1"/>
    <xf numFmtId="0" fontId="4" fillId="2" borderId="1" xfId="2" applyFont="1">
      <alignment vertical="center"/>
    </xf>
    <xf numFmtId="168" fontId="9" fillId="0" borderId="17" xfId="0" applyNumberFormat="1" applyFont="1" applyBorder="1"/>
    <xf numFmtId="1" fontId="31" fillId="0" borderId="2" xfId="0" applyNumberFormat="1" applyFont="1" applyBorder="1"/>
    <xf numFmtId="1" fontId="31" fillId="0" borderId="1" xfId="0" applyNumberFormat="1" applyFont="1"/>
    <xf numFmtId="1" fontId="31" fillId="0" borderId="3" xfId="0" applyNumberFormat="1" applyFont="1" applyBorder="1"/>
    <xf numFmtId="1" fontId="30" fillId="0" borderId="2" xfId="0" applyNumberFormat="1" applyFont="1" applyBorder="1"/>
    <xf numFmtId="1" fontId="30" fillId="0" borderId="1" xfId="0" applyNumberFormat="1" applyFont="1"/>
    <xf numFmtId="1" fontId="30" fillId="0" borderId="3" xfId="0" applyNumberFormat="1" applyFont="1" applyBorder="1"/>
    <xf numFmtId="0" fontId="0" fillId="3" borderId="7" xfId="0" applyFill="1" applyBorder="1"/>
    <xf numFmtId="0" fontId="9" fillId="0" borderId="3" xfId="0" applyFont="1" applyBorder="1"/>
    <xf numFmtId="0" fontId="9" fillId="0" borderId="13" xfId="0" applyFont="1" applyBorder="1"/>
    <xf numFmtId="0" fontId="0" fillId="0" borderId="14" xfId="0" applyBorder="1"/>
    <xf numFmtId="0" fontId="0" fillId="0" borderId="15" xfId="0" applyBorder="1"/>
    <xf numFmtId="0" fontId="3" fillId="2" borderId="3" xfId="2" applyBorder="1">
      <alignment vertical="center"/>
    </xf>
    <xf numFmtId="0" fontId="0" fillId="0" borderId="13" xfId="0" applyBorder="1"/>
    <xf numFmtId="0" fontId="0" fillId="0" borderId="12" xfId="0" applyBorder="1"/>
    <xf numFmtId="165" fontId="7" fillId="0" borderId="11" xfId="0" applyNumberFormat="1" applyFont="1" applyBorder="1"/>
    <xf numFmtId="165" fontId="7" fillId="0" borderId="12" xfId="0" applyNumberFormat="1" applyFont="1" applyBorder="1"/>
    <xf numFmtId="165" fontId="13" fillId="0" borderId="10" xfId="0" applyNumberFormat="1" applyFont="1" applyBorder="1"/>
    <xf numFmtId="165" fontId="7" fillId="0" borderId="10" xfId="0" applyNumberFormat="1" applyFont="1" applyBorder="1"/>
    <xf numFmtId="0" fontId="8" fillId="2" borderId="7" xfId="2" applyFont="1" applyBorder="1">
      <alignment vertical="center"/>
    </xf>
    <xf numFmtId="0" fontId="8" fillId="2" borderId="8" xfId="2" applyFont="1" applyBorder="1">
      <alignment vertical="center"/>
    </xf>
    <xf numFmtId="0" fontId="8" fillId="2" borderId="9" xfId="2" applyFont="1" applyBorder="1">
      <alignment vertical="center"/>
    </xf>
    <xf numFmtId="0" fontId="6" fillId="5" borderId="4" xfId="3" applyAlignment="1">
      <alignment horizontal="right" vertical="center"/>
    </xf>
    <xf numFmtId="0" fontId="6" fillId="5" borderId="6" xfId="3" applyBorder="1" applyAlignment="1">
      <alignment horizontal="right" vertical="center"/>
    </xf>
    <xf numFmtId="10" fontId="7" fillId="6" borderId="1" xfId="4" applyNumberFormat="1">
      <alignment vertical="center"/>
    </xf>
    <xf numFmtId="10" fontId="7" fillId="6" borderId="3" xfId="4" applyNumberFormat="1" applyBorder="1">
      <alignment vertical="center"/>
    </xf>
    <xf numFmtId="10" fontId="7" fillId="6" borderId="12" xfId="4" applyNumberFormat="1" applyBorder="1">
      <alignment vertical="center"/>
    </xf>
    <xf numFmtId="0" fontId="7" fillId="6" borderId="12" xfId="4" applyNumberFormat="1" applyBorder="1">
      <alignment vertical="center"/>
    </xf>
    <xf numFmtId="0" fontId="8" fillId="2" borderId="11" xfId="2" applyFont="1" applyBorder="1">
      <alignment vertical="center"/>
    </xf>
    <xf numFmtId="0" fontId="6" fillId="5" borderId="1" xfId="3" applyBorder="1" applyAlignment="1">
      <alignment horizontal="right" vertical="center"/>
    </xf>
    <xf numFmtId="0" fontId="6" fillId="5" borderId="3" xfId="3" applyBorder="1" applyAlignment="1">
      <alignment horizontal="right" vertical="center"/>
    </xf>
    <xf numFmtId="10" fontId="7" fillId="0" borderId="1" xfId="4" applyNumberFormat="1" applyFill="1">
      <alignment vertical="center"/>
    </xf>
    <xf numFmtId="10" fontId="7" fillId="0" borderId="11" xfId="4" applyNumberFormat="1" applyFill="1" applyBorder="1">
      <alignment vertical="center"/>
    </xf>
    <xf numFmtId="0" fontId="8" fillId="11" borderId="1" xfId="0" applyFont="1" applyFill="1" applyAlignment="1">
      <alignment vertical="center"/>
    </xf>
    <xf numFmtId="14" fontId="6" fillId="12" borderId="4" xfId="0" applyNumberFormat="1" applyFont="1" applyFill="1" applyBorder="1" applyAlignment="1">
      <alignment vertical="center"/>
    </xf>
    <xf numFmtId="0" fontId="28" fillId="0" borderId="1" xfId="0" applyFont="1" applyAlignment="1">
      <alignment vertical="center"/>
    </xf>
    <xf numFmtId="168" fontId="9" fillId="0" borderId="8" xfId="0" applyNumberFormat="1" applyFont="1" applyBorder="1"/>
    <xf numFmtId="2" fontId="6" fillId="0" borderId="1" xfId="0" applyNumberFormat="1" applyFont="1" applyAlignment="1">
      <alignment vertical="center"/>
    </xf>
    <xf numFmtId="0" fontId="9" fillId="7" borderId="13" xfId="5" applyFont="1" applyBorder="1"/>
    <xf numFmtId="0" fontId="26" fillId="7" borderId="13" xfId="5" applyFont="1" applyBorder="1"/>
    <xf numFmtId="172" fontId="0" fillId="0" borderId="1" xfId="0" applyNumberFormat="1"/>
    <xf numFmtId="171" fontId="7" fillId="6" borderId="3" xfId="4" applyNumberFormat="1" applyBorder="1">
      <alignment vertical="center"/>
    </xf>
    <xf numFmtId="171" fontId="7" fillId="6" borderId="12" xfId="4" applyNumberFormat="1" applyBorder="1">
      <alignment vertical="center"/>
    </xf>
    <xf numFmtId="168" fontId="7" fillId="6" borderId="12" xfId="4" applyNumberFormat="1" applyBorder="1">
      <alignment vertical="center"/>
    </xf>
    <xf numFmtId="168" fontId="7" fillId="6" borderId="3" xfId="4" applyNumberFormat="1" applyBorder="1">
      <alignment vertical="center"/>
    </xf>
    <xf numFmtId="14" fontId="6" fillId="12" borderId="5" xfId="0" applyNumberFormat="1" applyFont="1" applyFill="1" applyBorder="1" applyAlignment="1">
      <alignment vertical="center"/>
    </xf>
    <xf numFmtId="14" fontId="6" fillId="12" borderId="6" xfId="0" applyNumberFormat="1" applyFont="1" applyFill="1" applyBorder="1" applyAlignment="1">
      <alignment vertical="center"/>
    </xf>
    <xf numFmtId="2" fontId="6" fillId="0" borderId="2" xfId="0" applyNumberFormat="1" applyFont="1" applyBorder="1" applyAlignment="1">
      <alignment vertical="center"/>
    </xf>
    <xf numFmtId="2" fontId="6" fillId="0" borderId="3" xfId="0" applyNumberFormat="1" applyFont="1" applyBorder="1" applyAlignment="1">
      <alignment vertical="center"/>
    </xf>
    <xf numFmtId="168" fontId="9" fillId="0" borderId="2" xfId="0" applyNumberFormat="1" applyFont="1" applyBorder="1"/>
    <xf numFmtId="168" fontId="9" fillId="0" borderId="3" xfId="0" applyNumberFormat="1" applyFont="1" applyBorder="1"/>
    <xf numFmtId="168" fontId="11" fillId="0" borderId="2" xfId="0" applyNumberFormat="1" applyFont="1" applyBorder="1"/>
    <xf numFmtId="168" fontId="11" fillId="0" borderId="1" xfId="0" applyNumberFormat="1" applyFont="1"/>
    <xf numFmtId="168" fontId="11" fillId="0" borderId="3" xfId="0" applyNumberFormat="1" applyFont="1" applyBorder="1"/>
    <xf numFmtId="168" fontId="9" fillId="0" borderId="7" xfId="0" applyNumberFormat="1" applyFont="1" applyBorder="1"/>
    <xf numFmtId="168" fontId="9" fillId="0" borderId="9" xfId="0" applyNumberFormat="1" applyFont="1" applyBorder="1"/>
    <xf numFmtId="168" fontId="9" fillId="0" borderId="19" xfId="0" applyNumberFormat="1" applyFont="1" applyBorder="1"/>
    <xf numFmtId="168" fontId="9" fillId="0" borderId="18" xfId="0" applyNumberFormat="1" applyFont="1" applyBorder="1"/>
    <xf numFmtId="14" fontId="6" fillId="3" borderId="4" xfId="3" applyNumberFormat="1" applyFill="1">
      <alignment vertical="center"/>
    </xf>
    <xf numFmtId="168" fontId="29" fillId="0" borderId="2" xfId="0" applyNumberFormat="1" applyFont="1" applyBorder="1"/>
    <xf numFmtId="168" fontId="29" fillId="0" borderId="1" xfId="0" applyNumberFormat="1" applyFont="1"/>
    <xf numFmtId="168" fontId="29" fillId="0" borderId="3" xfId="0" applyNumberFormat="1" applyFont="1" applyBorder="1"/>
    <xf numFmtId="171" fontId="30" fillId="0" borderId="1" xfId="0" applyNumberFormat="1" applyFont="1"/>
    <xf numFmtId="173" fontId="30" fillId="0" borderId="1" xfId="0" applyNumberFormat="1" applyFont="1"/>
    <xf numFmtId="10" fontId="9" fillId="7" borderId="39" xfId="5" applyNumberFormat="1" applyFont="1" applyBorder="1" applyAlignment="1"/>
    <xf numFmtId="171" fontId="7" fillId="6" borderId="1" xfId="4" applyNumberFormat="1">
      <alignment vertical="center"/>
    </xf>
    <xf numFmtId="10" fontId="9" fillId="7" borderId="40" xfId="5" applyNumberFormat="1" applyFont="1" applyBorder="1" applyAlignment="1"/>
    <xf numFmtId="0" fontId="9" fillId="0" borderId="9" xfId="0" applyFont="1" applyBorder="1"/>
    <xf numFmtId="2" fontId="11" fillId="0" borderId="2" xfId="0" applyNumberFormat="1" applyFont="1" applyBorder="1"/>
    <xf numFmtId="2" fontId="11" fillId="0" borderId="1" xfId="0" applyNumberFormat="1" applyFont="1"/>
    <xf numFmtId="2" fontId="11" fillId="0" borderId="3" xfId="0" applyNumberFormat="1" applyFont="1" applyBorder="1"/>
    <xf numFmtId="165" fontId="11" fillId="6" borderId="7" xfId="4" applyNumberFormat="1" applyFont="1" applyBorder="1">
      <alignment vertical="center"/>
    </xf>
    <xf numFmtId="165" fontId="11" fillId="6" borderId="8" xfId="4" applyNumberFormat="1" applyFont="1" applyBorder="1">
      <alignment vertical="center"/>
    </xf>
    <xf numFmtId="165" fontId="11" fillId="6" borderId="9" xfId="4" applyNumberFormat="1" applyFont="1" applyBorder="1">
      <alignment vertical="center"/>
    </xf>
    <xf numFmtId="168" fontId="30" fillId="0" borderId="2" xfId="0" applyNumberFormat="1" applyFont="1" applyBorder="1"/>
    <xf numFmtId="168" fontId="30" fillId="0" borderId="1" xfId="0" applyNumberFormat="1" applyFont="1"/>
    <xf numFmtId="168" fontId="30" fillId="0" borderId="3" xfId="0" applyNumberFormat="1" applyFont="1" applyBorder="1"/>
    <xf numFmtId="1" fontId="7" fillId="0" borderId="7" xfId="0" applyNumberFormat="1" applyFont="1" applyBorder="1"/>
    <xf numFmtId="1" fontId="7" fillId="0" borderId="8" xfId="0" applyNumberFormat="1" applyFont="1" applyBorder="1"/>
    <xf numFmtId="1" fontId="7" fillId="0" borderId="9" xfId="0" applyNumberFormat="1" applyFont="1" applyBorder="1"/>
    <xf numFmtId="9" fontId="7" fillId="6" borderId="12" xfId="4" applyNumberFormat="1" applyBorder="1">
      <alignment vertical="center"/>
    </xf>
    <xf numFmtId="10" fontId="7" fillId="13" borderId="11" xfId="4" applyNumberFormat="1" applyFill="1" applyBorder="1">
      <alignment vertical="center"/>
    </xf>
    <xf numFmtId="2" fontId="9" fillId="0" borderId="17" xfId="0" applyNumberFormat="1" applyFont="1" applyBorder="1"/>
    <xf numFmtId="2" fontId="9" fillId="0" borderId="1" xfId="0" applyNumberFormat="1" applyFont="1"/>
    <xf numFmtId="0" fontId="9" fillId="0" borderId="41" xfId="0" applyFont="1" applyBorder="1"/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6" fillId="5" borderId="5" xfId="3" applyBorder="1" applyAlignment="1">
      <alignment horizontal="right" vertical="center"/>
    </xf>
    <xf numFmtId="0" fontId="6" fillId="5" borderId="4" xfId="3" applyAlignment="1">
      <alignment horizontal="right" vertical="center"/>
    </xf>
    <xf numFmtId="0" fontId="6" fillId="5" borderId="6" xfId="3" applyBorder="1" applyAlignment="1">
      <alignment horizontal="right" vertical="center"/>
    </xf>
    <xf numFmtId="0" fontId="9" fillId="10" borderId="42" xfId="0" applyFont="1" applyFill="1" applyBorder="1" applyAlignment="1">
      <alignment horizontal="center"/>
    </xf>
    <xf numFmtId="0" fontId="9" fillId="10" borderId="43" xfId="0" applyFont="1" applyFill="1" applyBorder="1" applyAlignment="1">
      <alignment horizontal="center"/>
    </xf>
    <xf numFmtId="0" fontId="5" fillId="3" borderId="1" xfId="2" applyFont="1" applyFill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3" fillId="4" borderId="1" xfId="2" applyFill="1" applyAlignment="1">
      <alignment horizontal="center" vertical="center"/>
    </xf>
    <xf numFmtId="0" fontId="3" fillId="4" borderId="3" xfId="2" applyFill="1" applyBorder="1" applyAlignment="1">
      <alignment horizontal="center" vertical="center"/>
    </xf>
    <xf numFmtId="0" fontId="9" fillId="4" borderId="1" xfId="0" applyFont="1" applyFill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6" fillId="10" borderId="34" xfId="5" applyFont="1" applyFill="1" applyBorder="1" applyAlignment="1">
      <alignment horizontal="center" vertical="center"/>
    </xf>
    <xf numFmtId="0" fontId="6" fillId="10" borderId="35" xfId="5" applyFont="1" applyFill="1" applyBorder="1" applyAlignment="1">
      <alignment horizontal="center" vertical="center"/>
    </xf>
    <xf numFmtId="0" fontId="6" fillId="10" borderId="36" xfId="5" applyFont="1" applyFill="1" applyBorder="1" applyAlignment="1">
      <alignment horizontal="center" vertical="center"/>
    </xf>
    <xf numFmtId="0" fontId="6" fillId="10" borderId="37" xfId="5" applyFont="1" applyFill="1" applyBorder="1" applyAlignment="1">
      <alignment horizontal="center" vertical="center"/>
    </xf>
    <xf numFmtId="0" fontId="6" fillId="10" borderId="38" xfId="5" applyFont="1" applyFill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/>
    </xf>
    <xf numFmtId="1" fontId="12" fillId="0" borderId="1" xfId="0" applyNumberFormat="1" applyFont="1" applyAlignment="1">
      <alignment horizontal="center"/>
    </xf>
    <xf numFmtId="1" fontId="12" fillId="0" borderId="3" xfId="0" applyNumberFormat="1" applyFont="1" applyBorder="1" applyAlignment="1">
      <alignment horizontal="center"/>
    </xf>
    <xf numFmtId="0" fontId="8" fillId="2" borderId="1" xfId="2" applyFont="1" applyAlignment="1">
      <alignment horizontal="left" vertical="center"/>
    </xf>
    <xf numFmtId="0" fontId="5" fillId="4" borderId="11" xfId="2" applyFont="1" applyFill="1" applyBorder="1" applyAlignment="1">
      <alignment horizontal="center" vertical="center"/>
    </xf>
    <xf numFmtId="0" fontId="5" fillId="4" borderId="12" xfId="2" applyFont="1" applyFill="1" applyBorder="1" applyAlignment="1">
      <alignment horizontal="center" vertical="center"/>
    </xf>
    <xf numFmtId="1" fontId="10" fillId="7" borderId="23" xfId="5" applyNumberFormat="1" applyBorder="1" applyAlignment="1">
      <alignment horizontal="center"/>
    </xf>
    <xf numFmtId="0" fontId="4" fillId="2" borderId="1" xfId="2" applyFont="1" applyAlignment="1">
      <alignment horizontal="left" vertical="center"/>
    </xf>
    <xf numFmtId="0" fontId="5" fillId="4" borderId="3" xfId="2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9" fillId="3" borderId="1" xfId="0" applyFont="1" applyFill="1" applyAlignment="1">
      <alignment horizontal="center"/>
    </xf>
    <xf numFmtId="0" fontId="0" fillId="0" borderId="1" xfId="0"/>
    <xf numFmtId="0" fontId="0" fillId="0" borderId="1" xfId="0" applyAlignment="1">
      <alignment horizontal="center"/>
    </xf>
    <xf numFmtId="10" fontId="32" fillId="7" borderId="39" xfId="5" applyNumberFormat="1" applyFont="1" applyBorder="1" applyAlignment="1">
      <alignment horizontal="right" vertical="center"/>
    </xf>
    <xf numFmtId="10" fontId="32" fillId="7" borderId="13" xfId="5" applyNumberFormat="1" applyFont="1" applyBorder="1" applyAlignment="1">
      <alignment horizontal="right" vertical="center"/>
    </xf>
    <xf numFmtId="10" fontId="32" fillId="7" borderId="40" xfId="5" applyNumberFormat="1" applyFont="1" applyBorder="1" applyAlignment="1">
      <alignment horizontal="right" vertical="center"/>
    </xf>
    <xf numFmtId="0" fontId="33" fillId="0" borderId="1" xfId="0" applyFont="1"/>
    <xf numFmtId="0" fontId="34" fillId="0" borderId="1" xfId="1" applyFont="1"/>
    <xf numFmtId="0" fontId="27" fillId="5" borderId="4" xfId="3" applyFont="1">
      <alignment vertical="center"/>
    </xf>
  </cellXfs>
  <cellStyles count="20">
    <cellStyle name="Cross-sheet link" xfId="6" xr:uid="{81BC873D-4AAE-B94A-A7A5-97DF1826E59F}"/>
    <cellStyle name="drivers" xfId="7" xr:uid="{15D7687C-5970-DB4C-94EE-11CCDCC5964E}"/>
    <cellStyle name="External link" xfId="8" xr:uid="{F45AF977-AEC1-2D43-8069-46A63658C5C9}"/>
    <cellStyle name="Final total" xfId="9" xr:uid="{50EE4430-EC79-4540-A35E-21F18F7A08E5}"/>
    <cellStyle name="Final total 2" xfId="10" xr:uid="{9911B8E0-FA1B-B540-84E5-2E95310A55A2}"/>
    <cellStyle name="Formula" xfId="11" xr:uid="{79AA49C0-B520-C841-8F51-8124DD454505}"/>
    <cellStyle name="hardcode2" xfId="4" xr:uid="{4C924D29-3873-9C4A-9BD8-DD8D743A3C05}"/>
    <cellStyle name="Highlighted row" xfId="5" xr:uid="{BA283039-DD61-834A-8853-5289F114E376}"/>
    <cellStyle name="Hyperlink" xfId="1" builtinId="8"/>
    <cellStyle name="Indented row label" xfId="12" xr:uid="{6CC65DC5-76A3-A640-9736-437E9E462456}"/>
    <cellStyle name="indented submetric" xfId="13" xr:uid="{293E0B94-625E-E84C-A801-07E67DFADEEA}"/>
    <cellStyle name="Key Output" xfId="14" xr:uid="{F3400479-4BDC-E64A-B720-0BC9241CCAA1}"/>
    <cellStyle name="Main Title" xfId="15" xr:uid="{FFC18F7F-BCC0-664C-9A7B-B79A97A3903D}"/>
    <cellStyle name="Normal" xfId="0" builtinId="0" customBuiltin="1"/>
    <cellStyle name="Normal 2" xfId="16" xr:uid="{FD203287-FE49-EC41-B7CF-EDF0C67D5C42}"/>
    <cellStyle name="percent1" xfId="17" xr:uid="{FE0E848B-8C5E-F241-8131-0F4C48B7A74F}"/>
    <cellStyle name="Section Header" xfId="3" xr:uid="{C7C7C691-E83D-ED4C-8F04-A4D7BFE6FF31}"/>
    <cellStyle name="SECTIONHEADER" xfId="2" xr:uid="{4B7B90D7-52E2-354A-894B-092FFC5D01D9}"/>
    <cellStyle name="Subtotal" xfId="18" xr:uid="{6833C19F-DC1C-C64E-96E9-9A337BA7B583}"/>
    <cellStyle name="Warning check" xfId="19" xr:uid="{39B6CAC2-7611-7B4F-950B-A7DA689DF5F1}"/>
  </cellStyles>
  <dxfs count="0"/>
  <tableStyles count="0" defaultTableStyle="TableStyleMedium2" defaultPivotStyle="PivotStyleLight16"/>
  <colors>
    <mruColors>
      <color rgb="FF00A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vanhassan/Downloads/New%20LBO.xlsx" TargetMode="External"/><Relationship Id="rId1" Type="http://schemas.openxmlformats.org/officeDocument/2006/relationships/externalLinkPath" Target="New%20L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vanhassan/Downloads/Investment_Banking_Projects/MEGA%20project/Olin&amp;Huntsman_Hassan.xlsm" TargetMode="External"/><Relationship Id="rId1" Type="http://schemas.openxmlformats.org/officeDocument/2006/relationships/externalLinkPath" Target="Investment_Banking_Projects/MEGA%20project/Olin&amp;Huntsman_Hass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of Contents"/>
      <sheetName val="Assumptions Tab"/>
      <sheetName val="H.B. Fuller BAS Operating"/>
      <sheetName val="BAS Carveout"/>
      <sheetName val="Sources And Uses"/>
      <sheetName val="Debt Schedule"/>
      <sheetName val="LBO Returns Exit"/>
      <sheetName val="Seller Impact"/>
      <sheetName val="Precedent Transactions"/>
      <sheetName val="old artifcats"/>
    </sheetNames>
    <sheetDataSet>
      <sheetData sheetId="0"/>
      <sheetData sheetId="1"/>
      <sheetData sheetId="2">
        <row r="7">
          <cell r="F7">
            <v>894.4</v>
          </cell>
          <cell r="G7">
            <v>930.17600000000004</v>
          </cell>
          <cell r="H7">
            <v>962.73216000000002</v>
          </cell>
          <cell r="I7">
            <v>996.42778559999999</v>
          </cell>
          <cell r="J7">
            <v>1026.3206191680001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of Contents"/>
      <sheetName val="Sheet1"/>
      <sheetName val="Main Page &amp; Assumptions"/>
      <sheetName val="Summary"/>
      <sheetName val="Pro Forma Financials"/>
      <sheetName val="Sources and Uses"/>
      <sheetName val="Pro Forma Opening BS"/>
      <sheetName val="PPA &amp; Goodwill"/>
      <sheetName val="Synergies &amp; Integration"/>
      <sheetName val="Transaction &amp; Refinancing Debt"/>
      <sheetName val="Pro Forma D&amp;A"/>
      <sheetName val="Olin Standalone"/>
      <sheetName val="Olin Debt"/>
      <sheetName val="Olin Equity Schedule"/>
      <sheetName val="Olin D&amp;A"/>
      <sheetName val="Huntsman Standalone"/>
      <sheetName val="Huntsman Equity Schedule"/>
      <sheetName val="Huntsman D&amp;A"/>
      <sheetName val="Huntsman Debt"/>
      <sheetName val="Olin Raw"/>
      <sheetName val="Huntsman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2">
          <cell r="F42">
            <v>0</v>
          </cell>
          <cell r="G42">
            <v>0</v>
          </cell>
          <cell r="H42">
            <v>0</v>
          </cell>
        </row>
      </sheetData>
      <sheetData sheetId="13">
        <row r="19">
          <cell r="M19">
            <v>114</v>
          </cell>
          <cell r="N19">
            <v>114</v>
          </cell>
          <cell r="O19">
            <v>114</v>
          </cell>
          <cell r="P19">
            <v>114</v>
          </cell>
          <cell r="Q19">
            <v>114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90346E10 - AllReports" connectionId="1" xr16:uid="{80ADED6F-A4EA-D74A-A14D-B69D1D3435E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ChatGPT">
  <a:themeElements>
    <a:clrScheme name="202124">
      <a:dk1>
        <a:srgbClr val="202024"/>
      </a:dk1>
      <a:lt1>
        <a:srgbClr val="FFFFFF"/>
      </a:lt1>
      <a:dk2>
        <a:srgbClr val="1F2C3C"/>
      </a:dk2>
      <a:lt2>
        <a:srgbClr val="DDE5EB"/>
      </a:lt2>
      <a:accent1>
        <a:srgbClr val="506479"/>
      </a:accent1>
      <a:accent2>
        <a:srgbClr val="777DB8"/>
      </a:accent2>
      <a:accent3>
        <a:srgbClr val="91B9D5"/>
      </a:accent3>
      <a:accent4>
        <a:srgbClr val="C3B96E"/>
      </a:accent4>
      <a:accent5>
        <a:srgbClr val="EAF2F8"/>
      </a:accent5>
      <a:accent6>
        <a:srgbClr val="F3EFD8"/>
      </a:accent6>
      <a:hlink>
        <a:srgbClr val="0563C1"/>
      </a:hlink>
      <a:folHlink>
        <a:srgbClr val="954F7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8407-063F-BA49-A54E-8B7181043924}">
  <dimension ref="B2:B17"/>
  <sheetViews>
    <sheetView showGridLines="0" tabSelected="1" workbookViewId="0"/>
  </sheetViews>
  <sheetFormatPr baseColWidth="10" defaultRowHeight="13" x14ac:dyDescent="0.15"/>
  <cols>
    <col min="2" max="2" width="28.33203125" customWidth="1"/>
  </cols>
  <sheetData>
    <row r="2" spans="2:2" ht="16" x14ac:dyDescent="0.15">
      <c r="B2" s="104" t="s">
        <v>505</v>
      </c>
    </row>
    <row r="3" spans="2:2" ht="16" x14ac:dyDescent="0.2">
      <c r="B3" s="288"/>
    </row>
    <row r="4" spans="2:2" ht="16" x14ac:dyDescent="0.2">
      <c r="B4" s="289" t="str">
        <f>HYPERLINK("#'Main Page &amp; Assumptions'!A1", "Main Page &amp; Assumptions")</f>
        <v>Main Page &amp; Assumptions</v>
      </c>
    </row>
    <row r="5" spans="2:2" ht="16" x14ac:dyDescent="0.2">
      <c r="B5" s="289" t="str">
        <f>HYPERLINK("#'Summary'!A1", "Summary")</f>
        <v>Summary</v>
      </c>
    </row>
    <row r="6" spans="2:2" ht="16" x14ac:dyDescent="0.2">
      <c r="B6" s="289"/>
    </row>
    <row r="7" spans="2:2" ht="16" x14ac:dyDescent="0.15">
      <c r="B7" s="290" t="s">
        <v>506</v>
      </c>
    </row>
    <row r="8" spans="2:2" ht="16" x14ac:dyDescent="0.2">
      <c r="B8" s="289" t="str">
        <f>HYPERLINK("#'Carveout DCFs'!A1", "Carveout DCFs")</f>
        <v>Carveout DCFs</v>
      </c>
    </row>
    <row r="9" spans="2:2" ht="16" x14ac:dyDescent="0.2">
      <c r="B9" s="289" t="str">
        <f>HYPERLINK("#'Standalone DCFs'!A1", "Standalone DCFs")</f>
        <v>Standalone DCFs</v>
      </c>
    </row>
    <row r="10" spans="2:2" ht="16" x14ac:dyDescent="0.2">
      <c r="B10" s="288"/>
    </row>
    <row r="11" spans="2:2" ht="16" x14ac:dyDescent="0.15">
      <c r="B11" s="290" t="s">
        <v>507</v>
      </c>
    </row>
    <row r="12" spans="2:2" ht="16" x14ac:dyDescent="0.2">
      <c r="B12" s="289" t="str">
        <f>HYPERLINK('Revenue Build'!A1,"Revenue Build")</f>
        <v>Revenue Build</v>
      </c>
    </row>
    <row r="13" spans="2:2" ht="16" x14ac:dyDescent="0.2">
      <c r="B13" s="289" t="str">
        <f>HYPERLINK('ISP Carve Out Costs'!A1,"ISP Carve Out Costs")</f>
        <v>ISP Carve Out Costs</v>
      </c>
    </row>
    <row r="14" spans="2:2" ht="16" x14ac:dyDescent="0.2">
      <c r="B14" s="289" t="str">
        <f>HYPERLINK('SLCA Financials (memo)'!A2,"SLCA Financials")</f>
        <v>SLCA Financials</v>
      </c>
    </row>
    <row r="15" spans="2:2" ht="16" x14ac:dyDescent="0.2">
      <c r="B15" s="289" t="str">
        <f>HYPERLINK('Individual Cash Flow'!A1,"Individual Cash Flow")</f>
        <v>Individual Cash Flow</v>
      </c>
    </row>
    <row r="16" spans="2:2" ht="16" x14ac:dyDescent="0.2">
      <c r="B16" s="289" t="str">
        <f>HYPERLINK('Public Comps'!A1,"Public Comps")</f>
        <v>Public Comps</v>
      </c>
    </row>
    <row r="17" spans="2:2" ht="16" x14ac:dyDescent="0.2">
      <c r="B17" s="289" t="str">
        <f>HYPERLINK('Site By Site Assignments'!A1, "Site By Site Assignments")</f>
        <v>Site By Site Assignments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65C8-B24B-2542-A263-C18E2432AC05}">
  <dimension ref="A1:S48"/>
  <sheetViews>
    <sheetView showGridLines="0" workbookViewId="0"/>
  </sheetViews>
  <sheetFormatPr baseColWidth="10" defaultRowHeight="13" x14ac:dyDescent="0.15"/>
  <cols>
    <col min="2" max="2" width="29" customWidth="1"/>
    <col min="3" max="4" width="10.83203125" customWidth="1"/>
  </cols>
  <sheetData>
    <row r="1" spans="1:19" x14ac:dyDescent="0.15">
      <c r="A1" s="3" t="str">
        <f>HYPERLINK("#'Table of Contents'!A1","&lt;--------")</f>
        <v>&lt;--------</v>
      </c>
    </row>
    <row r="2" spans="1:19" ht="18" x14ac:dyDescent="0.2">
      <c r="B2" s="114" t="s">
        <v>389</v>
      </c>
      <c r="C2" s="114"/>
    </row>
    <row r="4" spans="1:19" ht="16" x14ac:dyDescent="0.15">
      <c r="B4" s="104" t="s">
        <v>387</v>
      </c>
      <c r="C4" s="104"/>
      <c r="D4" s="194"/>
    </row>
    <row r="5" spans="1:19" x14ac:dyDescent="0.15">
      <c r="B5" s="179" t="s">
        <v>388</v>
      </c>
      <c r="C5" s="176"/>
      <c r="D5" s="193">
        <v>2</v>
      </c>
    </row>
    <row r="8" spans="1:19" ht="16" x14ac:dyDescent="0.15">
      <c r="B8" s="104" t="s">
        <v>390</v>
      </c>
      <c r="C8" s="104"/>
      <c r="D8" s="103"/>
      <c r="E8" s="103">
        <v>1</v>
      </c>
      <c r="F8" s="103"/>
      <c r="G8" s="103"/>
      <c r="H8" s="103"/>
      <c r="I8" s="103"/>
      <c r="J8" s="103">
        <v>2</v>
      </c>
      <c r="K8" s="103"/>
      <c r="L8" s="103"/>
      <c r="M8" s="103"/>
      <c r="N8" s="103"/>
      <c r="O8" s="103">
        <v>3</v>
      </c>
      <c r="P8" s="103"/>
      <c r="Q8" s="103"/>
      <c r="R8" s="103"/>
      <c r="S8" s="103"/>
    </row>
    <row r="9" spans="1:19" x14ac:dyDescent="0.15">
      <c r="B9" s="60"/>
      <c r="D9" s="61"/>
      <c r="E9" s="251" t="s">
        <v>391</v>
      </c>
      <c r="F9" s="252"/>
      <c r="G9" s="252"/>
      <c r="H9" s="252"/>
      <c r="I9" s="252"/>
      <c r="J9" s="251" t="s">
        <v>392</v>
      </c>
      <c r="K9" s="252"/>
      <c r="L9" s="252"/>
      <c r="M9" s="252"/>
      <c r="N9" s="252"/>
      <c r="O9" s="251" t="s">
        <v>393</v>
      </c>
      <c r="P9" s="252"/>
      <c r="Q9" s="252"/>
      <c r="R9" s="252"/>
      <c r="S9" s="252"/>
    </row>
    <row r="10" spans="1:19" x14ac:dyDescent="0.15">
      <c r="B10" s="60"/>
      <c r="D10" s="61"/>
      <c r="E10" s="131">
        <v>2024</v>
      </c>
      <c r="F10" s="53">
        <f>E10+1</f>
        <v>2025</v>
      </c>
      <c r="G10" s="53">
        <f t="shared" ref="G10:I10" si="0">F10+1</f>
        <v>2026</v>
      </c>
      <c r="H10" s="53">
        <f t="shared" si="0"/>
        <v>2027</v>
      </c>
      <c r="I10" s="53">
        <f t="shared" si="0"/>
        <v>2028</v>
      </c>
      <c r="J10" s="131">
        <v>2024</v>
      </c>
      <c r="K10" s="53">
        <f>J10+1</f>
        <v>2025</v>
      </c>
      <c r="L10" s="53">
        <f t="shared" ref="L10:N10" si="1">K10+1</f>
        <v>2026</v>
      </c>
      <c r="M10" s="53">
        <f t="shared" si="1"/>
        <v>2027</v>
      </c>
      <c r="N10" s="53">
        <f t="shared" si="1"/>
        <v>2028</v>
      </c>
      <c r="O10" s="131">
        <v>2024</v>
      </c>
      <c r="P10" s="53">
        <f>O10+1</f>
        <v>2025</v>
      </c>
      <c r="Q10" s="53">
        <f t="shared" ref="Q10:S10" si="2">P10+1</f>
        <v>2026</v>
      </c>
      <c r="R10" s="53">
        <f t="shared" si="2"/>
        <v>2027</v>
      </c>
      <c r="S10" s="233">
        <f t="shared" si="2"/>
        <v>2028</v>
      </c>
    </row>
    <row r="11" spans="1:19" x14ac:dyDescent="0.15">
      <c r="B11" s="60" t="s">
        <v>429</v>
      </c>
      <c r="D11" s="61"/>
      <c r="E11" s="40">
        <v>-0.02</v>
      </c>
      <c r="F11" s="41">
        <v>0</v>
      </c>
      <c r="G11" s="41">
        <v>5.0000000000000001E-3</v>
      </c>
      <c r="H11" s="41">
        <v>7.0000000000000001E-3</v>
      </c>
      <c r="I11" s="41">
        <v>0.01</v>
      </c>
      <c r="J11" s="153">
        <v>0.01</v>
      </c>
      <c r="K11" s="110">
        <v>0.01</v>
      </c>
      <c r="L11" s="110">
        <v>0.01</v>
      </c>
      <c r="M11" s="110">
        <v>1.2999999999999999E-2</v>
      </c>
      <c r="N11" s="110">
        <v>1.4999999999999999E-2</v>
      </c>
      <c r="O11" s="40">
        <v>2.5000000000000001E-2</v>
      </c>
      <c r="P11" s="41">
        <v>2.5000000000000001E-2</v>
      </c>
      <c r="Q11" s="41">
        <v>0.03</v>
      </c>
      <c r="R11" s="41">
        <v>0.03</v>
      </c>
      <c r="S11" s="42">
        <v>0.03</v>
      </c>
    </row>
    <row r="12" spans="1:19" x14ac:dyDescent="0.15">
      <c r="B12" s="60" t="s">
        <v>427</v>
      </c>
      <c r="D12" s="61"/>
      <c r="E12" s="40">
        <v>-0.05</v>
      </c>
      <c r="F12" s="41">
        <v>-0.02</v>
      </c>
      <c r="G12" s="41">
        <v>0</v>
      </c>
      <c r="H12" s="41">
        <v>0.01</v>
      </c>
      <c r="I12" s="41">
        <v>0.01</v>
      </c>
      <c r="J12" s="153">
        <v>0.02</v>
      </c>
      <c r="K12" s="110">
        <v>0.02</v>
      </c>
      <c r="L12" s="110">
        <f t="shared" ref="L12:N12" si="3">K12</f>
        <v>0.02</v>
      </c>
      <c r="M12" s="110">
        <f t="shared" si="3"/>
        <v>0.02</v>
      </c>
      <c r="N12" s="126">
        <f t="shared" si="3"/>
        <v>0.02</v>
      </c>
      <c r="O12" s="40">
        <v>0.06</v>
      </c>
      <c r="P12" s="41">
        <v>0.05</v>
      </c>
      <c r="Q12" s="41">
        <v>0.04</v>
      </c>
      <c r="R12" s="41">
        <v>0.03</v>
      </c>
      <c r="S12" s="42">
        <v>2.5000000000000001E-2</v>
      </c>
    </row>
    <row r="13" spans="1:19" x14ac:dyDescent="0.15">
      <c r="B13" s="60" t="s">
        <v>422</v>
      </c>
      <c r="D13" s="61"/>
      <c r="E13" s="154">
        <f>52.5</f>
        <v>52.5</v>
      </c>
      <c r="F13" s="111">
        <f>E13*1.035</f>
        <v>54.337499999999999</v>
      </c>
      <c r="G13" s="111">
        <f t="shared" ref="G13:I13" si="4">F13*1.035</f>
        <v>56.239312499999997</v>
      </c>
      <c r="H13" s="111">
        <f t="shared" si="4"/>
        <v>58.207688437499989</v>
      </c>
      <c r="I13" s="111">
        <f t="shared" si="4"/>
        <v>60.244957532812485</v>
      </c>
      <c r="J13" s="154">
        <v>50.4</v>
      </c>
      <c r="K13" s="111">
        <f>J13*1.03</f>
        <v>51.911999999999999</v>
      </c>
      <c r="L13" s="111">
        <f t="shared" ref="L13:N13" si="5">K13*1.03</f>
        <v>53.469360000000002</v>
      </c>
      <c r="M13" s="111">
        <f t="shared" si="5"/>
        <v>55.0734408</v>
      </c>
      <c r="N13" s="111">
        <f t="shared" si="5"/>
        <v>56.725644024000005</v>
      </c>
      <c r="O13" s="154">
        <v>49.3</v>
      </c>
      <c r="P13" s="111">
        <f>O13*1.025</f>
        <v>50.532499999999992</v>
      </c>
      <c r="Q13" s="111">
        <f t="shared" ref="Q13:S13" si="6">P13*1.025</f>
        <v>51.79581249999999</v>
      </c>
      <c r="R13" s="111">
        <f t="shared" si="6"/>
        <v>53.090707812499986</v>
      </c>
      <c r="S13" s="127">
        <f t="shared" si="6"/>
        <v>54.417975507812478</v>
      </c>
    </row>
    <row r="14" spans="1:19" x14ac:dyDescent="0.15">
      <c r="B14" s="60" t="s">
        <v>420</v>
      </c>
      <c r="D14" s="61"/>
      <c r="E14" s="40">
        <v>0</v>
      </c>
      <c r="F14" s="41">
        <v>0.01</v>
      </c>
      <c r="G14" s="41">
        <v>1.4999999999999999E-2</v>
      </c>
      <c r="H14" s="41">
        <v>1.4999999999999999E-2</v>
      </c>
      <c r="I14" s="41">
        <v>1.4999999999999999E-2</v>
      </c>
      <c r="J14" s="40">
        <v>0.02</v>
      </c>
      <c r="K14" s="41">
        <v>0.02</v>
      </c>
      <c r="L14" s="41">
        <v>0.02</v>
      </c>
      <c r="M14" s="41">
        <v>0.02</v>
      </c>
      <c r="N14" s="41">
        <v>0.02</v>
      </c>
      <c r="O14" s="40">
        <v>3.5000000000000003E-2</v>
      </c>
      <c r="P14" s="41">
        <v>3.5000000000000003E-2</v>
      </c>
      <c r="Q14" s="41">
        <v>0.03</v>
      </c>
      <c r="R14" s="41">
        <v>0.03</v>
      </c>
      <c r="S14" s="42">
        <v>2.5000000000000001E-2</v>
      </c>
    </row>
    <row r="15" spans="1:19" x14ac:dyDescent="0.15">
      <c r="B15" s="60" t="s">
        <v>428</v>
      </c>
      <c r="D15" s="61"/>
      <c r="E15" s="40">
        <v>-0.02</v>
      </c>
      <c r="F15" s="41">
        <v>0</v>
      </c>
      <c r="G15" s="41">
        <v>5.0000000000000001E-3</v>
      </c>
      <c r="H15" s="41">
        <v>0.01</v>
      </c>
      <c r="I15" s="41">
        <v>0.01</v>
      </c>
      <c r="J15" s="40">
        <v>0.02</v>
      </c>
      <c r="K15" s="41">
        <v>1.7999999999999999E-2</v>
      </c>
      <c r="L15" s="41">
        <v>1.4999999999999999E-2</v>
      </c>
      <c r="M15" s="41">
        <v>1.2999999999999999E-2</v>
      </c>
      <c r="N15" s="41">
        <v>1.2E-2</v>
      </c>
      <c r="O15" s="40">
        <v>0.04</v>
      </c>
      <c r="P15" s="41">
        <v>3.5000000000000003E-2</v>
      </c>
      <c r="Q15" s="41">
        <v>0.03</v>
      </c>
      <c r="R15" s="41">
        <v>2.5000000000000001E-2</v>
      </c>
      <c r="S15" s="42">
        <v>0.02</v>
      </c>
    </row>
    <row r="16" spans="1:19" x14ac:dyDescent="0.15">
      <c r="B16" s="60" t="s">
        <v>421</v>
      </c>
      <c r="D16" s="61"/>
      <c r="E16" s="154">
        <v>91</v>
      </c>
      <c r="F16" s="111">
        <f>E16*1.03</f>
        <v>93.73</v>
      </c>
      <c r="G16" s="111">
        <f t="shared" ref="G16:I16" si="7">F16*1.03</f>
        <v>96.541900000000012</v>
      </c>
      <c r="H16" s="111">
        <f t="shared" si="7"/>
        <v>99.438157000000018</v>
      </c>
      <c r="I16" s="111">
        <f t="shared" si="7"/>
        <v>102.42130171000002</v>
      </c>
      <c r="J16" s="154">
        <f>86*1.03</f>
        <v>88.58</v>
      </c>
      <c r="K16" s="111">
        <f>J16*1.03</f>
        <v>91.237399999999994</v>
      </c>
      <c r="L16" s="111">
        <f t="shared" ref="L16:N16" si="8">K16*1.03</f>
        <v>93.974521999999993</v>
      </c>
      <c r="M16" s="111">
        <f t="shared" si="8"/>
        <v>96.793757659999997</v>
      </c>
      <c r="N16" s="111">
        <f t="shared" si="8"/>
        <v>99.697570389800006</v>
      </c>
      <c r="O16" s="154">
        <v>87</v>
      </c>
      <c r="P16" s="111">
        <f>O16*1.02</f>
        <v>88.74</v>
      </c>
      <c r="Q16" s="111">
        <f t="shared" ref="Q16:S16" si="9">P16*1.02</f>
        <v>90.514799999999994</v>
      </c>
      <c r="R16" s="111">
        <f t="shared" si="9"/>
        <v>92.325096000000002</v>
      </c>
      <c r="S16" s="127">
        <f t="shared" si="9"/>
        <v>94.171597920000011</v>
      </c>
    </row>
    <row r="17" spans="2:19" x14ac:dyDescent="0.15">
      <c r="B17" s="60" t="s">
        <v>491</v>
      </c>
      <c r="D17" s="61"/>
      <c r="E17" s="153">
        <v>5.5E-2</v>
      </c>
      <c r="F17" s="110">
        <f>$E$17</f>
        <v>5.5E-2</v>
      </c>
      <c r="G17" s="110">
        <f t="shared" ref="G17:I17" si="10">$E$17</f>
        <v>5.5E-2</v>
      </c>
      <c r="H17" s="110">
        <f t="shared" si="10"/>
        <v>5.5E-2</v>
      </c>
      <c r="I17" s="110">
        <f t="shared" si="10"/>
        <v>5.5E-2</v>
      </c>
      <c r="J17" s="153">
        <v>0.05</v>
      </c>
      <c r="K17" s="110">
        <f>$J$17</f>
        <v>0.05</v>
      </c>
      <c r="L17" s="110">
        <f t="shared" ref="L17:N17" si="11">$J$17</f>
        <v>0.05</v>
      </c>
      <c r="M17" s="110">
        <f t="shared" si="11"/>
        <v>0.05</v>
      </c>
      <c r="N17" s="110">
        <f t="shared" si="11"/>
        <v>0.05</v>
      </c>
      <c r="O17" s="153">
        <v>4.4999999999999998E-2</v>
      </c>
      <c r="P17" s="110">
        <f>$O$17</f>
        <v>4.4999999999999998E-2</v>
      </c>
      <c r="Q17" s="110">
        <f t="shared" ref="Q17:S17" si="12">$O$17</f>
        <v>4.4999999999999998E-2</v>
      </c>
      <c r="R17" s="110">
        <f t="shared" si="12"/>
        <v>4.4999999999999998E-2</v>
      </c>
      <c r="S17" s="126">
        <f t="shared" si="12"/>
        <v>4.4999999999999998E-2</v>
      </c>
    </row>
    <row r="18" spans="2:19" x14ac:dyDescent="0.15">
      <c r="B18" s="128" t="s">
        <v>175</v>
      </c>
      <c r="C18" s="112"/>
      <c r="D18" s="180"/>
      <c r="E18" s="183">
        <v>0.26500000000000001</v>
      </c>
      <c r="F18" s="181">
        <f>$E$18</f>
        <v>0.26500000000000001</v>
      </c>
      <c r="G18" s="181">
        <f t="shared" ref="G18:S18" si="13">$E$18</f>
        <v>0.26500000000000001</v>
      </c>
      <c r="H18" s="181">
        <f t="shared" si="13"/>
        <v>0.26500000000000001</v>
      </c>
      <c r="I18" s="181">
        <f t="shared" si="13"/>
        <v>0.26500000000000001</v>
      </c>
      <c r="J18" s="184">
        <f t="shared" si="13"/>
        <v>0.26500000000000001</v>
      </c>
      <c r="K18" s="181">
        <f t="shared" si="13"/>
        <v>0.26500000000000001</v>
      </c>
      <c r="L18" s="181">
        <f t="shared" si="13"/>
        <v>0.26500000000000001</v>
      </c>
      <c r="M18" s="181">
        <f t="shared" si="13"/>
        <v>0.26500000000000001</v>
      </c>
      <c r="N18" s="181">
        <f t="shared" si="13"/>
        <v>0.26500000000000001</v>
      </c>
      <c r="O18" s="184">
        <f t="shared" si="13"/>
        <v>0.26500000000000001</v>
      </c>
      <c r="P18" s="181">
        <f t="shared" si="13"/>
        <v>0.26500000000000001</v>
      </c>
      <c r="Q18" s="181">
        <f t="shared" si="13"/>
        <v>0.26500000000000001</v>
      </c>
      <c r="R18" s="181">
        <f t="shared" si="13"/>
        <v>0.26500000000000001</v>
      </c>
      <c r="S18" s="182">
        <f t="shared" si="13"/>
        <v>0.26500000000000001</v>
      </c>
    </row>
    <row r="20" spans="2:19" ht="16" x14ac:dyDescent="0.15">
      <c r="B20" s="104" t="s">
        <v>395</v>
      </c>
      <c r="C20" s="104"/>
      <c r="D20" s="104"/>
    </row>
    <row r="21" spans="2:19" x14ac:dyDescent="0.15">
      <c r="B21" s="253" t="s">
        <v>394</v>
      </c>
      <c r="C21" s="254"/>
      <c r="D21" s="255"/>
    </row>
    <row r="22" spans="2:19" x14ac:dyDescent="0.15">
      <c r="B22" s="128" t="s">
        <v>490</v>
      </c>
      <c r="C22" s="112"/>
      <c r="D22" s="246">
        <v>0.5</v>
      </c>
    </row>
    <row r="24" spans="2:19" ht="16" x14ac:dyDescent="0.15">
      <c r="B24" s="185" t="s">
        <v>396</v>
      </c>
      <c r="C24" s="186"/>
      <c r="D24" s="187"/>
    </row>
    <row r="25" spans="2:19" x14ac:dyDescent="0.15">
      <c r="B25" s="14"/>
      <c r="C25" s="195" t="s">
        <v>268</v>
      </c>
      <c r="D25" s="196" t="s">
        <v>263</v>
      </c>
    </row>
    <row r="26" spans="2:19" x14ac:dyDescent="0.15">
      <c r="B26" s="60" t="s">
        <v>397</v>
      </c>
      <c r="C26" s="190">
        <v>0.11</v>
      </c>
      <c r="D26" s="191">
        <v>0.13500000000000001</v>
      </c>
    </row>
    <row r="27" spans="2:19" x14ac:dyDescent="0.15">
      <c r="B27" s="14"/>
      <c r="C27" s="195"/>
      <c r="D27" s="196" t="s">
        <v>408</v>
      </c>
    </row>
    <row r="28" spans="2:19" x14ac:dyDescent="0.15">
      <c r="B28" s="128" t="s">
        <v>397</v>
      </c>
      <c r="C28" s="247"/>
      <c r="D28" s="192">
        <v>0.125</v>
      </c>
    </row>
    <row r="30" spans="2:19" ht="16" x14ac:dyDescent="0.15">
      <c r="B30" s="185" t="s">
        <v>400</v>
      </c>
      <c r="C30" s="186"/>
      <c r="D30" s="187"/>
    </row>
    <row r="31" spans="2:19" x14ac:dyDescent="0.15">
      <c r="B31" s="122"/>
      <c r="C31" s="188" t="s">
        <v>268</v>
      </c>
      <c r="D31" s="189" t="s">
        <v>263</v>
      </c>
    </row>
    <row r="32" spans="2:19" x14ac:dyDescent="0.15">
      <c r="B32" s="60" t="s">
        <v>392</v>
      </c>
      <c r="C32" s="231">
        <v>7.7</v>
      </c>
      <c r="D32" s="207">
        <v>3.3</v>
      </c>
    </row>
    <row r="33" spans="2:5" x14ac:dyDescent="0.15">
      <c r="B33" s="60" t="s">
        <v>398</v>
      </c>
      <c r="C33" s="231">
        <v>7.3</v>
      </c>
      <c r="D33" s="207">
        <v>3</v>
      </c>
    </row>
    <row r="34" spans="2:5" x14ac:dyDescent="0.15">
      <c r="B34" s="60" t="s">
        <v>399</v>
      </c>
      <c r="C34" s="231">
        <v>8.3000000000000007</v>
      </c>
      <c r="D34" s="207">
        <v>3.5</v>
      </c>
    </row>
    <row r="35" spans="2:5" x14ac:dyDescent="0.15">
      <c r="B35" s="256" t="s">
        <v>408</v>
      </c>
      <c r="C35" s="257"/>
      <c r="D35" s="258"/>
    </row>
    <row r="36" spans="2:5" x14ac:dyDescent="0.15">
      <c r="B36" s="60" t="s">
        <v>425</v>
      </c>
      <c r="C36" s="197"/>
      <c r="D36" s="207">
        <v>4.5</v>
      </c>
    </row>
    <row r="37" spans="2:5" x14ac:dyDescent="0.15">
      <c r="B37" s="60" t="s">
        <v>409</v>
      </c>
      <c r="C37" s="197"/>
      <c r="D37" s="207">
        <v>4.3</v>
      </c>
    </row>
    <row r="38" spans="2:5" x14ac:dyDescent="0.15">
      <c r="B38" s="128" t="s">
        <v>399</v>
      </c>
      <c r="C38" s="198"/>
      <c r="D38" s="208">
        <v>4.8</v>
      </c>
    </row>
    <row r="40" spans="2:5" ht="16" x14ac:dyDescent="0.15">
      <c r="B40" s="185" t="s">
        <v>389</v>
      </c>
      <c r="C40" s="186"/>
      <c r="D40" s="187"/>
    </row>
    <row r="41" spans="2:5" x14ac:dyDescent="0.15">
      <c r="B41" s="122"/>
      <c r="C41" s="188"/>
      <c r="D41" s="189"/>
    </row>
    <row r="42" spans="2:5" x14ac:dyDescent="0.15">
      <c r="B42" s="60" t="s">
        <v>401</v>
      </c>
      <c r="C42" s="197"/>
      <c r="D42" s="210">
        <v>15.5</v>
      </c>
    </row>
    <row r="43" spans="2:5" x14ac:dyDescent="0.15">
      <c r="B43" s="60" t="s">
        <v>402</v>
      </c>
      <c r="C43" s="197"/>
      <c r="D43" s="210">
        <v>79</v>
      </c>
    </row>
    <row r="44" spans="2:5" x14ac:dyDescent="0.15">
      <c r="B44" s="128" t="s">
        <v>127</v>
      </c>
      <c r="C44" s="198"/>
      <c r="D44" s="209">
        <v>622</v>
      </c>
    </row>
    <row r="47" spans="2:5" x14ac:dyDescent="0.15">
      <c r="E47" s="107"/>
    </row>
    <row r="48" spans="2:5" x14ac:dyDescent="0.15">
      <c r="E48" s="107"/>
    </row>
  </sheetData>
  <mergeCells count="5">
    <mergeCell ref="E9:I9"/>
    <mergeCell ref="J9:N9"/>
    <mergeCell ref="O9:S9"/>
    <mergeCell ref="B21:D21"/>
    <mergeCell ref="B35:D35"/>
  </mergeCells>
  <hyperlinks>
    <hyperlink ref="B21" location="'ISP Carve Out Costs'!A1" display="See ISP Carve Out Costs" xr:uid="{B0CDC946-4B46-B04B-B510-607490D7B952}"/>
  </hyperlinks>
  <pageMargins left="0.7" right="0.7" top="0.75" bottom="0.75" header="0.3" footer="0.3"/>
  <ignoredErrors>
    <ignoredError sqref="J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DE1D-D0AB-DD4F-8D22-3096769682AE}">
  <dimension ref="A1:E15"/>
  <sheetViews>
    <sheetView showGridLines="0" zoomScale="134" workbookViewId="0">
      <selection activeCell="E26" sqref="E26"/>
    </sheetView>
  </sheetViews>
  <sheetFormatPr baseColWidth="10" defaultRowHeight="13" x14ac:dyDescent="0.15"/>
  <cols>
    <col min="2" max="2" width="27.1640625" customWidth="1"/>
    <col min="5" max="5" width="15.6640625" customWidth="1"/>
  </cols>
  <sheetData>
    <row r="1" spans="1:5" x14ac:dyDescent="0.15">
      <c r="A1" s="3" t="str">
        <f>HYPERLINK("#'Table of Contents'!A1","&lt;--------")</f>
        <v>&lt;--------</v>
      </c>
    </row>
    <row r="2" spans="1:5" ht="18" x14ac:dyDescent="0.15">
      <c r="B2" s="165" t="s">
        <v>497</v>
      </c>
      <c r="C2" s="165"/>
      <c r="D2" s="165"/>
      <c r="E2" s="165"/>
    </row>
    <row r="4" spans="1:5" x14ac:dyDescent="0.15">
      <c r="B4" s="6" t="s">
        <v>498</v>
      </c>
      <c r="C4" s="6" t="s">
        <v>263</v>
      </c>
      <c r="D4" s="6" t="s">
        <v>268</v>
      </c>
      <c r="E4" s="6" t="s">
        <v>499</v>
      </c>
    </row>
    <row r="5" spans="1:5" x14ac:dyDescent="0.15">
      <c r="B5" t="s">
        <v>416</v>
      </c>
      <c r="C5" s="108">
        <f>'Carveout DCFs'!C19</f>
        <v>481.72421039482384</v>
      </c>
      <c r="D5" s="108">
        <f>'Carveout DCFs'!C39</f>
        <v>733.84829022386771</v>
      </c>
      <c r="E5" s="108">
        <f>C5+D5</f>
        <v>1215.5725006186915</v>
      </c>
    </row>
    <row r="6" spans="1:5" x14ac:dyDescent="0.15">
      <c r="B6" t="s">
        <v>500</v>
      </c>
      <c r="E6" s="1">
        <f>'Standalone DCF'!C35</f>
        <v>79</v>
      </c>
    </row>
    <row r="7" spans="1:5" x14ac:dyDescent="0.15">
      <c r="B7" s="53" t="s">
        <v>501</v>
      </c>
      <c r="E7" s="249">
        <f>E5/E6</f>
        <v>15.386993678717614</v>
      </c>
    </row>
    <row r="10" spans="1:5" x14ac:dyDescent="0.15">
      <c r="B10" s="6" t="s">
        <v>494</v>
      </c>
      <c r="C10" s="6"/>
      <c r="D10" s="6"/>
      <c r="E10" s="6" t="s">
        <v>502</v>
      </c>
    </row>
    <row r="11" spans="1:5" x14ac:dyDescent="0.15">
      <c r="B11" t="s">
        <v>416</v>
      </c>
      <c r="E11" s="108">
        <f>'Standalone DCF'!C34</f>
        <v>1208.7550461497872</v>
      </c>
    </row>
    <row r="12" spans="1:5" x14ac:dyDescent="0.15">
      <c r="B12" t="s">
        <v>500</v>
      </c>
      <c r="E12" s="1">
        <f>'Standalone DCF'!C35</f>
        <v>79</v>
      </c>
    </row>
    <row r="13" spans="1:5" x14ac:dyDescent="0.15">
      <c r="B13" s="53" t="s">
        <v>501</v>
      </c>
      <c r="E13" s="249">
        <f>E11/E12</f>
        <v>15.300696786706167</v>
      </c>
    </row>
    <row r="14" spans="1:5" ht="14" thickBot="1" x14ac:dyDescent="0.2"/>
    <row r="15" spans="1:5" ht="14" thickBot="1" x14ac:dyDescent="0.2">
      <c r="B15" s="250" t="s">
        <v>503</v>
      </c>
      <c r="C15" s="259" t="s">
        <v>504</v>
      </c>
      <c r="D15" s="259"/>
      <c r="E15" s="260"/>
    </row>
  </sheetData>
  <mergeCells count="1">
    <mergeCell ref="C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81A8-356B-3641-BF62-5C0DE37885F8}">
  <dimension ref="A1:N76"/>
  <sheetViews>
    <sheetView showGridLines="0" zoomScale="85" workbookViewId="0">
      <selection activeCell="O41" sqref="O41"/>
    </sheetView>
  </sheetViews>
  <sheetFormatPr baseColWidth="10" defaultColWidth="12.83203125" defaultRowHeight="13" x14ac:dyDescent="0.15"/>
  <cols>
    <col min="2" max="2" width="31.1640625" customWidth="1"/>
    <col min="15" max="15" width="23.83203125" customWidth="1"/>
  </cols>
  <sheetData>
    <row r="1" spans="1:13" x14ac:dyDescent="0.15">
      <c r="A1" s="3" t="str">
        <f>HYPERLINK("#'Table of Contents'!A1","&lt;--------")</f>
        <v>&lt;--------</v>
      </c>
    </row>
    <row r="2" spans="1:13" x14ac:dyDescent="0.15">
      <c r="B2" s="53" t="s">
        <v>423</v>
      </c>
    </row>
    <row r="3" spans="1:13" ht="18" x14ac:dyDescent="0.2">
      <c r="B3" s="114" t="s">
        <v>336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</row>
    <row r="4" spans="1:13" ht="16" x14ac:dyDescent="0.15">
      <c r="B4" s="137" t="s">
        <v>339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40"/>
    </row>
    <row r="5" spans="1:13" x14ac:dyDescent="0.15">
      <c r="B5" s="144"/>
      <c r="C5" s="261" t="s">
        <v>156</v>
      </c>
      <c r="D5" s="261"/>
      <c r="E5" s="261"/>
      <c r="F5" s="261"/>
      <c r="G5" s="261"/>
      <c r="H5" s="261"/>
      <c r="I5" s="262" t="s">
        <v>157</v>
      </c>
      <c r="J5" s="263"/>
      <c r="K5" s="263"/>
      <c r="L5" s="263"/>
      <c r="M5" s="264"/>
    </row>
    <row r="6" spans="1:13" x14ac:dyDescent="0.15">
      <c r="B6" s="122"/>
      <c r="C6" s="7">
        <v>43465</v>
      </c>
      <c r="D6" s="7">
        <f>EDATE(C6,12)</f>
        <v>43830</v>
      </c>
      <c r="E6" s="7">
        <f t="shared" ref="E6:M6" si="0">EDATE(D6,12)</f>
        <v>44196</v>
      </c>
      <c r="F6" s="7">
        <f t="shared" si="0"/>
        <v>44561</v>
      </c>
      <c r="G6" s="7">
        <f t="shared" si="0"/>
        <v>44926</v>
      </c>
      <c r="H6" s="7">
        <f t="shared" si="0"/>
        <v>45291</v>
      </c>
      <c r="I6" s="8">
        <f t="shared" si="0"/>
        <v>45657</v>
      </c>
      <c r="J6" s="7">
        <f t="shared" si="0"/>
        <v>46022</v>
      </c>
      <c r="K6" s="7">
        <f t="shared" si="0"/>
        <v>46387</v>
      </c>
      <c r="L6" s="7">
        <f t="shared" si="0"/>
        <v>46752</v>
      </c>
      <c r="M6" s="9">
        <f t="shared" si="0"/>
        <v>47118</v>
      </c>
    </row>
    <row r="7" spans="1:13" x14ac:dyDescent="0.15">
      <c r="B7" s="131" t="s">
        <v>16</v>
      </c>
      <c r="C7" s="115">
        <f>'SLCA Financials (memo)'!D35*1000</f>
        <v>1577298</v>
      </c>
      <c r="D7" s="115">
        <f>'SLCA Financials (memo)'!E35*1000</f>
        <v>1474477</v>
      </c>
      <c r="E7" s="115">
        <f>'SLCA Financials (memo)'!F35*1000</f>
        <v>845885</v>
      </c>
      <c r="F7" s="115">
        <f>'SLCA Financials (memo)'!G35*1000</f>
        <v>1103879</v>
      </c>
      <c r="G7" s="115">
        <f>'SLCA Financials (memo)'!H35*1000</f>
        <v>1525147</v>
      </c>
      <c r="H7" s="115">
        <f>'SLCA Financials (memo)'!I35*1000</f>
        <v>1552022</v>
      </c>
      <c r="I7" s="145">
        <f>I12+I34</f>
        <v>1604624.093928</v>
      </c>
      <c r="J7" s="115">
        <f>J12+J34</f>
        <v>1657818.8593013235</v>
      </c>
      <c r="K7" s="115">
        <f>K12+K34</f>
        <v>1710957.9618853966</v>
      </c>
      <c r="L7" s="115">
        <f>L12+L34</f>
        <v>1767864.4236977044</v>
      </c>
      <c r="M7" s="141">
        <f>M12+M34</f>
        <v>1828297.6794696171</v>
      </c>
    </row>
    <row r="8" spans="1:13" x14ac:dyDescent="0.15">
      <c r="B8" s="138" t="s">
        <v>338</v>
      </c>
      <c r="C8" s="115"/>
      <c r="D8" s="139">
        <f>D7/C7-1</f>
        <v>-6.5188062116353418E-2</v>
      </c>
      <c r="E8" s="139">
        <f t="shared" ref="E8:M8" si="1">E7/D7-1</f>
        <v>-0.4263152290608806</v>
      </c>
      <c r="F8" s="139">
        <f t="shared" si="1"/>
        <v>0.30499890647073769</v>
      </c>
      <c r="G8" s="139">
        <f t="shared" si="1"/>
        <v>0.38162516000394975</v>
      </c>
      <c r="H8" s="139">
        <f t="shared" si="1"/>
        <v>1.7621252246504682E-2</v>
      </c>
      <c r="I8" s="146">
        <f t="shared" si="1"/>
        <v>3.38926213210895E-2</v>
      </c>
      <c r="J8" s="139">
        <f t="shared" si="1"/>
        <v>3.31509202526723E-2</v>
      </c>
      <c r="K8" s="139">
        <f t="shared" si="1"/>
        <v>3.2053624125417457E-2</v>
      </c>
      <c r="L8" s="139">
        <f t="shared" si="1"/>
        <v>3.3259999999999623E-2</v>
      </c>
      <c r="M8" s="142">
        <f t="shared" si="1"/>
        <v>3.4184327124762826E-2</v>
      </c>
    </row>
    <row r="9" spans="1:13" x14ac:dyDescent="0.15">
      <c r="B9" s="131"/>
      <c r="C9" s="115"/>
      <c r="D9" s="115"/>
      <c r="E9" s="115"/>
      <c r="F9" s="115"/>
      <c r="G9" s="115"/>
      <c r="H9" s="115"/>
      <c r="I9" s="145"/>
      <c r="J9" s="115"/>
      <c r="K9" s="115"/>
      <c r="L9" s="115"/>
      <c r="M9" s="141"/>
    </row>
    <row r="10" spans="1:13" ht="16" x14ac:dyDescent="0.15">
      <c r="B10" s="157" t="s">
        <v>263</v>
      </c>
      <c r="C10" s="158"/>
      <c r="D10" s="158"/>
      <c r="E10" s="158"/>
      <c r="F10" s="158"/>
      <c r="G10" s="158"/>
      <c r="H10" s="158"/>
      <c r="I10" s="157"/>
      <c r="J10" s="158"/>
      <c r="K10" s="158"/>
      <c r="L10" s="158"/>
      <c r="M10" s="159"/>
    </row>
    <row r="11" spans="1:13" x14ac:dyDescent="0.15">
      <c r="B11" s="60"/>
      <c r="I11" s="60"/>
      <c r="M11" s="61"/>
    </row>
    <row r="12" spans="1:13" x14ac:dyDescent="0.15">
      <c r="B12" s="117" t="s">
        <v>0</v>
      </c>
      <c r="C12" s="116">
        <v>1182991</v>
      </c>
      <c r="D12" s="116">
        <v>1010521</v>
      </c>
      <c r="E12" s="116">
        <v>414897</v>
      </c>
      <c r="F12" s="116">
        <v>615448</v>
      </c>
      <c r="G12" s="116">
        <v>961667</v>
      </c>
      <c r="H12" s="116">
        <v>994276</v>
      </c>
      <c r="I12" s="147">
        <f>I13*I14</f>
        <v>1024340.057568</v>
      </c>
      <c r="J12" s="116">
        <f t="shared" ref="J12:M12" si="2">J13*J14</f>
        <v>1055275.1273065538</v>
      </c>
      <c r="K12" s="116">
        <f t="shared" si="2"/>
        <v>1087144.4361512116</v>
      </c>
      <c r="L12" s="116">
        <f t="shared" si="2"/>
        <v>1123302.8600976006</v>
      </c>
      <c r="M12" s="118">
        <f t="shared" si="2"/>
        <v>1162955.4510590457</v>
      </c>
    </row>
    <row r="13" spans="1:13" x14ac:dyDescent="0.15">
      <c r="B13" s="60" t="s">
        <v>1</v>
      </c>
      <c r="C13" s="109">
        <v>14242</v>
      </c>
      <c r="D13" s="109">
        <v>15054</v>
      </c>
      <c r="E13" s="109">
        <v>7496</v>
      </c>
      <c r="F13" s="109">
        <v>11610</v>
      </c>
      <c r="G13" s="109">
        <v>13654</v>
      </c>
      <c r="H13" s="109">
        <v>13368</v>
      </c>
      <c r="I13" s="148">
        <f>H13*(1+I24)</f>
        <v>13635.36</v>
      </c>
      <c r="J13" s="109">
        <f t="shared" ref="J13:M13" si="3">I13*(1+J24)</f>
        <v>13908.067200000001</v>
      </c>
      <c r="K13" s="109">
        <f t="shared" si="3"/>
        <v>14186.228544000001</v>
      </c>
      <c r="L13" s="109">
        <f t="shared" si="3"/>
        <v>14469.953114880002</v>
      </c>
      <c r="M13" s="119">
        <f t="shared" si="3"/>
        <v>14759.352177177601</v>
      </c>
    </row>
    <row r="14" spans="1:13" x14ac:dyDescent="0.15">
      <c r="B14" s="60" t="s">
        <v>2</v>
      </c>
      <c r="C14" s="120">
        <v>83.06</v>
      </c>
      <c r="D14" s="120">
        <v>67.13</v>
      </c>
      <c r="E14" s="120">
        <v>55.35</v>
      </c>
      <c r="F14" s="120">
        <v>53.01</v>
      </c>
      <c r="G14" s="120">
        <v>70.430000000000007</v>
      </c>
      <c r="H14" s="120">
        <v>74.38</v>
      </c>
      <c r="I14" s="149">
        <f>H14*(1+I23)</f>
        <v>75.123800000000003</v>
      </c>
      <c r="J14" s="120">
        <f t="shared" ref="J14:M14" si="4">I14*(1+J23)</f>
        <v>75.875038000000004</v>
      </c>
      <c r="K14" s="120">
        <f t="shared" si="4"/>
        <v>76.633788379999999</v>
      </c>
      <c r="L14" s="120">
        <f t="shared" si="4"/>
        <v>77.630027628939985</v>
      </c>
      <c r="M14" s="121">
        <f t="shared" si="4"/>
        <v>78.79447804337407</v>
      </c>
    </row>
    <row r="15" spans="1:13" x14ac:dyDescent="0.15">
      <c r="B15" s="60" t="s">
        <v>3</v>
      </c>
      <c r="C15" s="109">
        <v>357846</v>
      </c>
      <c r="D15" s="109">
        <v>248594</v>
      </c>
      <c r="E15" s="109">
        <v>142041</v>
      </c>
      <c r="F15" s="109">
        <v>160052</v>
      </c>
      <c r="G15" s="109">
        <v>301837</v>
      </c>
      <c r="H15" s="109">
        <v>361998</v>
      </c>
      <c r="I15" s="148">
        <f>I12-(I27*I13)</f>
        <v>337117.91356800008</v>
      </c>
      <c r="J15" s="109">
        <f>J12-(J27*J13)</f>
        <v>333279.54282015376</v>
      </c>
      <c r="K15" s="109">
        <f>K12-(K27*K13)</f>
        <v>328615.87508979964</v>
      </c>
      <c r="L15" s="109">
        <f>L12-(L27*L13)</f>
        <v>326392.75384648121</v>
      </c>
      <c r="M15" s="119">
        <f>M12-(M27*M13)</f>
        <v>325721.69343161967</v>
      </c>
    </row>
    <row r="16" spans="1:13" x14ac:dyDescent="0.15">
      <c r="B16" s="60"/>
      <c r="I16" s="60"/>
      <c r="M16" s="61"/>
    </row>
    <row r="17" spans="2:13" x14ac:dyDescent="0.15">
      <c r="B17" s="122" t="s">
        <v>335</v>
      </c>
      <c r="C17" s="6"/>
      <c r="D17" s="6"/>
      <c r="E17" s="6"/>
      <c r="F17" s="6"/>
      <c r="G17" s="6"/>
      <c r="H17" s="6"/>
      <c r="I17" s="122"/>
      <c r="J17" s="6"/>
      <c r="K17" s="6"/>
      <c r="L17" s="6"/>
      <c r="M17" s="123"/>
    </row>
    <row r="18" spans="2:13" x14ac:dyDescent="0.15">
      <c r="B18" s="60"/>
      <c r="I18" s="60"/>
      <c r="M18" s="61"/>
    </row>
    <row r="19" spans="2:13" x14ac:dyDescent="0.15">
      <c r="B19" s="60" t="s">
        <v>4</v>
      </c>
      <c r="C19" s="107">
        <f>C15/C12</f>
        <v>0.30249258024786324</v>
      </c>
      <c r="D19" s="107">
        <f t="shared" ref="D19:M19" si="5">D15/D12</f>
        <v>0.24600577325953643</v>
      </c>
      <c r="E19" s="107">
        <f t="shared" si="5"/>
        <v>0.3423524392801105</v>
      </c>
      <c r="F19" s="107">
        <f t="shared" si="5"/>
        <v>0.2600577140554523</v>
      </c>
      <c r="G19" s="107">
        <f t="shared" si="5"/>
        <v>0.31386852205597154</v>
      </c>
      <c r="H19" s="107">
        <f t="shared" si="5"/>
        <v>0.36408200539890334</v>
      </c>
      <c r="I19" s="150">
        <f t="shared" si="5"/>
        <v>0.3291074200186892</v>
      </c>
      <c r="J19" s="107">
        <f t="shared" si="5"/>
        <v>0.31582241843490094</v>
      </c>
      <c r="K19" s="107">
        <f t="shared" si="5"/>
        <v>0.30227434751281956</v>
      </c>
      <c r="L19" s="107">
        <f t="shared" si="5"/>
        <v>0.29056522994886869</v>
      </c>
      <c r="M19" s="124">
        <f t="shared" si="5"/>
        <v>0.28008097226338385</v>
      </c>
    </row>
    <row r="20" spans="2:13" x14ac:dyDescent="0.15">
      <c r="B20" s="131" t="s">
        <v>330</v>
      </c>
      <c r="C20" s="132">
        <f t="shared" ref="C20:M20" si="6">C$12/C$7</f>
        <v>0.75001109492309004</v>
      </c>
      <c r="D20" s="132">
        <f t="shared" si="6"/>
        <v>0.68534198905781507</v>
      </c>
      <c r="E20" s="132">
        <f t="shared" si="6"/>
        <v>0.49048865980600198</v>
      </c>
      <c r="F20" s="132">
        <f t="shared" si="6"/>
        <v>0.55753212082121317</v>
      </c>
      <c r="G20" s="132">
        <f t="shared" si="6"/>
        <v>0.63054053150286493</v>
      </c>
      <c r="H20" s="132">
        <f t="shared" si="6"/>
        <v>0.64063267144409031</v>
      </c>
      <c r="I20" s="151">
        <f t="shared" si="6"/>
        <v>0.63836761609411719</v>
      </c>
      <c r="J20" s="132">
        <f t="shared" si="6"/>
        <v>0.63654428913379135</v>
      </c>
      <c r="K20" s="132">
        <f t="shared" si="6"/>
        <v>0.63540102116432406</v>
      </c>
      <c r="L20" s="132">
        <f t="shared" si="6"/>
        <v>0.63540102116432406</v>
      </c>
      <c r="M20" s="133">
        <f t="shared" si="6"/>
        <v>0.63608648860529926</v>
      </c>
    </row>
    <row r="21" spans="2:13" x14ac:dyDescent="0.15">
      <c r="B21" s="131"/>
      <c r="C21" s="132"/>
      <c r="D21" s="132"/>
      <c r="E21" s="132"/>
      <c r="F21" s="132"/>
      <c r="G21" s="132"/>
      <c r="H21" s="132"/>
      <c r="I21" s="151"/>
      <c r="J21" s="132"/>
      <c r="K21" s="132"/>
      <c r="L21" s="132"/>
      <c r="M21" s="133"/>
    </row>
    <row r="22" spans="2:13" x14ac:dyDescent="0.15">
      <c r="B22" s="117" t="s">
        <v>331</v>
      </c>
      <c r="C22" s="134"/>
      <c r="D22" s="134">
        <f>D12/C12 -1</f>
        <v>-0.14579147263165992</v>
      </c>
      <c r="E22" s="134">
        <f t="shared" ref="E22:H22" si="7">E12/D12 -1</f>
        <v>-0.58942268394224362</v>
      </c>
      <c r="F22" s="134">
        <f t="shared" si="7"/>
        <v>0.48337539196475277</v>
      </c>
      <c r="G22" s="134">
        <f t="shared" si="7"/>
        <v>0.56254793256294611</v>
      </c>
      <c r="H22" s="134">
        <f t="shared" si="7"/>
        <v>3.3908827067997471E-2</v>
      </c>
      <c r="I22" s="152">
        <f>I12/H12-1</f>
        <v>3.0237134928329912E-2</v>
      </c>
      <c r="J22" s="135">
        <f t="shared" ref="J22:M22" si="8">J12/I12-1</f>
        <v>3.0200000000000227E-2</v>
      </c>
      <c r="K22" s="135">
        <f t="shared" si="8"/>
        <v>3.0200000000000005E-2</v>
      </c>
      <c r="L22" s="135">
        <f t="shared" si="8"/>
        <v>3.3259999999999623E-2</v>
      </c>
      <c r="M22" s="136">
        <f t="shared" si="8"/>
        <v>3.5299999999999887E-2</v>
      </c>
    </row>
    <row r="23" spans="2:13" x14ac:dyDescent="0.15">
      <c r="B23" s="125" t="s">
        <v>333</v>
      </c>
      <c r="C23" s="107"/>
      <c r="D23" s="107">
        <f>D14/C14 -1</f>
        <v>-0.19178906814351082</v>
      </c>
      <c r="E23" s="107">
        <f t="shared" ref="E23:H23" si="9">E14/D14 -1</f>
        <v>-0.17548041114255919</v>
      </c>
      <c r="F23" s="107">
        <f t="shared" si="9"/>
        <v>-4.2276422764227717E-2</v>
      </c>
      <c r="G23" s="107">
        <f t="shared" si="9"/>
        <v>0.32861724202980591</v>
      </c>
      <c r="H23" s="107">
        <f t="shared" si="9"/>
        <v>5.6084055090160234E-2</v>
      </c>
      <c r="I23" s="153">
        <f>CHOOSE('Main Page &amp; Assumptions'!$D$5,'Main Page &amp; Assumptions'!E11,'Main Page &amp; Assumptions'!J11,'Main Page &amp; Assumptions'!O11)</f>
        <v>0.01</v>
      </c>
      <c r="J23" s="110">
        <f>CHOOSE('Main Page &amp; Assumptions'!$D$5,'Main Page &amp; Assumptions'!F11,'Main Page &amp; Assumptions'!K11,'Main Page &amp; Assumptions'!P11)</f>
        <v>0.01</v>
      </c>
      <c r="K23" s="110">
        <f>CHOOSE('Main Page &amp; Assumptions'!$D$5,'Main Page &amp; Assumptions'!G11,'Main Page &amp; Assumptions'!L11,'Main Page &amp; Assumptions'!Q11)</f>
        <v>0.01</v>
      </c>
      <c r="L23" s="110">
        <f>CHOOSE('Main Page &amp; Assumptions'!$D$5,'Main Page &amp; Assumptions'!H11,'Main Page &amp; Assumptions'!M11,'Main Page &amp; Assumptions'!R11)</f>
        <v>1.2999999999999999E-2</v>
      </c>
      <c r="M23" s="126">
        <f>CHOOSE('Main Page &amp; Assumptions'!$D$5,'Main Page &amp; Assumptions'!I11,'Main Page &amp; Assumptions'!N11,'Main Page &amp; Assumptions'!S11)</f>
        <v>1.4999999999999999E-2</v>
      </c>
    </row>
    <row r="24" spans="2:13" x14ac:dyDescent="0.15">
      <c r="B24" s="125" t="s">
        <v>334</v>
      </c>
      <c r="C24" s="107"/>
      <c r="D24" s="107">
        <f>D13/C13-1</f>
        <v>5.701446426063761E-2</v>
      </c>
      <c r="E24" s="107">
        <f t="shared" ref="E24:H24" si="10">E13/D13-1</f>
        <v>-0.50205925335459012</v>
      </c>
      <c r="F24" s="107">
        <f t="shared" si="10"/>
        <v>0.54882604055496276</v>
      </c>
      <c r="G24" s="107">
        <f t="shared" si="10"/>
        <v>0.1760551248923341</v>
      </c>
      <c r="H24" s="107">
        <f t="shared" si="10"/>
        <v>-2.0946242859235409E-2</v>
      </c>
      <c r="I24" s="153">
        <f>CHOOSE('Main Page &amp; Assumptions'!$D$5,'Main Page &amp; Assumptions'!E12,'Main Page &amp; Assumptions'!J12,'Main Page &amp; Assumptions'!O12)</f>
        <v>0.02</v>
      </c>
      <c r="J24" s="110">
        <f>CHOOSE('Main Page &amp; Assumptions'!$D$5,'Main Page &amp; Assumptions'!F12,'Main Page &amp; Assumptions'!K12,'Main Page &amp; Assumptions'!P12)</f>
        <v>0.02</v>
      </c>
      <c r="K24" s="110">
        <f>CHOOSE('Main Page &amp; Assumptions'!$D$5,'Main Page &amp; Assumptions'!G12,'Main Page &amp; Assumptions'!L12,'Main Page &amp; Assumptions'!Q12)</f>
        <v>0.02</v>
      </c>
      <c r="L24" s="110">
        <f>CHOOSE('Main Page &amp; Assumptions'!$D$5,'Main Page &amp; Assumptions'!H12,'Main Page &amp; Assumptions'!M12,'Main Page &amp; Assumptions'!R12)</f>
        <v>0.02</v>
      </c>
      <c r="M24" s="126">
        <f>CHOOSE('Main Page &amp; Assumptions'!$D$5,'Main Page &amp; Assumptions'!I12,'Main Page &amp; Assumptions'!N12,'Main Page &amp; Assumptions'!S12)</f>
        <v>0.02</v>
      </c>
    </row>
    <row r="25" spans="2:13" x14ac:dyDescent="0.15">
      <c r="B25" s="125"/>
      <c r="C25" s="107"/>
      <c r="D25" s="107"/>
      <c r="E25" s="107"/>
      <c r="F25" s="107"/>
      <c r="G25" s="107"/>
      <c r="H25" s="107"/>
      <c r="I25" s="153"/>
      <c r="J25" s="110"/>
      <c r="K25" s="110"/>
      <c r="L25" s="110"/>
      <c r="M25" s="126"/>
    </row>
    <row r="26" spans="2:13" x14ac:dyDescent="0.15">
      <c r="B26" s="60" t="s">
        <v>5</v>
      </c>
      <c r="C26" s="109">
        <f t="shared" ref="C26:M26" si="11">C12-C15</f>
        <v>825145</v>
      </c>
      <c r="D26" s="109">
        <f t="shared" si="11"/>
        <v>761927</v>
      </c>
      <c r="E26" s="109">
        <f t="shared" si="11"/>
        <v>272856</v>
      </c>
      <c r="F26" s="109">
        <f t="shared" si="11"/>
        <v>455396</v>
      </c>
      <c r="G26" s="109">
        <f t="shared" si="11"/>
        <v>659830</v>
      </c>
      <c r="H26" s="109">
        <f t="shared" si="11"/>
        <v>632278</v>
      </c>
      <c r="I26" s="148">
        <f t="shared" si="11"/>
        <v>687222.14399999997</v>
      </c>
      <c r="J26" s="109">
        <f t="shared" si="11"/>
        <v>721995.58448640001</v>
      </c>
      <c r="K26" s="109">
        <f t="shared" si="11"/>
        <v>758528.56106141198</v>
      </c>
      <c r="L26" s="109">
        <f t="shared" si="11"/>
        <v>796910.1062511194</v>
      </c>
      <c r="M26" s="119">
        <f t="shared" si="11"/>
        <v>837233.75762742606</v>
      </c>
    </row>
    <row r="27" spans="2:13" x14ac:dyDescent="0.15">
      <c r="B27" s="60" t="s">
        <v>6</v>
      </c>
      <c r="C27" s="108">
        <f t="shared" ref="C27:H27" si="12">C26/C13</f>
        <v>57.93743856199972</v>
      </c>
      <c r="D27" s="108">
        <f t="shared" si="12"/>
        <v>50.61292679686462</v>
      </c>
      <c r="E27" s="108">
        <f t="shared" si="12"/>
        <v>36.400213447171822</v>
      </c>
      <c r="F27" s="108">
        <f t="shared" si="12"/>
        <v>39.224461670973298</v>
      </c>
      <c r="G27" s="108">
        <f t="shared" si="12"/>
        <v>48.325032957375129</v>
      </c>
      <c r="H27" s="108">
        <f t="shared" si="12"/>
        <v>47.297875523638538</v>
      </c>
      <c r="I27" s="154">
        <f>CHOOSE('Main Page &amp; Assumptions'!$D$5,'Main Page &amp; Assumptions'!E13,'Main Page &amp; Assumptions'!J13,'Main Page &amp; Assumptions'!O13)</f>
        <v>50.4</v>
      </c>
      <c r="J27" s="111">
        <f>CHOOSE('Main Page &amp; Assumptions'!$D$5,'Main Page &amp; Assumptions'!F13,'Main Page &amp; Assumptions'!K13,'Main Page &amp; Assumptions'!P13)</f>
        <v>51.911999999999999</v>
      </c>
      <c r="K27" s="111">
        <f>CHOOSE('Main Page &amp; Assumptions'!$D$5,'Main Page &amp; Assumptions'!G13,'Main Page &amp; Assumptions'!L13,'Main Page &amp; Assumptions'!Q13)</f>
        <v>53.469360000000002</v>
      </c>
      <c r="L27" s="111">
        <f>CHOOSE('Main Page &amp; Assumptions'!$D$5,'Main Page &amp; Assumptions'!H13,'Main Page &amp; Assumptions'!M13,'Main Page &amp; Assumptions'!R13)</f>
        <v>55.0734408</v>
      </c>
      <c r="M27" s="127">
        <f>CHOOSE('Main Page &amp; Assumptions'!$D$5,'Main Page &amp; Assumptions'!I13,'Main Page &amp; Assumptions'!N13,'Main Page &amp; Assumptions'!S13)</f>
        <v>56.725644024000005</v>
      </c>
    </row>
    <row r="28" spans="2:13" x14ac:dyDescent="0.15">
      <c r="B28" s="128" t="s">
        <v>7</v>
      </c>
      <c r="C28" s="129">
        <f>C$15/C$13</f>
        <v>25.126105884005057</v>
      </c>
      <c r="D28" s="129">
        <f t="shared" ref="D28:M28" si="13">D$15/D$13</f>
        <v>16.513484788096186</v>
      </c>
      <c r="E28" s="129">
        <f t="shared" si="13"/>
        <v>18.948906083244395</v>
      </c>
      <c r="F28" s="129">
        <f t="shared" si="13"/>
        <v>13.785701981050819</v>
      </c>
      <c r="G28" s="129">
        <f t="shared" si="13"/>
        <v>22.1061227479127</v>
      </c>
      <c r="H28" s="129">
        <f t="shared" si="13"/>
        <v>27.079443447037701</v>
      </c>
      <c r="I28" s="155">
        <f t="shared" si="13"/>
        <v>24.723800000000004</v>
      </c>
      <c r="J28" s="129">
        <f t="shared" si="13"/>
        <v>23.963038000000008</v>
      </c>
      <c r="K28" s="129">
        <f t="shared" si="13"/>
        <v>23.164428379999993</v>
      </c>
      <c r="L28" s="129">
        <f t="shared" si="13"/>
        <v>22.556586828939974</v>
      </c>
      <c r="M28" s="130">
        <f t="shared" si="13"/>
        <v>22.068834019374062</v>
      </c>
    </row>
    <row r="29" spans="2:13" x14ac:dyDescent="0.15">
      <c r="B29" s="60"/>
      <c r="C29" s="108"/>
      <c r="D29" s="108"/>
      <c r="E29" s="108"/>
      <c r="F29" s="108"/>
      <c r="G29" s="108"/>
      <c r="H29" s="108"/>
      <c r="I29" s="156"/>
      <c r="J29" s="108"/>
      <c r="K29" s="108"/>
      <c r="L29" s="108"/>
      <c r="M29" s="143"/>
    </row>
    <row r="30" spans="2:13" x14ac:dyDescent="0.15">
      <c r="B30" s="60"/>
      <c r="C30" s="108"/>
      <c r="D30" s="108"/>
      <c r="E30" s="108"/>
      <c r="F30" s="108"/>
      <c r="G30" s="108"/>
      <c r="H30" s="108"/>
      <c r="I30" s="156"/>
      <c r="J30" s="108"/>
      <c r="K30" s="108"/>
      <c r="L30" s="108"/>
      <c r="M30" s="143"/>
    </row>
    <row r="31" spans="2:13" x14ac:dyDescent="0.15">
      <c r="B31" s="60"/>
      <c r="I31" s="60"/>
      <c r="M31" s="61"/>
    </row>
    <row r="32" spans="2:13" ht="16" x14ac:dyDescent="0.15">
      <c r="B32" s="157" t="s">
        <v>268</v>
      </c>
      <c r="C32" s="158"/>
      <c r="D32" s="158"/>
      <c r="E32" s="158"/>
      <c r="F32" s="158"/>
      <c r="G32" s="158"/>
      <c r="H32" s="158"/>
      <c r="I32" s="157"/>
      <c r="J32" s="158"/>
      <c r="K32" s="158"/>
      <c r="L32" s="158"/>
      <c r="M32" s="159"/>
    </row>
    <row r="33" spans="2:14" x14ac:dyDescent="0.15">
      <c r="B33" s="60"/>
      <c r="I33" s="60"/>
      <c r="M33" s="61"/>
    </row>
    <row r="34" spans="2:14" x14ac:dyDescent="0.15">
      <c r="B34" s="117" t="s">
        <v>0</v>
      </c>
      <c r="C34" s="116">
        <v>394307</v>
      </c>
      <c r="D34" s="116">
        <v>463956</v>
      </c>
      <c r="E34" s="116">
        <v>430988</v>
      </c>
      <c r="F34" s="116">
        <v>488431</v>
      </c>
      <c r="G34" s="116">
        <v>563480</v>
      </c>
      <c r="H34" s="116">
        <v>557746</v>
      </c>
      <c r="I34" s="147">
        <f>I35*I36</f>
        <v>580284.03636000003</v>
      </c>
      <c r="J34" s="116">
        <f t="shared" ref="J34" si="14">J35*J36</f>
        <v>602543.73199476965</v>
      </c>
      <c r="K34" s="116">
        <f t="shared" ref="K34" si="15">K35*K36</f>
        <v>623813.52573418501</v>
      </c>
      <c r="L34" s="116">
        <f t="shared" ref="L34" si="16">L35*L36</f>
        <v>644561.56360010395</v>
      </c>
      <c r="M34" s="118">
        <f t="shared" ref="M34" si="17">M35*M36</f>
        <v>665342.22841057135</v>
      </c>
    </row>
    <row r="35" spans="2:14" x14ac:dyDescent="0.15">
      <c r="B35" s="60" t="s">
        <v>1</v>
      </c>
      <c r="C35" s="109">
        <v>3817</v>
      </c>
      <c r="D35" s="109">
        <v>3734</v>
      </c>
      <c r="E35" s="109">
        <v>3634</v>
      </c>
      <c r="F35" s="109">
        <v>4227</v>
      </c>
      <c r="G35" s="109">
        <v>4362</v>
      </c>
      <c r="H35" s="109">
        <v>4010</v>
      </c>
      <c r="I35" s="148">
        <f>H35*(1+I46)</f>
        <v>4090.2000000000003</v>
      </c>
      <c r="J35" s="109">
        <f>I35*(1+J46)</f>
        <v>4163.8236000000006</v>
      </c>
      <c r="K35" s="109">
        <f>J35*(1+K46)</f>
        <v>4226.2809539999998</v>
      </c>
      <c r="L35" s="109">
        <f>K35*(1+L46)</f>
        <v>4281.2226064019997</v>
      </c>
      <c r="M35" s="119">
        <f>L35*(1+M46)</f>
        <v>4332.597277678824</v>
      </c>
    </row>
    <row r="36" spans="2:14" x14ac:dyDescent="0.15">
      <c r="B36" s="60" t="s">
        <v>2</v>
      </c>
      <c r="C36" s="120">
        <v>103.3</v>
      </c>
      <c r="D36" s="120">
        <v>124.25</v>
      </c>
      <c r="E36" s="120">
        <v>118.6</v>
      </c>
      <c r="F36" s="120">
        <v>115.55</v>
      </c>
      <c r="G36" s="120">
        <v>129.18</v>
      </c>
      <c r="H36" s="120">
        <v>139.09</v>
      </c>
      <c r="I36" s="149">
        <f>H36*(1+I45)</f>
        <v>141.87180000000001</v>
      </c>
      <c r="J36" s="120">
        <f>I36*(1+J45)</f>
        <v>144.709236</v>
      </c>
      <c r="K36" s="120">
        <f>J36*(1+K45)</f>
        <v>147.60342072</v>
      </c>
      <c r="L36" s="120">
        <f>K36*(1+L45)</f>
        <v>150.55548913440001</v>
      </c>
      <c r="M36" s="121">
        <f>L36*(1+M45)</f>
        <v>153.56659891708802</v>
      </c>
    </row>
    <row r="37" spans="2:14" x14ac:dyDescent="0.15">
      <c r="B37" s="60" t="s">
        <v>3</v>
      </c>
      <c r="C37" s="109">
        <v>155084</v>
      </c>
      <c r="D37" s="109">
        <v>178215</v>
      </c>
      <c r="E37" s="109">
        <v>159176</v>
      </c>
      <c r="F37" s="109">
        <v>168499</v>
      </c>
      <c r="G37" s="109">
        <v>170280</v>
      </c>
      <c r="H37" s="109">
        <v>187665</v>
      </c>
      <c r="I37" s="148">
        <f>I34-(I49*I35)</f>
        <v>217974.12036</v>
      </c>
      <c r="J37" s="109">
        <f>J34-(J49*J35)</f>
        <v>222647.29267212964</v>
      </c>
      <c r="K37" s="109">
        <f>K34-(K49*K35)</f>
        <v>226650.79324433109</v>
      </c>
      <c r="L37" s="109">
        <f>L34-(L49*L35)</f>
        <v>230165.94014751527</v>
      </c>
      <c r="M37" s="119">
        <f>M34-(M49*M35)</f>
        <v>233392.80634853092</v>
      </c>
      <c r="N37" s="109"/>
    </row>
    <row r="38" spans="2:14" x14ac:dyDescent="0.15">
      <c r="B38" s="60"/>
      <c r="I38" s="60"/>
      <c r="M38" s="61"/>
    </row>
    <row r="39" spans="2:14" x14ac:dyDescent="0.15">
      <c r="B39" s="122" t="s">
        <v>337</v>
      </c>
      <c r="C39" s="6"/>
      <c r="D39" s="6"/>
      <c r="E39" s="6"/>
      <c r="F39" s="6"/>
      <c r="G39" s="6"/>
      <c r="H39" s="6"/>
      <c r="I39" s="122"/>
      <c r="J39" s="6"/>
      <c r="K39" s="6"/>
      <c r="L39" s="6"/>
      <c r="M39" s="123"/>
    </row>
    <row r="40" spans="2:14" x14ac:dyDescent="0.15">
      <c r="B40" s="60"/>
      <c r="I40" s="60"/>
      <c r="M40" s="61"/>
    </row>
    <row r="41" spans="2:14" x14ac:dyDescent="0.15">
      <c r="B41" s="60" t="s">
        <v>4</v>
      </c>
      <c r="C41" s="107">
        <f>C37/C34</f>
        <v>0.39330775258871892</v>
      </c>
      <c r="D41" s="107">
        <f t="shared" ref="D41:M41" si="18">D37/D34</f>
        <v>0.38412047694177898</v>
      </c>
      <c r="E41" s="107">
        <f t="shared" si="18"/>
        <v>0.36932814834751782</v>
      </c>
      <c r="F41" s="107">
        <f t="shared" si="18"/>
        <v>0.34498015072753369</v>
      </c>
      <c r="G41" s="107">
        <f t="shared" si="18"/>
        <v>0.30219351174842052</v>
      </c>
      <c r="H41" s="107">
        <f t="shared" si="18"/>
        <v>0.33647036464627267</v>
      </c>
      <c r="I41" s="150">
        <f t="shared" si="18"/>
        <v>0.37563349446472094</v>
      </c>
      <c r="J41" s="107">
        <f t="shared" si="18"/>
        <v>0.36951225421437511</v>
      </c>
      <c r="K41" s="107">
        <f t="shared" si="18"/>
        <v>0.36333100180471223</v>
      </c>
      <c r="L41" s="107">
        <f t="shared" si="18"/>
        <v>0.357089148881229</v>
      </c>
      <c r="M41" s="124">
        <f t="shared" si="18"/>
        <v>0.35078610132124094</v>
      </c>
    </row>
    <row r="42" spans="2:14" x14ac:dyDescent="0.15">
      <c r="B42" s="131" t="s">
        <v>330</v>
      </c>
      <c r="C42" s="132">
        <f t="shared" ref="C42:M42" si="19">C$34/C$7</f>
        <v>0.24998890507691002</v>
      </c>
      <c r="D42" s="132">
        <f t="shared" si="19"/>
        <v>0.31465801094218493</v>
      </c>
      <c r="E42" s="132">
        <f t="shared" si="19"/>
        <v>0.50951134019399802</v>
      </c>
      <c r="F42" s="132">
        <f t="shared" si="19"/>
        <v>0.44246787917878683</v>
      </c>
      <c r="G42" s="132">
        <f t="shared" si="19"/>
        <v>0.36945946849713501</v>
      </c>
      <c r="H42" s="132">
        <f t="shared" si="19"/>
        <v>0.35936732855590964</v>
      </c>
      <c r="I42" s="151">
        <f t="shared" si="19"/>
        <v>0.36163238390588293</v>
      </c>
      <c r="J42" s="132">
        <f t="shared" si="19"/>
        <v>0.36345571086620865</v>
      </c>
      <c r="K42" s="132">
        <f t="shared" si="19"/>
        <v>0.36459897883567599</v>
      </c>
      <c r="L42" s="132">
        <f t="shared" si="19"/>
        <v>0.36459897883567605</v>
      </c>
      <c r="M42" s="133">
        <f t="shared" si="19"/>
        <v>0.36391351139470068</v>
      </c>
    </row>
    <row r="43" spans="2:14" x14ac:dyDescent="0.15">
      <c r="B43" s="60"/>
      <c r="C43" s="107"/>
      <c r="D43" s="107"/>
      <c r="E43" s="107"/>
      <c r="F43" s="107"/>
      <c r="G43" s="107"/>
      <c r="H43" s="107"/>
      <c r="I43" s="150"/>
      <c r="J43" s="107"/>
      <c r="K43" s="107"/>
      <c r="L43" s="107"/>
      <c r="M43" s="124"/>
    </row>
    <row r="44" spans="2:14" x14ac:dyDescent="0.15">
      <c r="B44" s="117" t="s">
        <v>331</v>
      </c>
      <c r="C44" s="134"/>
      <c r="D44" s="134">
        <f>D34/C34 -1</f>
        <v>0.17663647868285381</v>
      </c>
      <c r="E44" s="134">
        <f>E34/D34 -1</f>
        <v>-7.1058462440403813E-2</v>
      </c>
      <c r="F44" s="134">
        <f>F34/E34 -1</f>
        <v>0.13328213314523829</v>
      </c>
      <c r="G44" s="134">
        <f>G34/F34 -1</f>
        <v>0.15365322839868889</v>
      </c>
      <c r="H44" s="134">
        <f>H34/G34 -1</f>
        <v>-1.0176048839355412E-2</v>
      </c>
      <c r="I44" s="152">
        <f>I34/H34-1</f>
        <v>4.0409140289666023E-2</v>
      </c>
      <c r="J44" s="135">
        <f t="shared" ref="J44:M44" si="20">J34/I34-1</f>
        <v>3.835999999999995E-2</v>
      </c>
      <c r="K44" s="135">
        <f t="shared" si="20"/>
        <v>3.5299999999999887E-2</v>
      </c>
      <c r="L44" s="135">
        <f t="shared" si="20"/>
        <v>3.3259999999999845E-2</v>
      </c>
      <c r="M44" s="136">
        <f t="shared" si="20"/>
        <v>3.2240000000000046E-2</v>
      </c>
    </row>
    <row r="45" spans="2:14" x14ac:dyDescent="0.15">
      <c r="B45" s="125" t="s">
        <v>333</v>
      </c>
      <c r="C45" s="107"/>
      <c r="D45" s="107">
        <f>D36/C36 -1</f>
        <v>0.20280735721200394</v>
      </c>
      <c r="E45" s="107">
        <f>E36/D36 -1</f>
        <v>-4.5472837022132895E-2</v>
      </c>
      <c r="F45" s="107">
        <f>F36/E36 -1</f>
        <v>-2.5716694772343951E-2</v>
      </c>
      <c r="G45" s="107">
        <f>G36/F36 -1</f>
        <v>0.11795759411510187</v>
      </c>
      <c r="H45" s="107">
        <f>H36/G36 -1</f>
        <v>7.6714661712339316E-2</v>
      </c>
      <c r="I45" s="153">
        <f>CHOOSE('Main Page &amp; Assumptions'!$D$5,'Main Page &amp; Assumptions'!E14,'Main Page &amp; Assumptions'!J14,'Main Page &amp; Assumptions'!O14)</f>
        <v>0.02</v>
      </c>
      <c r="J45" s="110">
        <f>CHOOSE('Main Page &amp; Assumptions'!$D$5,'Main Page &amp; Assumptions'!F14,'Main Page &amp; Assumptions'!K14,'Main Page &amp; Assumptions'!P14)</f>
        <v>0.02</v>
      </c>
      <c r="K45" s="110">
        <f>CHOOSE('Main Page &amp; Assumptions'!$D$5,'Main Page &amp; Assumptions'!G14,'Main Page &amp; Assumptions'!L14,'Main Page &amp; Assumptions'!Q14)</f>
        <v>0.02</v>
      </c>
      <c r="L45" s="110">
        <f>CHOOSE('Main Page &amp; Assumptions'!$D$5,'Main Page &amp; Assumptions'!H14,'Main Page &amp; Assumptions'!M14,'Main Page &amp; Assumptions'!R14)</f>
        <v>0.02</v>
      </c>
      <c r="M45" s="126">
        <f>CHOOSE('Main Page &amp; Assumptions'!$D$5,'Main Page &amp; Assumptions'!I14,'Main Page &amp; Assumptions'!N14,'Main Page &amp; Assumptions'!S14)</f>
        <v>0.02</v>
      </c>
    </row>
    <row r="46" spans="2:14" x14ac:dyDescent="0.15">
      <c r="B46" s="125" t="s">
        <v>334</v>
      </c>
      <c r="C46" s="107"/>
      <c r="D46" s="107">
        <f>D35/C35-1</f>
        <v>-2.174482577940795E-2</v>
      </c>
      <c r="E46" s="107">
        <f t="shared" ref="E46:H46" si="21">E35/D35-1</f>
        <v>-2.6780931976432831E-2</v>
      </c>
      <c r="F46" s="107">
        <f t="shared" si="21"/>
        <v>0.16318106769400109</v>
      </c>
      <c r="G46" s="107">
        <f t="shared" si="21"/>
        <v>3.1937544357700576E-2</v>
      </c>
      <c r="H46" s="107">
        <f t="shared" si="21"/>
        <v>-8.0696928014672209E-2</v>
      </c>
      <c r="I46" s="153">
        <f>CHOOSE('Main Page &amp; Assumptions'!$D$5,'Main Page &amp; Assumptions'!E15,'Main Page &amp; Assumptions'!J15,'Main Page &amp; Assumptions'!O15)</f>
        <v>0.02</v>
      </c>
      <c r="J46" s="110">
        <f>CHOOSE('Main Page &amp; Assumptions'!$D$5,'Main Page &amp; Assumptions'!F15,'Main Page &amp; Assumptions'!K15,'Main Page &amp; Assumptions'!P15)</f>
        <v>1.7999999999999999E-2</v>
      </c>
      <c r="K46" s="110">
        <f>CHOOSE('Main Page &amp; Assumptions'!$D$5,'Main Page &amp; Assumptions'!G15,'Main Page &amp; Assumptions'!L15,'Main Page &amp; Assumptions'!Q15)</f>
        <v>1.4999999999999999E-2</v>
      </c>
      <c r="L46" s="110">
        <f>CHOOSE('Main Page &amp; Assumptions'!$D$5,'Main Page &amp; Assumptions'!H15,'Main Page &amp; Assumptions'!M15,'Main Page &amp; Assumptions'!R15)</f>
        <v>1.2999999999999999E-2</v>
      </c>
      <c r="M46" s="126">
        <f>CHOOSE('Main Page &amp; Assumptions'!$D$5,'Main Page &amp; Assumptions'!I15,'Main Page &amp; Assumptions'!N15,'Main Page &amp; Assumptions'!S15)</f>
        <v>1.2E-2</v>
      </c>
    </row>
    <row r="47" spans="2:14" x14ac:dyDescent="0.15">
      <c r="B47" s="125"/>
      <c r="C47" s="107"/>
      <c r="D47" s="107"/>
      <c r="E47" s="107"/>
      <c r="F47" s="107"/>
      <c r="G47" s="107"/>
      <c r="H47" s="107"/>
      <c r="I47" s="153"/>
      <c r="J47" s="110"/>
      <c r="K47" s="110"/>
      <c r="L47" s="110"/>
      <c r="M47" s="126"/>
    </row>
    <row r="48" spans="2:14" x14ac:dyDescent="0.15">
      <c r="B48" s="60" t="s">
        <v>5</v>
      </c>
      <c r="C48" s="109">
        <f t="shared" ref="C48:M48" si="22">C34-C37</f>
        <v>239223</v>
      </c>
      <c r="D48" s="109">
        <f t="shared" si="22"/>
        <v>285741</v>
      </c>
      <c r="E48" s="109">
        <f t="shared" si="22"/>
        <v>271812</v>
      </c>
      <c r="F48" s="109">
        <f t="shared" si="22"/>
        <v>319932</v>
      </c>
      <c r="G48" s="109">
        <f t="shared" si="22"/>
        <v>393200</v>
      </c>
      <c r="H48" s="109">
        <f t="shared" si="22"/>
        <v>370081</v>
      </c>
      <c r="I48" s="148">
        <f t="shared" si="22"/>
        <v>362309.91600000003</v>
      </c>
      <c r="J48" s="109">
        <f t="shared" si="22"/>
        <v>379896.43932264001</v>
      </c>
      <c r="K48" s="109">
        <f t="shared" si="22"/>
        <v>397162.73248985392</v>
      </c>
      <c r="L48" s="109">
        <f t="shared" si="22"/>
        <v>414395.62345258868</v>
      </c>
      <c r="M48" s="119">
        <f t="shared" si="22"/>
        <v>431949.42206204042</v>
      </c>
    </row>
    <row r="49" spans="2:13" x14ac:dyDescent="0.15">
      <c r="B49" s="60" t="s">
        <v>6</v>
      </c>
      <c r="C49" s="108">
        <f t="shared" ref="C49:H49" si="23">C48/C35</f>
        <v>62.673041655750588</v>
      </c>
      <c r="D49" s="108">
        <f t="shared" si="23"/>
        <v>76.524102838778788</v>
      </c>
      <c r="E49" s="108">
        <f t="shared" si="23"/>
        <v>74.796917996697857</v>
      </c>
      <c r="F49" s="108">
        <f t="shared" si="23"/>
        <v>75.687721788502486</v>
      </c>
      <c r="G49" s="108">
        <f t="shared" si="23"/>
        <v>90.142136634571301</v>
      </c>
      <c r="H49" s="108">
        <f t="shared" si="23"/>
        <v>92.289526184538659</v>
      </c>
      <c r="I49" s="154">
        <f>CHOOSE('Main Page &amp; Assumptions'!$D$5,'Main Page &amp; Assumptions'!E16,'Main Page &amp; Assumptions'!J16,'Main Page &amp; Assumptions'!O16)</f>
        <v>88.58</v>
      </c>
      <c r="J49" s="111">
        <f>CHOOSE('Main Page &amp; Assumptions'!$D$5,'Main Page &amp; Assumptions'!F16,'Main Page &amp; Assumptions'!K16,'Main Page &amp; Assumptions'!P16)</f>
        <v>91.237399999999994</v>
      </c>
      <c r="K49" s="111">
        <f>CHOOSE('Main Page &amp; Assumptions'!$D$5,'Main Page &amp; Assumptions'!G16,'Main Page &amp; Assumptions'!L16,'Main Page &amp; Assumptions'!Q16)</f>
        <v>93.974521999999993</v>
      </c>
      <c r="L49" s="111">
        <f>CHOOSE('Main Page &amp; Assumptions'!$D$5,'Main Page &amp; Assumptions'!H16,'Main Page &amp; Assumptions'!M16,'Main Page &amp; Assumptions'!R16)</f>
        <v>96.793757659999997</v>
      </c>
      <c r="M49" s="127">
        <f>CHOOSE('Main Page &amp; Assumptions'!$D$5,'Main Page &amp; Assumptions'!I16,'Main Page &amp; Assumptions'!N16,'Main Page &amp; Assumptions'!S16)</f>
        <v>99.697570389800006</v>
      </c>
    </row>
    <row r="50" spans="2:13" x14ac:dyDescent="0.15">
      <c r="B50" s="128" t="s">
        <v>7</v>
      </c>
      <c r="C50" s="129">
        <f t="shared" ref="C50:M50" si="24">C37/C35</f>
        <v>40.629813990044539</v>
      </c>
      <c r="D50" s="129">
        <f t="shared" si="24"/>
        <v>47.727637921799676</v>
      </c>
      <c r="E50" s="129">
        <f t="shared" si="24"/>
        <v>43.801871216290586</v>
      </c>
      <c r="F50" s="129">
        <f t="shared" si="24"/>
        <v>39.86255027206056</v>
      </c>
      <c r="G50" s="129">
        <f t="shared" si="24"/>
        <v>39.037138927097665</v>
      </c>
      <c r="H50" s="129">
        <f t="shared" si="24"/>
        <v>46.799251870324191</v>
      </c>
      <c r="I50" s="155">
        <f t="shared" si="24"/>
        <v>53.291799999999995</v>
      </c>
      <c r="J50" s="129">
        <f t="shared" si="24"/>
        <v>53.471836000000003</v>
      </c>
      <c r="K50" s="129">
        <f t="shared" si="24"/>
        <v>53.628898720000031</v>
      </c>
      <c r="L50" s="129">
        <f t="shared" si="24"/>
        <v>53.761731474400023</v>
      </c>
      <c r="M50" s="130">
        <f t="shared" si="24"/>
        <v>53.869028527288009</v>
      </c>
    </row>
    <row r="55" spans="2:13" x14ac:dyDescent="0.15">
      <c r="B55" s="73" t="s">
        <v>332</v>
      </c>
      <c r="C55">
        <f t="shared" ref="C55:M55" si="25">C42+C20</f>
        <v>1</v>
      </c>
      <c r="D55">
        <f t="shared" si="25"/>
        <v>1</v>
      </c>
      <c r="E55">
        <f t="shared" si="25"/>
        <v>1</v>
      </c>
      <c r="F55">
        <f t="shared" si="25"/>
        <v>1</v>
      </c>
      <c r="G55">
        <f t="shared" si="25"/>
        <v>1</v>
      </c>
      <c r="H55">
        <f t="shared" si="25"/>
        <v>1</v>
      </c>
      <c r="I55">
        <f t="shared" si="25"/>
        <v>1</v>
      </c>
      <c r="J55">
        <f t="shared" si="25"/>
        <v>1</v>
      </c>
      <c r="K55">
        <f t="shared" si="25"/>
        <v>1</v>
      </c>
      <c r="L55">
        <f t="shared" si="25"/>
        <v>1</v>
      </c>
      <c r="M55">
        <f t="shared" si="25"/>
        <v>1</v>
      </c>
    </row>
    <row r="76" spans="4:8" x14ac:dyDescent="0.15">
      <c r="D76">
        <f>122.289/D7 * 1000</f>
        <v>8.2937204174768409E-2</v>
      </c>
      <c r="H76">
        <f>65.47/'Revenue Build'!H7*1000</f>
        <v>4.2183680385973914E-2</v>
      </c>
    </row>
  </sheetData>
  <mergeCells count="2">
    <mergeCell ref="C5:H5"/>
    <mergeCell ref="I5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EE93-9A6D-BA41-8303-8C07098AAE88}">
  <dimension ref="A1:I30"/>
  <sheetViews>
    <sheetView showGridLines="0" zoomScale="134" workbookViewId="0"/>
  </sheetViews>
  <sheetFormatPr baseColWidth="10" defaultRowHeight="13" x14ac:dyDescent="0.15"/>
  <cols>
    <col min="2" max="2" width="29.6640625" bestFit="1" customWidth="1"/>
  </cols>
  <sheetData>
    <row r="1" spans="1:9" x14ac:dyDescent="0.15">
      <c r="A1" s="3" t="str">
        <f>HYPERLINK("#'Table of Contents'!A1","&lt;--------")</f>
        <v>&lt;--------</v>
      </c>
    </row>
    <row r="2" spans="1:9" ht="18" x14ac:dyDescent="0.2">
      <c r="B2" s="114" t="s">
        <v>386</v>
      </c>
    </row>
    <row r="3" spans="1:9" ht="16" x14ac:dyDescent="0.15">
      <c r="B3" s="104" t="s">
        <v>363</v>
      </c>
      <c r="C3" s="103"/>
      <c r="D3" s="103"/>
      <c r="E3" s="103"/>
      <c r="F3" s="103"/>
      <c r="G3" s="178"/>
    </row>
    <row r="4" spans="1:9" x14ac:dyDescent="0.15">
      <c r="B4" s="173"/>
      <c r="C4" s="265" t="s">
        <v>364</v>
      </c>
      <c r="D4" s="265"/>
      <c r="E4" s="265"/>
      <c r="F4" s="265"/>
      <c r="G4" s="266"/>
    </row>
    <row r="5" spans="1:9" x14ac:dyDescent="0.15">
      <c r="B5" s="122" t="s">
        <v>11</v>
      </c>
      <c r="C5" s="13">
        <v>2024</v>
      </c>
      <c r="D5" s="13">
        <f>C5+1</f>
        <v>2025</v>
      </c>
      <c r="E5" s="13">
        <f t="shared" ref="E5:G5" si="0">D5+1</f>
        <v>2026</v>
      </c>
      <c r="F5" s="13">
        <f t="shared" si="0"/>
        <v>2027</v>
      </c>
      <c r="G5" s="15">
        <f t="shared" si="0"/>
        <v>2028</v>
      </c>
    </row>
    <row r="6" spans="1:9" x14ac:dyDescent="0.15">
      <c r="B6" s="267" t="s">
        <v>365</v>
      </c>
      <c r="C6" s="268"/>
      <c r="D6" s="268"/>
      <c r="E6" s="268"/>
      <c r="F6" s="268"/>
      <c r="G6" s="269"/>
    </row>
    <row r="7" spans="1:9" x14ac:dyDescent="0.15">
      <c r="B7" s="60" t="s">
        <v>366</v>
      </c>
      <c r="C7" s="1">
        <f>'Individual Cash Flow'!I37</f>
        <v>143.86485440005458</v>
      </c>
      <c r="D7" s="1">
        <f>'Individual Cash Flow'!J37</f>
        <v>148.87548726996073</v>
      </c>
      <c r="E7" s="1">
        <f>'Individual Cash Flow'!K37</f>
        <v>151.33485311146558</v>
      </c>
      <c r="F7" s="1">
        <f>'Individual Cash Flow'!L37</f>
        <v>152.36827384583069</v>
      </c>
      <c r="G7" s="59">
        <f>'Individual Cash Flow'!M37</f>
        <v>153.10951128527998</v>
      </c>
    </row>
    <row r="8" spans="1:9" x14ac:dyDescent="0.15">
      <c r="B8" s="60"/>
      <c r="C8" s="1"/>
      <c r="D8" s="1"/>
      <c r="E8" s="1"/>
      <c r="F8" s="1"/>
      <c r="G8" s="59"/>
    </row>
    <row r="9" spans="1:9" x14ac:dyDescent="0.15">
      <c r="B9" s="267" t="s">
        <v>367</v>
      </c>
      <c r="C9" s="270"/>
      <c r="D9" s="270"/>
      <c r="E9" s="270"/>
      <c r="F9" s="270"/>
      <c r="G9" s="271"/>
      <c r="I9" s="109"/>
    </row>
    <row r="10" spans="1:9" x14ac:dyDescent="0.15">
      <c r="B10" s="60" t="s">
        <v>368</v>
      </c>
      <c r="C10">
        <f>SUM(C11:C16)</f>
        <v>5</v>
      </c>
      <c r="D10">
        <f t="shared" ref="D10:G10" si="1">SUM(D11:D16)</f>
        <v>5</v>
      </c>
      <c r="E10">
        <f t="shared" si="1"/>
        <v>5</v>
      </c>
      <c r="F10">
        <f t="shared" si="1"/>
        <v>5</v>
      </c>
      <c r="G10" s="61">
        <f t="shared" si="1"/>
        <v>5</v>
      </c>
    </row>
    <row r="11" spans="1:9" x14ac:dyDescent="0.15">
      <c r="B11" s="125" t="s">
        <v>369</v>
      </c>
      <c r="C11" s="62">
        <v>1.2</v>
      </c>
      <c r="D11" s="62">
        <v>1.2</v>
      </c>
      <c r="E11" s="62">
        <v>1.2</v>
      </c>
      <c r="F11" s="62">
        <v>1.2</v>
      </c>
      <c r="G11" s="63">
        <v>1.2</v>
      </c>
    </row>
    <row r="12" spans="1:9" x14ac:dyDescent="0.15">
      <c r="B12" s="125" t="s">
        <v>370</v>
      </c>
      <c r="C12" s="62">
        <v>0.7</v>
      </c>
      <c r="D12" s="62">
        <v>0.7</v>
      </c>
      <c r="E12" s="62">
        <v>0.7</v>
      </c>
      <c r="F12" s="62">
        <v>0.7</v>
      </c>
      <c r="G12" s="63">
        <v>0.7</v>
      </c>
    </row>
    <row r="13" spans="1:9" x14ac:dyDescent="0.15">
      <c r="B13" s="125" t="s">
        <v>371</v>
      </c>
      <c r="C13" s="62">
        <v>1.5</v>
      </c>
      <c r="D13" s="62">
        <v>1.5</v>
      </c>
      <c r="E13" s="62">
        <v>1.5</v>
      </c>
      <c r="F13" s="62">
        <v>1.5</v>
      </c>
      <c r="G13" s="63">
        <v>1.5</v>
      </c>
    </row>
    <row r="14" spans="1:9" x14ac:dyDescent="0.15">
      <c r="B14" s="125" t="s">
        <v>372</v>
      </c>
      <c r="C14" s="62">
        <v>0.6</v>
      </c>
      <c r="D14" s="62">
        <v>0.6</v>
      </c>
      <c r="E14" s="62">
        <v>0.6</v>
      </c>
      <c r="F14" s="62">
        <v>0.6</v>
      </c>
      <c r="G14" s="63">
        <v>0.6</v>
      </c>
    </row>
    <row r="15" spans="1:9" x14ac:dyDescent="0.15">
      <c r="B15" s="125" t="s">
        <v>385</v>
      </c>
      <c r="C15" s="62">
        <v>1</v>
      </c>
      <c r="D15" s="62">
        <v>1</v>
      </c>
      <c r="E15" s="62">
        <v>1</v>
      </c>
      <c r="F15" s="62">
        <v>1</v>
      </c>
      <c r="G15" s="63">
        <v>1</v>
      </c>
    </row>
    <row r="16" spans="1:9" x14ac:dyDescent="0.15">
      <c r="B16" s="125" t="s">
        <v>373</v>
      </c>
      <c r="C16" s="62">
        <v>0</v>
      </c>
      <c r="D16" s="62">
        <v>0</v>
      </c>
      <c r="E16" s="62">
        <v>0</v>
      </c>
      <c r="F16" s="62">
        <v>0</v>
      </c>
      <c r="G16" s="63">
        <v>0</v>
      </c>
    </row>
    <row r="17" spans="2:7" x14ac:dyDescent="0.15">
      <c r="B17" s="131" t="s">
        <v>374</v>
      </c>
      <c r="C17" s="53">
        <f>C10</f>
        <v>5</v>
      </c>
      <c r="D17" s="53">
        <f t="shared" ref="D17:G17" si="2">D10</f>
        <v>5</v>
      </c>
      <c r="E17" s="53">
        <f t="shared" si="2"/>
        <v>5</v>
      </c>
      <c r="F17" s="53">
        <f t="shared" si="2"/>
        <v>5</v>
      </c>
      <c r="G17" s="174">
        <f t="shared" si="2"/>
        <v>5</v>
      </c>
    </row>
    <row r="18" spans="2:7" x14ac:dyDescent="0.15">
      <c r="B18" s="60"/>
      <c r="G18" s="61"/>
    </row>
    <row r="19" spans="2:7" x14ac:dyDescent="0.15">
      <c r="B19" s="267" t="s">
        <v>375</v>
      </c>
      <c r="C19" s="270"/>
      <c r="D19" s="270"/>
      <c r="E19" s="270"/>
      <c r="F19" s="270"/>
      <c r="G19" s="271"/>
    </row>
    <row r="20" spans="2:7" x14ac:dyDescent="0.15">
      <c r="B20" s="131" t="s">
        <v>376</v>
      </c>
      <c r="C20" s="1">
        <f>C7+C17</f>
        <v>148.86485440005458</v>
      </c>
      <c r="D20" s="1">
        <f>D7+D17</f>
        <v>153.87548726996073</v>
      </c>
      <c r="E20" s="1">
        <f>E7+E17</f>
        <v>156.33485311146558</v>
      </c>
      <c r="F20" s="1">
        <f>F7+F17</f>
        <v>157.36827384583069</v>
      </c>
      <c r="G20" s="59">
        <f>G7+G17</f>
        <v>158.10951128527998</v>
      </c>
    </row>
    <row r="21" spans="2:7" x14ac:dyDescent="0.15">
      <c r="B21" s="138" t="s">
        <v>377</v>
      </c>
      <c r="C21" s="139">
        <f>C20/'[1]H.B. Fuller BAS Operating'!F7</f>
        <v>0.16644102683369252</v>
      </c>
      <c r="D21" s="139">
        <f>D20/'[1]H.B. Fuller BAS Operating'!G7</f>
        <v>0.16542620672857689</v>
      </c>
      <c r="E21" s="139">
        <f>E20/'[1]H.B. Fuller BAS Operating'!H7</f>
        <v>0.16238665291026069</v>
      </c>
      <c r="F21" s="139">
        <f>F20/'[1]H.B. Fuller BAS Operating'!I7</f>
        <v>0.15793244239076615</v>
      </c>
      <c r="G21" s="142">
        <f>G20/'[1]H.B. Fuller BAS Operating'!J7</f>
        <v>0.1540546962931072</v>
      </c>
    </row>
    <row r="22" spans="2:7" x14ac:dyDescent="0.15">
      <c r="B22" s="60"/>
      <c r="G22" s="61"/>
    </row>
    <row r="23" spans="2:7" x14ac:dyDescent="0.15">
      <c r="B23" s="267" t="s">
        <v>378</v>
      </c>
      <c r="C23" s="270"/>
      <c r="D23" s="270"/>
      <c r="E23" s="270"/>
      <c r="F23" s="270"/>
      <c r="G23" s="271"/>
    </row>
    <row r="24" spans="2:7" x14ac:dyDescent="0.15">
      <c r="B24" s="60" t="s">
        <v>371</v>
      </c>
      <c r="C24" s="62">
        <v>8</v>
      </c>
      <c r="D24" s="62">
        <v>4</v>
      </c>
      <c r="E24" s="62">
        <v>0</v>
      </c>
      <c r="F24" s="62">
        <v>0</v>
      </c>
      <c r="G24" s="63">
        <v>0</v>
      </c>
    </row>
    <row r="25" spans="2:7" x14ac:dyDescent="0.15">
      <c r="B25" s="60" t="s">
        <v>379</v>
      </c>
      <c r="C25" s="62">
        <v>4</v>
      </c>
      <c r="D25" s="62">
        <v>1</v>
      </c>
      <c r="E25" s="62">
        <v>0</v>
      </c>
      <c r="F25" s="62">
        <v>0</v>
      </c>
      <c r="G25" s="63">
        <v>0</v>
      </c>
    </row>
    <row r="26" spans="2:7" x14ac:dyDescent="0.15">
      <c r="B26" s="60" t="s">
        <v>380</v>
      </c>
      <c r="C26" s="62">
        <v>2</v>
      </c>
      <c r="D26" s="62">
        <v>1</v>
      </c>
      <c r="E26" s="62">
        <v>0</v>
      </c>
      <c r="F26" s="62">
        <v>0</v>
      </c>
      <c r="G26" s="63">
        <v>0</v>
      </c>
    </row>
    <row r="27" spans="2:7" x14ac:dyDescent="0.15">
      <c r="B27" s="60" t="s">
        <v>381</v>
      </c>
      <c r="C27" s="62">
        <v>1</v>
      </c>
      <c r="D27" s="62">
        <v>0</v>
      </c>
      <c r="E27" s="62">
        <v>0</v>
      </c>
      <c r="F27" s="62">
        <v>0</v>
      </c>
      <c r="G27" s="63">
        <v>0</v>
      </c>
    </row>
    <row r="28" spans="2:7" x14ac:dyDescent="0.15">
      <c r="B28" s="60" t="s">
        <v>382</v>
      </c>
      <c r="C28" s="62">
        <v>0</v>
      </c>
      <c r="D28" s="62">
        <v>0</v>
      </c>
      <c r="E28" s="62">
        <v>0</v>
      </c>
      <c r="F28" s="62">
        <v>0</v>
      </c>
      <c r="G28" s="63">
        <v>0</v>
      </c>
    </row>
    <row r="29" spans="2:7" x14ac:dyDescent="0.15">
      <c r="B29" s="60" t="s">
        <v>383</v>
      </c>
      <c r="C29" s="62">
        <v>2</v>
      </c>
      <c r="D29" s="62">
        <v>1</v>
      </c>
      <c r="E29" s="62">
        <v>0</v>
      </c>
      <c r="F29" s="62">
        <v>0</v>
      </c>
      <c r="G29" s="63">
        <v>0</v>
      </c>
    </row>
    <row r="30" spans="2:7" x14ac:dyDescent="0.15">
      <c r="B30" s="175" t="s">
        <v>384</v>
      </c>
      <c r="C30" s="176">
        <f>SUM(C24:C29)</f>
        <v>17</v>
      </c>
      <c r="D30" s="176">
        <f t="shared" ref="D30:G30" si="3">SUM(D24:D29)</f>
        <v>7</v>
      </c>
      <c r="E30" s="176">
        <f t="shared" si="3"/>
        <v>0</v>
      </c>
      <c r="F30" s="176">
        <f t="shared" si="3"/>
        <v>0</v>
      </c>
      <c r="G30" s="177">
        <f t="shared" si="3"/>
        <v>0</v>
      </c>
    </row>
  </sheetData>
  <mergeCells count="5">
    <mergeCell ref="C4:G4"/>
    <mergeCell ref="B6:G6"/>
    <mergeCell ref="B9:G9"/>
    <mergeCell ref="B19:G19"/>
    <mergeCell ref="B23:G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842F-5DE4-E943-9D98-7B04F08BE5D5}">
  <dimension ref="A1:R147"/>
  <sheetViews>
    <sheetView showGridLines="0" topLeftCell="B1" zoomScale="134" workbookViewId="0">
      <selection activeCell="B1" sqref="B1"/>
    </sheetView>
  </sheetViews>
  <sheetFormatPr baseColWidth="10" defaultRowHeight="13" x14ac:dyDescent="0.15"/>
  <cols>
    <col min="1" max="1" width="21.1640625" hidden="1" customWidth="1"/>
    <col min="2" max="2" width="5.5" customWidth="1"/>
    <col min="3" max="3" width="45.33203125" customWidth="1"/>
  </cols>
  <sheetData>
    <row r="1" spans="1:14" x14ac:dyDescent="0.15">
      <c r="B1" s="3" t="str">
        <f>HYPERLINK("#'Table of Contents'!A1", "&lt;---------")</f>
        <v>&lt;---------</v>
      </c>
    </row>
    <row r="2" spans="1:14" ht="20" x14ac:dyDescent="0.2">
      <c r="C2" s="4" t="s">
        <v>493</v>
      </c>
    </row>
    <row r="3" spans="1:14" ht="18" x14ac:dyDescent="0.15">
      <c r="C3" s="279" t="s">
        <v>496</v>
      </c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</row>
    <row r="4" spans="1:14" x14ac:dyDescent="0.15">
      <c r="C4" s="5"/>
      <c r="D4" s="261"/>
      <c r="E4" s="261"/>
      <c r="F4" s="261"/>
      <c r="G4" s="261"/>
      <c r="H4" s="261"/>
      <c r="I4" s="261"/>
      <c r="J4" s="276" t="s">
        <v>157</v>
      </c>
      <c r="K4" s="276"/>
      <c r="L4" s="276"/>
      <c r="M4" s="276"/>
      <c r="N4" s="277"/>
    </row>
    <row r="5" spans="1:14" x14ac:dyDescent="0.15">
      <c r="C5" s="6" t="s">
        <v>11</v>
      </c>
      <c r="D5" s="7">
        <f>'SLCA Raw'!B3</f>
        <v>43465</v>
      </c>
      <c r="E5" s="7">
        <f t="shared" ref="E5:N5" si="0">EDATE(D5,12)</f>
        <v>43830</v>
      </c>
      <c r="F5" s="7">
        <f t="shared" si="0"/>
        <v>44196</v>
      </c>
      <c r="G5" s="7">
        <f t="shared" si="0"/>
        <v>44561</v>
      </c>
      <c r="H5" s="7">
        <f t="shared" si="0"/>
        <v>44926</v>
      </c>
      <c r="I5" s="7">
        <f t="shared" si="0"/>
        <v>45291</v>
      </c>
      <c r="J5" s="8">
        <f>EDATE(I5,12)</f>
        <v>45657</v>
      </c>
      <c r="K5" s="8">
        <f t="shared" ref="K5:L5" si="1">EDATE(J5,12)</f>
        <v>46022</v>
      </c>
      <c r="L5" s="8">
        <f t="shared" si="1"/>
        <v>46387</v>
      </c>
      <c r="M5" s="7">
        <f t="shared" si="0"/>
        <v>46752</v>
      </c>
      <c r="N5" s="9">
        <f t="shared" si="0"/>
        <v>47118</v>
      </c>
    </row>
    <row r="6" spans="1:14" x14ac:dyDescent="0.15">
      <c r="D6" s="10" t="s">
        <v>13</v>
      </c>
      <c r="E6" s="10" t="s">
        <v>13</v>
      </c>
      <c r="F6" s="10" t="s">
        <v>13</v>
      </c>
      <c r="G6" s="10" t="s">
        <v>13</v>
      </c>
      <c r="H6" s="10" t="s">
        <v>13</v>
      </c>
      <c r="I6" s="10" t="s">
        <v>13</v>
      </c>
      <c r="J6" s="11" t="s">
        <v>13</v>
      </c>
      <c r="K6" s="10" t="s">
        <v>13</v>
      </c>
      <c r="L6" s="10" t="s">
        <v>13</v>
      </c>
      <c r="M6" s="10" t="s">
        <v>13</v>
      </c>
      <c r="N6" s="12" t="s">
        <v>13</v>
      </c>
    </row>
    <row r="7" spans="1:14" x14ac:dyDescent="0.15">
      <c r="C7" s="13" t="s">
        <v>158</v>
      </c>
      <c r="D7" s="13"/>
      <c r="E7" s="13"/>
      <c r="F7" s="13"/>
      <c r="G7" s="13"/>
      <c r="H7" s="13"/>
      <c r="I7" s="13"/>
      <c r="J7" s="14"/>
      <c r="K7" s="13"/>
      <c r="L7" s="13"/>
      <c r="M7" s="13"/>
      <c r="N7" s="15"/>
    </row>
    <row r="8" spans="1:14" x14ac:dyDescent="0.15">
      <c r="A8" t="s">
        <v>159</v>
      </c>
      <c r="C8" t="s">
        <v>159</v>
      </c>
      <c r="D8" s="16"/>
      <c r="E8" s="16">
        <f t="shared" ref="E8:I8" si="2">E35/D35 - 1</f>
        <v>-6.5188062116353307E-2</v>
      </c>
      <c r="F8" s="16">
        <f t="shared" si="2"/>
        <v>-0.4263152290608806</v>
      </c>
      <c r="G8" s="16">
        <f t="shared" si="2"/>
        <v>0.30499890647073769</v>
      </c>
      <c r="H8" s="16">
        <f t="shared" si="2"/>
        <v>0.38162516000394975</v>
      </c>
      <c r="I8" s="16">
        <f t="shared" si="2"/>
        <v>1.7621252246504682E-2</v>
      </c>
      <c r="J8" s="237">
        <f>J35/I35-1</f>
        <v>3.38926213210895E-2</v>
      </c>
      <c r="K8" s="238">
        <f t="shared" ref="K8:N8" si="3">K35/J35-1</f>
        <v>3.31509202526723E-2</v>
      </c>
      <c r="L8" s="238">
        <f t="shared" si="3"/>
        <v>3.2053624125417457E-2</v>
      </c>
      <c r="M8" s="238">
        <f t="shared" si="3"/>
        <v>3.3259999999999845E-2</v>
      </c>
      <c r="N8" s="239">
        <f t="shared" si="3"/>
        <v>3.4184327124762826E-2</v>
      </c>
    </row>
    <row r="9" spans="1:14" x14ac:dyDescent="0.15">
      <c r="A9" t="s">
        <v>111</v>
      </c>
      <c r="C9" t="s">
        <v>111</v>
      </c>
      <c r="D9" s="16">
        <f t="shared" ref="D9:I9" si="4">D38/D35</f>
        <v>0.26258132578624965</v>
      </c>
      <c r="E9" s="16">
        <f t="shared" si="4"/>
        <v>0.23139323299040948</v>
      </c>
      <c r="F9" s="16">
        <f t="shared" si="4"/>
        <v>0.35154069406597827</v>
      </c>
      <c r="G9" s="16">
        <f t="shared" si="4"/>
        <v>0.30988994264769965</v>
      </c>
      <c r="H9" s="16">
        <f t="shared" si="4"/>
        <v>0.32359765976656679</v>
      </c>
      <c r="I9" s="16">
        <f t="shared" si="4"/>
        <v>0.36664622022110516</v>
      </c>
      <c r="J9" s="20">
        <f>AVERAGE(G9:I9)</f>
        <v>0.33337794087845718</v>
      </c>
      <c r="K9" s="21">
        <f t="shared" ref="K9:N9" si="5">AVERAGE(H9:J9)</f>
        <v>0.34120727362204306</v>
      </c>
      <c r="L9" s="21">
        <f t="shared" si="5"/>
        <v>0.34707714490720182</v>
      </c>
      <c r="M9" s="21">
        <f t="shared" si="5"/>
        <v>0.34055411980256739</v>
      </c>
      <c r="N9" s="22">
        <f t="shared" si="5"/>
        <v>0.34294617944393746</v>
      </c>
    </row>
    <row r="10" spans="1:14" x14ac:dyDescent="0.15">
      <c r="A10" t="s">
        <v>160</v>
      </c>
      <c r="C10" t="s">
        <v>160</v>
      </c>
      <c r="D10" s="16">
        <f t="shared" ref="D10:I10" si="6">D39/D35</f>
        <v>9.3178968083393252E-2</v>
      </c>
      <c r="E10" s="16">
        <f t="shared" si="6"/>
        <v>0.10230610582599797</v>
      </c>
      <c r="F10" s="16">
        <f t="shared" si="6"/>
        <v>0.17817906689443599</v>
      </c>
      <c r="G10" s="16">
        <f t="shared" si="6"/>
        <v>0.13843274489323559</v>
      </c>
      <c r="H10" s="16">
        <f t="shared" si="6"/>
        <v>0.11960420864349469</v>
      </c>
      <c r="I10" s="16">
        <f t="shared" si="6"/>
        <v>0.10080076184487076</v>
      </c>
      <c r="J10" s="20">
        <f>AVERAGE($G$10:$I$10)</f>
        <v>0.11961257179386701</v>
      </c>
      <c r="K10" s="21">
        <f t="shared" ref="K10:N11" si="7">J10</f>
        <v>0.11961257179386701</v>
      </c>
      <c r="L10" s="21">
        <f t="shared" si="7"/>
        <v>0.11961257179386701</v>
      </c>
      <c r="M10" s="21">
        <f t="shared" si="7"/>
        <v>0.11961257179386701</v>
      </c>
      <c r="N10" s="22">
        <f t="shared" si="7"/>
        <v>0.11961257179386701</v>
      </c>
    </row>
    <row r="11" spans="1:14" x14ac:dyDescent="0.15">
      <c r="A11" t="s">
        <v>161</v>
      </c>
      <c r="C11" t="s">
        <v>161</v>
      </c>
      <c r="D11" s="16">
        <f t="shared" ref="D11:I11" si="8">D40/D35</f>
        <v>0</v>
      </c>
      <c r="E11" s="16">
        <f t="shared" si="8"/>
        <v>0</v>
      </c>
      <c r="F11" s="16">
        <f t="shared" si="8"/>
        <v>0</v>
      </c>
      <c r="G11" s="16">
        <f t="shared" si="8"/>
        <v>0</v>
      </c>
      <c r="H11" s="16">
        <f t="shared" si="8"/>
        <v>0</v>
      </c>
      <c r="I11" s="16">
        <f t="shared" si="8"/>
        <v>0</v>
      </c>
      <c r="J11" s="20">
        <f>I11</f>
        <v>0</v>
      </c>
      <c r="K11" s="21">
        <f t="shared" si="7"/>
        <v>0</v>
      </c>
      <c r="L11" s="21">
        <f t="shared" si="7"/>
        <v>0</v>
      </c>
      <c r="M11" s="21">
        <f t="shared" si="7"/>
        <v>0</v>
      </c>
      <c r="N11" s="22">
        <f t="shared" si="7"/>
        <v>0</v>
      </c>
    </row>
    <row r="12" spans="1:14" x14ac:dyDescent="0.15">
      <c r="A12" t="s">
        <v>162</v>
      </c>
      <c r="C12" t="s">
        <v>162</v>
      </c>
      <c r="D12" s="16">
        <f t="shared" ref="D12:I12" si="9">D$43/D$35</f>
        <v>0</v>
      </c>
      <c r="E12" s="16">
        <f t="shared" si="9"/>
        <v>0</v>
      </c>
      <c r="F12" s="16">
        <f t="shared" si="9"/>
        <v>0</v>
      </c>
      <c r="G12" s="16">
        <f t="shared" si="9"/>
        <v>0</v>
      </c>
      <c r="H12" s="16">
        <f t="shared" si="9"/>
        <v>0</v>
      </c>
      <c r="I12" s="16">
        <f t="shared" si="9"/>
        <v>0</v>
      </c>
      <c r="J12" s="20">
        <f>I12</f>
        <v>0</v>
      </c>
      <c r="K12" s="21">
        <v>0</v>
      </c>
      <c r="L12" s="21">
        <v>0</v>
      </c>
      <c r="M12" s="21">
        <v>0</v>
      </c>
      <c r="N12" s="22">
        <v>0</v>
      </c>
    </row>
    <row r="13" spans="1:14" x14ac:dyDescent="0.15">
      <c r="A13" t="s">
        <v>163</v>
      </c>
      <c r="C13" t="s">
        <v>163</v>
      </c>
      <c r="D13" s="23">
        <f t="shared" ref="D13:I13" si="10">D$48</f>
        <v>0</v>
      </c>
      <c r="E13" s="23">
        <f t="shared" si="10"/>
        <v>0</v>
      </c>
      <c r="F13" s="23">
        <f t="shared" si="10"/>
        <v>0.3</v>
      </c>
      <c r="G13" s="23">
        <f t="shared" si="10"/>
        <v>0</v>
      </c>
      <c r="H13" s="23">
        <f t="shared" si="10"/>
        <v>0</v>
      </c>
      <c r="I13" s="23">
        <f t="shared" si="10"/>
        <v>16.8</v>
      </c>
      <c r="J13" s="24">
        <v>0</v>
      </c>
      <c r="K13" s="25">
        <v>0</v>
      </c>
      <c r="L13" s="25">
        <v>0</v>
      </c>
      <c r="M13" s="25">
        <v>0</v>
      </c>
      <c r="N13" s="26">
        <v>0</v>
      </c>
    </row>
    <row r="14" spans="1:14" x14ac:dyDescent="0.15">
      <c r="D14" s="23"/>
      <c r="E14" s="23"/>
      <c r="F14" s="23"/>
      <c r="G14" s="23"/>
      <c r="H14" s="23"/>
      <c r="I14" s="23"/>
      <c r="J14" s="27"/>
      <c r="K14" s="28"/>
      <c r="L14" s="28"/>
      <c r="M14" s="28"/>
      <c r="N14" s="29"/>
    </row>
    <row r="15" spans="1:14" x14ac:dyDescent="0.15">
      <c r="A15" t="s">
        <v>137</v>
      </c>
      <c r="C15" s="6" t="s">
        <v>164</v>
      </c>
      <c r="D15" s="6"/>
      <c r="E15" s="6"/>
      <c r="F15" s="6"/>
      <c r="G15" s="6"/>
      <c r="H15" s="6"/>
      <c r="I15" s="6"/>
      <c r="J15" s="14"/>
      <c r="K15" s="13"/>
      <c r="L15" s="13"/>
      <c r="M15" s="13"/>
      <c r="N15" s="15"/>
    </row>
    <row r="16" spans="1:14" x14ac:dyDescent="0.15">
      <c r="A16" t="s">
        <v>138</v>
      </c>
      <c r="C16" t="s">
        <v>165</v>
      </c>
      <c r="D16" s="1">
        <f>IFERROR(
INDEX('SLCA Raw'!$B$120:$K$163,
MATCH($A16,'SLCA Raw'!$A$120:$A$163,0),
MATCH(D$33,'SLCA Raw'!$B$116:$K$116,0)
),"")</f>
        <v>0</v>
      </c>
      <c r="E16" s="1">
        <f>IFERROR(
INDEX('SLCA Raw'!$B$120:$K$163,
MATCH($A16,'SLCA Raw'!$A$120:$A$163,0),
MATCH(E$33,'SLCA Raw'!$B$116:$K$116,0)
),"")</f>
        <v>0</v>
      </c>
      <c r="F16" s="1">
        <f>IFERROR(
INDEX('SLCA Raw'!$B$120:$K$163,
MATCH($A16,'SLCA Raw'!$A$120:$A$163,0),
MATCH(F$33,'SLCA Raw'!$B$116:$K$116,0)
),"")</f>
        <v>0</v>
      </c>
      <c r="G16" s="1">
        <f>IFERROR(
INDEX('SLCA Raw'!$B$120:$K$163,
MATCH($A16,'SLCA Raw'!$A$120:$A$163,0),
MATCH(G$33,'SLCA Raw'!$B$116:$K$116,0)
),"")</f>
        <v>0</v>
      </c>
      <c r="H16" s="1">
        <f>IFERROR(
INDEX('SLCA Raw'!$B$120:$K$163,
MATCH($A16,'SLCA Raw'!$A$120:$A$163,0),
MATCH(H$33,'SLCA Raw'!$B$116:$K$116,0)
),"")</f>
        <v>0</v>
      </c>
      <c r="I16" s="1">
        <f>IFERROR(
INDEX('SLCA Raw'!$B$120:$K$163,
MATCH($A16,'SLCA Raw'!$A$120:$A$163,0),
MATCH(I$33,'SLCA Raw'!$B$116:$K$116,0)
),"")</f>
        <v>0</v>
      </c>
      <c r="J16" s="30">
        <v>49</v>
      </c>
      <c r="K16" s="31">
        <f>J16</f>
        <v>49</v>
      </c>
      <c r="L16" s="31">
        <f t="shared" ref="L16:N16" si="11">K16</f>
        <v>49</v>
      </c>
      <c r="M16" s="31">
        <f t="shared" si="11"/>
        <v>49</v>
      </c>
      <c r="N16" s="32">
        <f t="shared" si="11"/>
        <v>49</v>
      </c>
    </row>
    <row r="17" spans="1:14" x14ac:dyDescent="0.15">
      <c r="A17" t="s">
        <v>137</v>
      </c>
      <c r="C17" t="s">
        <v>166</v>
      </c>
      <c r="D17" s="1">
        <f>IFERROR(
INDEX('SLCA Raw'!$B$120:$K$163,
MATCH($A17,'SLCA Raw'!$A$120:$A$163,0),
MATCH(D$33,'SLCA Raw'!$B$116:$K$116,0)
),"")</f>
        <v>51</v>
      </c>
      <c r="E17" s="1">
        <f>IFERROR(
INDEX('SLCA Raw'!$B$120:$K$163,
MATCH($A17,'SLCA Raw'!$A$120:$A$163,0),
MATCH(E$33,'SLCA Raw'!$B$116:$K$116,0)
),"")</f>
        <v>40</v>
      </c>
      <c r="F17" s="1">
        <f>IFERROR(
INDEX('SLCA Raw'!$B$120:$K$163,
MATCH($A17,'SLCA Raw'!$A$120:$A$163,0),
MATCH(F$33,'SLCA Raw'!$B$116:$K$116,0)
),"")</f>
        <v>68</v>
      </c>
      <c r="G17" s="1">
        <f>IFERROR(
INDEX('SLCA Raw'!$B$120:$K$163,
MATCH($A17,'SLCA Raw'!$A$120:$A$163,0),
MATCH(G$33,'SLCA Raw'!$B$116:$K$116,0)
),"")</f>
        <v>55</v>
      </c>
      <c r="H17" s="1">
        <f>IFERROR(
INDEX('SLCA Raw'!$B$120:$K$163,
MATCH($A17,'SLCA Raw'!$A$120:$A$163,0),
MATCH(H$33,'SLCA Raw'!$B$116:$K$116,0)
),"")</f>
        <v>52</v>
      </c>
      <c r="I17" s="1">
        <f>IFERROR(
INDEX('SLCA Raw'!$B$120:$K$163,
MATCH($A17,'SLCA Raw'!$A$120:$A$163,0),
MATCH(I$33,'SLCA Raw'!$B$116:$K$116,0)
),"")</f>
        <v>55</v>
      </c>
      <c r="J17" s="34">
        <f>AVERAGE(G$17:I$17)</f>
        <v>54</v>
      </c>
      <c r="K17" s="35">
        <f t="shared" ref="K17:N22" si="12">J17</f>
        <v>54</v>
      </c>
      <c r="L17" s="35">
        <f t="shared" si="12"/>
        <v>54</v>
      </c>
      <c r="M17" s="35">
        <f t="shared" si="12"/>
        <v>54</v>
      </c>
      <c r="N17" s="36">
        <f t="shared" si="12"/>
        <v>54</v>
      </c>
    </row>
    <row r="18" spans="1:14" x14ac:dyDescent="0.15">
      <c r="A18" t="s">
        <v>139</v>
      </c>
      <c r="C18" t="s">
        <v>167</v>
      </c>
      <c r="D18" s="1">
        <f>IFERROR(
INDEX('SLCA Raw'!$B$120:$K$163,
MATCH($A18,'SLCA Raw'!$A$120:$A$163,0),
MATCH(D$33,'SLCA Raw'!$B$116:$K$116,0)
),"")</f>
        <v>56</v>
      </c>
      <c r="E18" s="1">
        <f>IFERROR(
INDEX('SLCA Raw'!$B$120:$K$163,
MATCH($A18,'SLCA Raw'!$A$120:$A$163,0),
MATCH(E$33,'SLCA Raw'!$B$116:$K$116,0)
),"")</f>
        <v>58</v>
      </c>
      <c r="F18" s="1">
        <f>IFERROR(
INDEX('SLCA Raw'!$B$120:$K$163,
MATCH($A18,'SLCA Raw'!$A$120:$A$163,0),
MATCH(F$33,'SLCA Raw'!$B$116:$K$116,0)
),"")</f>
        <v>59</v>
      </c>
      <c r="G18" s="1">
        <f>IFERROR(
INDEX('SLCA Raw'!$B$120:$K$163,
MATCH($A18,'SLCA Raw'!$A$120:$A$163,0),
MATCH(G$33,'SLCA Raw'!$B$116:$K$116,0)
),"")</f>
        <v>64</v>
      </c>
      <c r="H18" s="1">
        <f>IFERROR(
INDEX('SLCA Raw'!$B$120:$K$163,
MATCH($A18,'SLCA Raw'!$A$120:$A$163,0),
MATCH(H$33,'SLCA Raw'!$B$116:$K$116,0)
),"")</f>
        <v>65</v>
      </c>
      <c r="I18" s="1">
        <f>IFERROR(
INDEX('SLCA Raw'!$B$120:$K$163,
MATCH($A18,'SLCA Raw'!$A$120:$A$163,0),
MATCH(I$33,'SLCA Raw'!$B$116:$K$116,0)
),"")</f>
        <v>46</v>
      </c>
      <c r="J18" s="34">
        <f>AVERAGE(G$18:I$18)</f>
        <v>58.333333333333336</v>
      </c>
      <c r="K18" s="35">
        <f t="shared" si="12"/>
        <v>58.333333333333336</v>
      </c>
      <c r="L18" s="35">
        <f t="shared" si="12"/>
        <v>58.333333333333336</v>
      </c>
      <c r="M18" s="35">
        <f t="shared" si="12"/>
        <v>58.333333333333336</v>
      </c>
      <c r="N18" s="36">
        <f t="shared" si="12"/>
        <v>58.333333333333336</v>
      </c>
    </row>
    <row r="19" spans="1:14" x14ac:dyDescent="0.15">
      <c r="A19" t="s">
        <v>168</v>
      </c>
      <c r="C19" t="s">
        <v>169</v>
      </c>
      <c r="D19" s="16">
        <f t="shared" ref="D19:I19" si="13">D$67/D$35</f>
        <v>1.1411920892564372E-2</v>
      </c>
      <c r="E19" s="16">
        <f t="shared" si="13"/>
        <v>1.0986946557999887E-2</v>
      </c>
      <c r="F19" s="16">
        <f t="shared" si="13"/>
        <v>2.7308676711373298E-2</v>
      </c>
      <c r="G19" s="16">
        <f t="shared" si="13"/>
        <v>1.6306135002115269E-2</v>
      </c>
      <c r="H19" s="16">
        <f t="shared" si="13"/>
        <v>1.3244624944349626E-2</v>
      </c>
      <c r="I19" s="16">
        <f t="shared" si="13"/>
        <v>1.2693119040838339E-2</v>
      </c>
      <c r="J19" s="20">
        <f>AVERAGE(G$19:I$19)</f>
        <v>1.4081292995767746E-2</v>
      </c>
      <c r="K19" s="21">
        <f>J19</f>
        <v>1.4081292995767746E-2</v>
      </c>
      <c r="L19" s="21">
        <f t="shared" si="12"/>
        <v>1.4081292995767746E-2</v>
      </c>
      <c r="M19" s="21">
        <f t="shared" si="12"/>
        <v>1.4081292995767746E-2</v>
      </c>
      <c r="N19" s="22">
        <f t="shared" si="12"/>
        <v>1.4081292995767746E-2</v>
      </c>
    </row>
    <row r="20" spans="1:14" x14ac:dyDescent="0.15">
      <c r="A20" t="s">
        <v>169</v>
      </c>
      <c r="C20" t="s">
        <v>170</v>
      </c>
      <c r="D20" s="16">
        <f t="shared" ref="D20:I20" si="14">D$68/D$35</f>
        <v>0</v>
      </c>
      <c r="E20" s="16">
        <f t="shared" si="14"/>
        <v>0</v>
      </c>
      <c r="F20" s="16">
        <f t="shared" si="14"/>
        <v>0</v>
      </c>
      <c r="G20" s="16">
        <f t="shared" si="14"/>
        <v>0</v>
      </c>
      <c r="H20" s="16">
        <f t="shared" si="14"/>
        <v>0</v>
      </c>
      <c r="I20" s="16">
        <f t="shared" si="14"/>
        <v>0</v>
      </c>
      <c r="J20" s="20">
        <f>I20</f>
        <v>0</v>
      </c>
      <c r="K20" s="21">
        <f t="shared" ref="K20" si="15">J20</f>
        <v>0</v>
      </c>
      <c r="L20" s="21">
        <f t="shared" si="12"/>
        <v>0</v>
      </c>
      <c r="M20" s="21">
        <f t="shared" si="12"/>
        <v>0</v>
      </c>
      <c r="N20" s="22">
        <f t="shared" si="12"/>
        <v>0</v>
      </c>
    </row>
    <row r="21" spans="1:14" x14ac:dyDescent="0.15">
      <c r="A21" t="s">
        <v>170</v>
      </c>
      <c r="C21" t="s">
        <v>171</v>
      </c>
      <c r="D21" s="16">
        <f t="shared" ref="D21:I21" si="16">D$82/D$35</f>
        <v>2.3838234753356689E-2</v>
      </c>
      <c r="E21" s="16">
        <f t="shared" si="16"/>
        <v>6.3887059615036379E-2</v>
      </c>
      <c r="F21" s="16">
        <f t="shared" si="16"/>
        <v>5.2016527069282469E-2</v>
      </c>
      <c r="G21" s="16">
        <f t="shared" si="16"/>
        <v>4.3120668116704827E-2</v>
      </c>
      <c r="H21" s="16">
        <f t="shared" si="16"/>
        <v>3.3504967062191388E-2</v>
      </c>
      <c r="I21" s="16">
        <f t="shared" si="16"/>
        <v>2.6159422997869879E-2</v>
      </c>
      <c r="J21" s="20">
        <f>AVERAGE(G$21:I$21)</f>
        <v>3.4261686058922027E-2</v>
      </c>
      <c r="K21" s="21">
        <f t="shared" si="12"/>
        <v>3.4261686058922027E-2</v>
      </c>
      <c r="L21" s="21">
        <f t="shared" si="12"/>
        <v>3.4261686058922027E-2</v>
      </c>
      <c r="M21" s="21">
        <f t="shared" si="12"/>
        <v>3.4261686058922027E-2</v>
      </c>
      <c r="N21" s="22">
        <f t="shared" si="12"/>
        <v>3.4261686058922027E-2</v>
      </c>
    </row>
    <row r="22" spans="1:14" x14ac:dyDescent="0.15">
      <c r="A22" t="s">
        <v>171</v>
      </c>
      <c r="C22" t="s">
        <v>172</v>
      </c>
      <c r="D22" s="16">
        <f t="shared" ref="D22:I22" si="17">D$85/D$35</f>
        <v>2.0034261122501899E-2</v>
      </c>
      <c r="E22" s="16">
        <f t="shared" si="17"/>
        <v>1.0240919322580141E-2</v>
      </c>
      <c r="F22" s="16">
        <f t="shared" si="17"/>
        <v>1.5959616259893485E-2</v>
      </c>
      <c r="G22" s="16">
        <f t="shared" si="17"/>
        <v>4.8918405006345813E-3</v>
      </c>
      <c r="H22" s="16">
        <f t="shared" si="17"/>
        <v>1.2261113191056338E-2</v>
      </c>
      <c r="I22" s="16">
        <f t="shared" si="17"/>
        <v>3.4149000465199591E-3</v>
      </c>
      <c r="J22" s="37">
        <f>AVERAGE(G$22:I$22)</f>
        <v>6.8559512460702925E-3</v>
      </c>
      <c r="K22" s="38">
        <f t="shared" si="12"/>
        <v>6.8559512460702925E-3</v>
      </c>
      <c r="L22" s="38">
        <f t="shared" si="12"/>
        <v>6.8559512460702925E-3</v>
      </c>
      <c r="M22" s="38">
        <f t="shared" si="12"/>
        <v>6.8559512460702925E-3</v>
      </c>
      <c r="N22" s="39">
        <f t="shared" si="12"/>
        <v>6.8559512460702925E-3</v>
      </c>
    </row>
    <row r="23" spans="1:14" x14ac:dyDescent="0.15">
      <c r="D23" s="16"/>
      <c r="E23" s="16"/>
      <c r="F23" s="16"/>
      <c r="G23" s="16"/>
      <c r="H23" s="16"/>
      <c r="I23" s="16"/>
      <c r="J23" s="40"/>
      <c r="K23" s="41"/>
      <c r="L23" s="41"/>
      <c r="M23" s="41"/>
      <c r="N23" s="42"/>
    </row>
    <row r="24" spans="1:14" x14ac:dyDescent="0.15">
      <c r="A24" t="s">
        <v>172</v>
      </c>
      <c r="C24" s="6" t="s">
        <v>168</v>
      </c>
      <c r="D24" s="6"/>
      <c r="E24" s="6"/>
      <c r="F24" s="6"/>
      <c r="G24" s="6"/>
      <c r="H24" s="6"/>
      <c r="I24" s="6"/>
      <c r="J24" s="14"/>
      <c r="K24" s="13"/>
      <c r="L24" s="13"/>
      <c r="M24" s="13"/>
      <c r="N24" s="15"/>
    </row>
    <row r="25" spans="1:14" x14ac:dyDescent="0.15">
      <c r="A25" t="s">
        <v>173</v>
      </c>
      <c r="C25" t="s">
        <v>173</v>
      </c>
      <c r="D25" s="16">
        <f t="shared" ref="D25:I25" si="18">D$77/D$35</f>
        <v>1.1602119574107114E-2</v>
      </c>
      <c r="E25" s="16">
        <f t="shared" si="18"/>
        <v>1.0986946557999887E-2</v>
      </c>
      <c r="F25" s="16">
        <f t="shared" si="18"/>
        <v>1.1585499210885641E-2</v>
      </c>
      <c r="G25" s="16">
        <f t="shared" si="18"/>
        <v>6.4318643619454673E-3</v>
      </c>
      <c r="H25" s="16">
        <f t="shared" si="18"/>
        <v>6.2944752210770507E-3</v>
      </c>
      <c r="I25" s="16">
        <f t="shared" si="18"/>
        <v>8.0540095436791494E-3</v>
      </c>
      <c r="J25" s="17">
        <f>AVERAGE($G$25:$I$25)</f>
        <v>6.9267830422338889E-3</v>
      </c>
      <c r="K25" s="18">
        <f t="shared" ref="K25:N26" si="19">J25</f>
        <v>6.9267830422338889E-3</v>
      </c>
      <c r="L25" s="18">
        <f t="shared" si="19"/>
        <v>6.9267830422338889E-3</v>
      </c>
      <c r="M25" s="18">
        <f t="shared" si="19"/>
        <v>6.9267830422338889E-3</v>
      </c>
      <c r="N25" s="19">
        <f t="shared" si="19"/>
        <v>6.9267830422338889E-3</v>
      </c>
    </row>
    <row r="26" spans="1:14" x14ac:dyDescent="0.15">
      <c r="A26" t="s">
        <v>174</v>
      </c>
      <c r="C26" t="s">
        <v>174</v>
      </c>
      <c r="D26" s="16">
        <f t="shared" ref="D26:I26" si="20">D$92/D$35</f>
        <v>0.12901810564649166</v>
      </c>
      <c r="E26" s="16">
        <f t="shared" si="20"/>
        <v>0.16866997586262789</v>
      </c>
      <c r="F26" s="16">
        <f t="shared" si="20"/>
        <v>0.21066693463059399</v>
      </c>
      <c r="G26" s="16">
        <f t="shared" si="20"/>
        <v>0.14648344610233549</v>
      </c>
      <c r="H26" s="16">
        <f t="shared" si="20"/>
        <v>8.9040597398152455E-2</v>
      </c>
      <c r="I26" s="16">
        <f t="shared" si="20"/>
        <v>8.4470452094106918E-2</v>
      </c>
      <c r="J26" s="37">
        <f>AVERAGE(G$26:I$26)</f>
        <v>0.10666483186486496</v>
      </c>
      <c r="K26" s="38">
        <f t="shared" si="19"/>
        <v>0.10666483186486496</v>
      </c>
      <c r="L26" s="38">
        <f t="shared" si="19"/>
        <v>0.10666483186486496</v>
      </c>
      <c r="M26" s="38">
        <f t="shared" si="19"/>
        <v>0.10666483186486496</v>
      </c>
      <c r="N26" s="39">
        <f t="shared" si="19"/>
        <v>0.10666483186486496</v>
      </c>
    </row>
    <row r="27" spans="1:14" x14ac:dyDescent="0.15">
      <c r="D27" s="23"/>
      <c r="E27" s="23"/>
      <c r="F27" s="23"/>
      <c r="G27" s="23"/>
      <c r="H27" s="23"/>
      <c r="I27" s="23"/>
      <c r="J27" s="43"/>
      <c r="K27" s="44"/>
      <c r="L27" s="44"/>
      <c r="M27" s="44"/>
      <c r="N27" s="45"/>
    </row>
    <row r="28" spans="1:14" x14ac:dyDescent="0.15">
      <c r="A28" t="s">
        <v>175</v>
      </c>
      <c r="C28" t="s">
        <v>175</v>
      </c>
      <c r="D28" s="47">
        <f>CHOOSE('Main Page &amp; Assumptions'!D5,'Main Page &amp; Assumptions'!E18,'Main Page &amp; Assumptions'!J18,'Main Page &amp; Assumptions'!O18)</f>
        <v>0.26500000000000001</v>
      </c>
      <c r="E28" s="46">
        <f>$D$28</f>
        <v>0.26500000000000001</v>
      </c>
      <c r="F28" s="46">
        <f t="shared" ref="F28:N28" si="21">$D$28</f>
        <v>0.26500000000000001</v>
      </c>
      <c r="G28" s="46">
        <f t="shared" si="21"/>
        <v>0.26500000000000001</v>
      </c>
      <c r="H28" s="46">
        <f t="shared" si="21"/>
        <v>0.26500000000000001</v>
      </c>
      <c r="I28" s="46">
        <f t="shared" si="21"/>
        <v>0.26500000000000001</v>
      </c>
      <c r="J28" s="47">
        <f t="shared" si="21"/>
        <v>0.26500000000000001</v>
      </c>
      <c r="K28" s="46">
        <f t="shared" si="21"/>
        <v>0.26500000000000001</v>
      </c>
      <c r="L28" s="46">
        <f t="shared" si="21"/>
        <v>0.26500000000000001</v>
      </c>
      <c r="M28" s="46">
        <f t="shared" si="21"/>
        <v>0.26500000000000001</v>
      </c>
      <c r="N28" s="48">
        <f t="shared" si="21"/>
        <v>0.26500000000000001</v>
      </c>
    </row>
    <row r="31" spans="1:14" ht="16" x14ac:dyDescent="0.15">
      <c r="C31" s="275" t="s">
        <v>176</v>
      </c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</row>
    <row r="32" spans="1:14" x14ac:dyDescent="0.15">
      <c r="C32" s="5"/>
      <c r="D32" s="261"/>
      <c r="E32" s="261"/>
      <c r="F32" s="261"/>
      <c r="G32" s="261"/>
      <c r="H32" s="261"/>
      <c r="I32" s="261"/>
      <c r="J32" s="276" t="s">
        <v>157</v>
      </c>
      <c r="K32" s="276"/>
      <c r="L32" s="276"/>
      <c r="M32" s="276"/>
      <c r="N32" s="280"/>
    </row>
    <row r="33" spans="1:14" x14ac:dyDescent="0.15">
      <c r="C33" s="6" t="s">
        <v>11</v>
      </c>
      <c r="D33" s="7">
        <f>$D$5</f>
        <v>43465</v>
      </c>
      <c r="E33" s="7">
        <f t="shared" ref="E33:N33" si="22">EDATE(D33,12)</f>
        <v>43830</v>
      </c>
      <c r="F33" s="7">
        <f t="shared" si="22"/>
        <v>44196</v>
      </c>
      <c r="G33" s="7">
        <f t="shared" si="22"/>
        <v>44561</v>
      </c>
      <c r="H33" s="7">
        <f t="shared" si="22"/>
        <v>44926</v>
      </c>
      <c r="I33" s="7">
        <f t="shared" si="22"/>
        <v>45291</v>
      </c>
      <c r="J33" s="8">
        <f>EDATE(I33,12)</f>
        <v>45657</v>
      </c>
      <c r="K33" s="7">
        <f t="shared" si="22"/>
        <v>46022</v>
      </c>
      <c r="L33" s="7">
        <f t="shared" si="22"/>
        <v>46387</v>
      </c>
      <c r="M33" s="7">
        <f t="shared" si="22"/>
        <v>46752</v>
      </c>
      <c r="N33" s="160">
        <f t="shared" si="22"/>
        <v>47118</v>
      </c>
    </row>
    <row r="34" spans="1:14" x14ac:dyDescent="0.15">
      <c r="D34" s="10" t="s">
        <v>13</v>
      </c>
      <c r="E34" s="10" t="s">
        <v>13</v>
      </c>
      <c r="F34" s="10" t="s">
        <v>13</v>
      </c>
      <c r="G34" s="10" t="s">
        <v>13</v>
      </c>
      <c r="H34" s="10" t="s">
        <v>13</v>
      </c>
      <c r="I34" s="10" t="s">
        <v>13</v>
      </c>
      <c r="J34" s="11" t="s">
        <v>13</v>
      </c>
      <c r="K34" s="10" t="s">
        <v>13</v>
      </c>
      <c r="L34" s="10" t="s">
        <v>13</v>
      </c>
      <c r="M34" s="10" t="s">
        <v>13</v>
      </c>
      <c r="N34" s="12" t="s">
        <v>13</v>
      </c>
    </row>
    <row r="35" spans="1:14" x14ac:dyDescent="0.15">
      <c r="A35" t="s">
        <v>16</v>
      </c>
      <c r="C35" s="49" t="s">
        <v>177</v>
      </c>
      <c r="D35" s="51">
        <f>IFERROR(
INDEX('SLCA Raw'!$B$6:$K$33,
MATCH(TRIM($A35),'SLCA Raw'!$M$6:$M$33,0),
MATCH(D$33,'SLCA Raw'!$B$3:$K$3,0)
),"")</f>
        <v>1577.298</v>
      </c>
      <c r="E35" s="51">
        <f>IFERROR(
INDEX('SLCA Raw'!$B$6:$K$33,
MATCH(TRIM($A35),'SLCA Raw'!$M$6:$M$33,0),
MATCH(E$33,'SLCA Raw'!$B$3:$K$3,0)
),"")</f>
        <v>1474.4770000000001</v>
      </c>
      <c r="F35" s="51">
        <f>IFERROR(
INDEX('SLCA Raw'!$B$6:$K$33,
MATCH(TRIM($A35),'SLCA Raw'!$M$6:$M$33,0),
MATCH(F$33,'SLCA Raw'!$B$3:$K$3,0)
),"")</f>
        <v>845.88499999999999</v>
      </c>
      <c r="G35" s="51">
        <f>IFERROR(
INDEX('SLCA Raw'!$B$6:$K$33,
MATCH(TRIM($A35),'SLCA Raw'!$M$6:$M$33,0),
MATCH(G$33,'SLCA Raw'!$B$3:$K$3,0)
),"")</f>
        <v>1103.8789999999999</v>
      </c>
      <c r="H35" s="51">
        <f>IFERROR(
INDEX('SLCA Raw'!$B$6:$K$33,
MATCH(TRIM($A35),'SLCA Raw'!$M$6:$M$33,0),
MATCH(H$33,'SLCA Raw'!$B$3:$K$3,0)
),"")</f>
        <v>1525.1469999999999</v>
      </c>
      <c r="I35" s="51">
        <f>IFERROR(
INDEX('SLCA Raw'!$B$6:$K$33,
MATCH(TRIM($A35),'SLCA Raw'!$M$6:$M$33,0),
MATCH(I$33,'SLCA Raw'!$B$3:$K$3,0)
),"")</f>
        <v>1552.0219999999999</v>
      </c>
      <c r="J35" s="50">
        <f>'Revenue Build'!I7/1000</f>
        <v>1604.6240939279999</v>
      </c>
      <c r="K35" s="51">
        <f>'Revenue Build'!J7/1000</f>
        <v>1657.8188593013235</v>
      </c>
      <c r="L35" s="51">
        <f>'Revenue Build'!K7/1000</f>
        <v>1710.9579618853966</v>
      </c>
      <c r="M35" s="51">
        <f>'Revenue Build'!L7/1000</f>
        <v>1767.8644236977045</v>
      </c>
      <c r="N35" s="56">
        <f>'Revenue Build'!M7/1000</f>
        <v>1828.2976794696172</v>
      </c>
    </row>
    <row r="36" spans="1:14" x14ac:dyDescent="0.15">
      <c r="C36" s="53"/>
      <c r="D36" s="55"/>
      <c r="E36" s="55"/>
      <c r="F36" s="55"/>
      <c r="G36" s="55"/>
      <c r="H36" s="55"/>
      <c r="I36" s="55"/>
      <c r="J36" s="54"/>
      <c r="K36" s="55"/>
      <c r="L36" s="55"/>
      <c r="M36" s="55"/>
      <c r="N36" s="56"/>
    </row>
    <row r="37" spans="1:14" x14ac:dyDescent="0.15">
      <c r="A37" t="s">
        <v>178</v>
      </c>
      <c r="C37" s="57" t="s">
        <v>179</v>
      </c>
      <c r="D37" s="1">
        <f>IFERROR(
INDEX('SLCA Raw'!$B$6:$K$33,
MATCH(TRIM($A37),'SLCA Raw'!$M$6:$M$33,0),
MATCH(D$33,'SLCA Raw'!$B$3:$K$3,0)
),"")</f>
        <v>1163.1289999999999</v>
      </c>
      <c r="E37" s="1">
        <f>IFERROR(
INDEX('SLCA Raw'!$B$6:$K$33,
MATCH(TRIM($A37),'SLCA Raw'!$M$6:$M$33,0),
MATCH(E$33,'SLCA Raw'!$B$3:$K$3,0)
),"")</f>
        <v>1133.2929999999999</v>
      </c>
      <c r="F37" s="1">
        <f>IFERROR(
INDEX('SLCA Raw'!$B$6:$K$33,
MATCH(TRIM($A37),'SLCA Raw'!$M$6:$M$33,0),
MATCH(F$33,'SLCA Raw'!$B$3:$K$3,0)
),"")</f>
        <v>548.52200000000005</v>
      </c>
      <c r="G37" s="1">
        <f>IFERROR(
INDEX('SLCA Raw'!$B$6:$K$33,
MATCH(TRIM($A37),'SLCA Raw'!$M$6:$M$33,0),
MATCH(G$33,'SLCA Raw'!$B$3:$K$3,0)
),"")</f>
        <v>761.798</v>
      </c>
      <c r="H37" s="1">
        <f>IFERROR(
INDEX('SLCA Raw'!$B$6:$K$33,
MATCH(TRIM($A37),'SLCA Raw'!$M$6:$M$33,0),
MATCH(H$33,'SLCA Raw'!$B$3:$K$3,0)
),"")</f>
        <v>1031.6130000000001</v>
      </c>
      <c r="I37" s="1">
        <f>IFERROR(
INDEX('SLCA Raw'!$B$6:$K$33,
MATCH(TRIM($A37),'SLCA Raw'!$M$6:$M$33,0),
MATCH(I$33,'SLCA Raw'!$B$3:$K$3,0)
),"")</f>
        <v>982.97900000000004</v>
      </c>
      <c r="J37" s="58">
        <f>J35*(1-J$9)</f>
        <v>1069.6778176103232</v>
      </c>
      <c r="K37" s="1">
        <f t="shared" ref="K37:N37" si="23">K35*(1-K$9)</f>
        <v>1092.1590061599136</v>
      </c>
      <c r="L37" s="1">
        <f t="shared" si="23"/>
        <v>1117.123557417968</v>
      </c>
      <c r="M37" s="1">
        <f t="shared" si="23"/>
        <v>1165.8109109550596</v>
      </c>
      <c r="N37" s="59">
        <f t="shared" si="23"/>
        <v>1201.2899754092953</v>
      </c>
    </row>
    <row r="38" spans="1:14" x14ac:dyDescent="0.15">
      <c r="A38" t="s">
        <v>18</v>
      </c>
      <c r="C38" t="s">
        <v>18</v>
      </c>
      <c r="D38" s="1">
        <f>IFERROR(
INDEX('SLCA Raw'!$B$6:$K$33,
MATCH(TRIM($A38),'SLCA Raw'!$M$6:$M$33,0),
MATCH(D$33,'SLCA Raw'!$B$3:$K$3,0)
),"")</f>
        <v>414.16899999999998</v>
      </c>
      <c r="E38" s="1">
        <f>IFERROR(
INDEX('SLCA Raw'!$B$6:$K$33,
MATCH(TRIM($A38),'SLCA Raw'!$M$6:$M$33,0),
MATCH(E$33,'SLCA Raw'!$B$3:$K$3,0)
),"")</f>
        <v>341.18400000000003</v>
      </c>
      <c r="F38" s="1">
        <f>IFERROR(
INDEX('SLCA Raw'!$B$6:$K$33,
MATCH(TRIM($A38),'SLCA Raw'!$M$6:$M$33,0),
MATCH(F$33,'SLCA Raw'!$B$3:$K$3,0)
),"")</f>
        <v>297.363</v>
      </c>
      <c r="G38" s="1">
        <f>IFERROR(
INDEX('SLCA Raw'!$B$6:$K$33,
MATCH(TRIM($A38),'SLCA Raw'!$M$6:$M$33,0),
MATCH(G$33,'SLCA Raw'!$B$3:$K$3,0)
),"")</f>
        <v>342.08100000000002</v>
      </c>
      <c r="H38" s="1">
        <f>IFERROR(
INDEX('SLCA Raw'!$B$6:$K$33,
MATCH(TRIM($A38),'SLCA Raw'!$M$6:$M$33,0),
MATCH(H$33,'SLCA Raw'!$B$3:$K$3,0)
),"")</f>
        <v>493.53399999999999</v>
      </c>
      <c r="I38" s="1">
        <f>IFERROR(
INDEX('SLCA Raw'!$B$6:$K$33,
MATCH(TRIM($A38),'SLCA Raw'!$M$6:$M$33,0),
MATCH(I$33,'SLCA Raw'!$B$3:$K$3,0)
),"")</f>
        <v>569.04300000000001</v>
      </c>
      <c r="J38" s="58">
        <f>J$35-J$37</f>
        <v>534.94627631767662</v>
      </c>
      <c r="K38" s="1">
        <f t="shared" ref="K38:N38" si="24">K$35-K$37</f>
        <v>565.65985314140994</v>
      </c>
      <c r="L38" s="1">
        <f t="shared" si="24"/>
        <v>593.83440446742861</v>
      </c>
      <c r="M38" s="1">
        <f t="shared" si="24"/>
        <v>602.0535127426449</v>
      </c>
      <c r="N38" s="59">
        <f t="shared" si="24"/>
        <v>627.00770406032188</v>
      </c>
    </row>
    <row r="39" spans="1:14" x14ac:dyDescent="0.15">
      <c r="A39" t="s">
        <v>180</v>
      </c>
      <c r="C39" s="57" t="s">
        <v>181</v>
      </c>
      <c r="D39" s="1">
        <f>IFERROR(
INDEX('SLCA Raw'!$B$6:$K$33,
MATCH(TRIM($A39),'SLCA Raw'!$M$6:$M$33,0),
MATCH(D$33,'SLCA Raw'!$B$3:$K$3,0)
),"")</f>
        <v>146.971</v>
      </c>
      <c r="E39" s="1">
        <f>IFERROR(
INDEX('SLCA Raw'!$B$6:$K$33,
MATCH(TRIM($A39),'SLCA Raw'!$M$6:$M$33,0),
MATCH(E$33,'SLCA Raw'!$B$3:$K$3,0)
),"")</f>
        <v>150.84800000000001</v>
      </c>
      <c r="F39" s="1">
        <f>IFERROR(
INDEX('SLCA Raw'!$B$6:$K$33,
MATCH(TRIM($A39),'SLCA Raw'!$M$6:$M$33,0),
MATCH(F$33,'SLCA Raw'!$B$3:$K$3,0)
),"")</f>
        <v>150.71899999999999</v>
      </c>
      <c r="G39" s="1">
        <f>IFERROR(
INDEX('SLCA Raw'!$B$6:$K$33,
MATCH(TRIM($A39),'SLCA Raw'!$M$6:$M$33,0),
MATCH(G$33,'SLCA Raw'!$B$3:$K$3,0)
),"")</f>
        <v>152.81299999999999</v>
      </c>
      <c r="H39" s="1">
        <f>IFERROR(
INDEX('SLCA Raw'!$B$6:$K$33,
MATCH(TRIM($A39),'SLCA Raw'!$M$6:$M$33,0),
MATCH(H$33,'SLCA Raw'!$B$3:$K$3,0)
),"")</f>
        <v>182.41399999999999</v>
      </c>
      <c r="I39" s="1">
        <f>IFERROR(
INDEX('SLCA Raw'!$B$6:$K$33,
MATCH(TRIM($A39),'SLCA Raw'!$M$6:$M$33,0),
MATCH(I$33,'SLCA Raw'!$B$3:$K$3,0)
),"")</f>
        <v>156.44499999999999</v>
      </c>
      <c r="J39" s="58">
        <f>J$35*J$10</f>
        <v>191.9332146371317</v>
      </c>
      <c r="K39" s="1">
        <f>K$35*K$10</f>
        <v>198.29597732940627</v>
      </c>
      <c r="L39" s="1">
        <f>L$35*L$10</f>
        <v>204.65208205230539</v>
      </c>
      <c r="M39" s="1">
        <f>M$35*M$10</f>
        <v>211.45881030136502</v>
      </c>
      <c r="N39" s="59">
        <f>N$35*N$10</f>
        <v>218.68738744612006</v>
      </c>
    </row>
    <row r="40" spans="1:14" x14ac:dyDescent="0.15">
      <c r="A40" t="s">
        <v>182</v>
      </c>
      <c r="C40" s="57" t="s">
        <v>183</v>
      </c>
      <c r="D40" s="1">
        <f>IFERROR(
INDEX('SLCA Raw'!$B$6:$K$33,
MATCH(TRIM($A40),'SLCA Raw'!$M$6:$M$33,0),
MATCH(D$33,'SLCA Raw'!$B$3:$K$3,0)
),"")</f>
        <v>0</v>
      </c>
      <c r="E40" s="1">
        <f>IFERROR(
INDEX('SLCA Raw'!$B$6:$K$33,
MATCH(TRIM($A40),'SLCA Raw'!$M$6:$M$33,0),
MATCH(E$33,'SLCA Raw'!$B$3:$K$3,0)
),"")</f>
        <v>0</v>
      </c>
      <c r="F40" s="1">
        <f>IFERROR(
INDEX('SLCA Raw'!$B$6:$K$33,
MATCH(TRIM($A40),'SLCA Raw'!$M$6:$M$33,0),
MATCH(F$33,'SLCA Raw'!$B$3:$K$3,0)
),"")</f>
        <v>0</v>
      </c>
      <c r="G40" s="1">
        <f>IFERROR(
INDEX('SLCA Raw'!$B$6:$K$33,
MATCH(TRIM($A40),'SLCA Raw'!$M$6:$M$33,0),
MATCH(G$33,'SLCA Raw'!$B$3:$K$3,0)
),"")</f>
        <v>0</v>
      </c>
      <c r="H40" s="1">
        <f>IFERROR(
INDEX('SLCA Raw'!$B$6:$K$33,
MATCH(TRIM($A40),'SLCA Raw'!$M$6:$M$33,0),
MATCH(H$33,'SLCA Raw'!$B$3:$K$3,0)
),"")</f>
        <v>0</v>
      </c>
      <c r="I40" s="1">
        <f>IFERROR(
INDEX('SLCA Raw'!$B$6:$K$33,
MATCH(TRIM($A40),'SLCA Raw'!$M$6:$M$33,0),
MATCH(I$33,'SLCA Raw'!$B$3:$K$3,0)
),"")</f>
        <v>0</v>
      </c>
      <c r="J40" s="58">
        <f>J$35*J$11</f>
        <v>0</v>
      </c>
      <c r="K40" s="1">
        <f>K$35*K$11</f>
        <v>0</v>
      </c>
      <c r="L40" s="1">
        <f>L$35*L$11</f>
        <v>0</v>
      </c>
      <c r="M40" s="1">
        <f>M$35*M$11</f>
        <v>0</v>
      </c>
      <c r="N40" s="59">
        <f>N$35*N$11</f>
        <v>0</v>
      </c>
    </row>
    <row r="41" spans="1:14" x14ac:dyDescent="0.15">
      <c r="A41" t="s">
        <v>184</v>
      </c>
      <c r="C41" s="57" t="s">
        <v>185</v>
      </c>
      <c r="D41">
        <f>IFERROR(
INDEX('SLCA Raw'!$B$6:$K$33,
MATCH(TRIM($A41),'SLCA Raw'!$M$6:$M$33,0),
MATCH(D$33,'SLCA Raw'!$B$3:$K$3,0)
),"")</f>
        <v>148.80000000000001</v>
      </c>
      <c r="E41">
        <f>IFERROR(
INDEX('SLCA Raw'!$B$6:$K$33,
MATCH(TRIM($A41),'SLCA Raw'!$M$6:$M$33,0),
MATCH(E$33,'SLCA Raw'!$B$3:$K$3,0)
),"")</f>
        <v>179.4</v>
      </c>
      <c r="F41">
        <f>IFERROR(
INDEX('SLCA Raw'!$B$6:$K$33,
MATCH(TRIM($A41),'SLCA Raw'!$M$6:$M$33,0),
MATCH(F$33,'SLCA Raw'!$B$3:$K$3,0)
),"")</f>
        <v>155.6</v>
      </c>
      <c r="G41">
        <f>IFERROR(
INDEX('SLCA Raw'!$B$6:$K$33,
MATCH(TRIM($A41),'SLCA Raw'!$M$6:$M$33,0),
MATCH(G$33,'SLCA Raw'!$B$3:$K$3,0)
),"")</f>
        <v>161.1</v>
      </c>
      <c r="H41">
        <f>IFERROR(
INDEX('SLCA Raw'!$B$6:$K$33,
MATCH(TRIM($A41),'SLCA Raw'!$M$6:$M$33,0),
MATCH(H$33,'SLCA Raw'!$B$3:$K$3,0)
),"")</f>
        <v>140.19999999999999</v>
      </c>
      <c r="I41">
        <f>IFERROR(
INDEX('SLCA Raw'!$B$6:$K$33,
MATCH(TRIM($A41),'SLCA Raw'!$M$6:$M$33,0),
MATCH(I$33,'SLCA Raw'!$B$3:$K$3,0)
),"")</f>
        <v>137.30000000000001</v>
      </c>
      <c r="J41" s="240">
        <f>SUM('Individual Cash Flow'!I13+'Individual Cash Flow'!I39)</f>
        <v>146.23333333333335</v>
      </c>
      <c r="K41" s="241">
        <f>SUM('Individual Cash Flow'!J13+'Individual Cash Flow'!J39)</f>
        <v>146.23333333333335</v>
      </c>
      <c r="L41" s="241">
        <f>SUM('Individual Cash Flow'!K13+'Individual Cash Flow'!K39)</f>
        <v>146.23333333333335</v>
      </c>
      <c r="M41" s="241">
        <f>SUM('Individual Cash Flow'!L13+'Individual Cash Flow'!L39)</f>
        <v>146.23333333333335</v>
      </c>
      <c r="N41" s="242">
        <f>SUM('Individual Cash Flow'!M13+'Individual Cash Flow'!M39)</f>
        <v>146.23333333333335</v>
      </c>
    </row>
    <row r="42" spans="1:14" x14ac:dyDescent="0.15">
      <c r="A42" t="s">
        <v>186</v>
      </c>
      <c r="C42" s="57" t="s">
        <v>186</v>
      </c>
      <c r="D42" s="1">
        <f>IFERROR(
INDEX('SLCA Raw'!$B$6:$K$33,
MATCH(TRIM($A42),'SLCA Raw'!$M$6:$M$33,0),
MATCH(D$33,'SLCA Raw'!$B$3:$K$3,0)
),"")</f>
        <v>281.89999999999998</v>
      </c>
      <c r="E42" s="1">
        <f>IFERROR(
INDEX('SLCA Raw'!$B$6:$K$33,
MATCH(TRIM($A42),'SLCA Raw'!$M$6:$M$33,0),
MATCH(E$33,'SLCA Raw'!$B$3:$K$3,0)
),"")</f>
        <v>363.8</v>
      </c>
      <c r="F42" s="1">
        <f>IFERROR(
INDEX('SLCA Raw'!$B$6:$K$33,
MATCH(TRIM($A42),'SLCA Raw'!$M$6:$M$33,0),
MATCH(F$33,'SLCA Raw'!$B$3:$K$3,0)
),"")</f>
        <v>110.7</v>
      </c>
      <c r="G42" s="1">
        <f>IFERROR(
INDEX('SLCA Raw'!$B$6:$K$33,
MATCH(TRIM($A42),'SLCA Raw'!$M$6:$M$33,0),
MATCH(G$33,'SLCA Raw'!$B$3:$K$3,0)
),"")</f>
        <v>0.2</v>
      </c>
      <c r="H42" s="1">
        <f>IFERROR(
INDEX('SLCA Raw'!$B$6:$K$33,
MATCH(TRIM($A42),'SLCA Raw'!$M$6:$M$33,0),
MATCH(H$33,'SLCA Raw'!$B$3:$K$3,0)
),"")</f>
        <v>0</v>
      </c>
      <c r="I42" s="1">
        <f>IFERROR(
INDEX('SLCA Raw'!$B$6:$K$33,
MATCH(TRIM($A42),'SLCA Raw'!$M$6:$M$33,0),
MATCH(I$33,'SLCA Raw'!$B$3:$K$3,0)
),"")</f>
        <v>8.5</v>
      </c>
      <c r="J42" s="71">
        <v>0</v>
      </c>
      <c r="K42" s="33">
        <v>0</v>
      </c>
      <c r="L42" s="33">
        <v>0</v>
      </c>
      <c r="M42" s="33">
        <v>0</v>
      </c>
      <c r="N42" s="72">
        <v>0</v>
      </c>
    </row>
    <row r="43" spans="1:14" x14ac:dyDescent="0.15">
      <c r="A43" t="s">
        <v>187</v>
      </c>
      <c r="C43" s="57" t="s">
        <v>188</v>
      </c>
      <c r="D43" s="1">
        <f>IFERROR(
INDEX('SLCA Raw'!$B$6:$K$33,
MATCH(TRIM($A43),'SLCA Raw'!$M$6:$M$33,0),
MATCH(D$33,'SLCA Raw'!$B$3:$K$3,0)
),"")</f>
        <v>0</v>
      </c>
      <c r="E43" s="1">
        <f>IFERROR(
INDEX('SLCA Raw'!$B$6:$K$33,
MATCH(TRIM($A43),'SLCA Raw'!$M$6:$M$33,0),
MATCH(E$33,'SLCA Raw'!$B$3:$K$3,0)
),"")</f>
        <v>0</v>
      </c>
      <c r="F43" s="1">
        <f>IFERROR(
INDEX('SLCA Raw'!$B$6:$K$33,
MATCH(TRIM($A43),'SLCA Raw'!$M$6:$M$33,0),
MATCH(F$33,'SLCA Raw'!$B$3:$K$3,0)
),"")</f>
        <v>0</v>
      </c>
      <c r="G43" s="1">
        <f>IFERROR(
INDEX('SLCA Raw'!$B$6:$K$33,
MATCH(TRIM($A43),'SLCA Raw'!$M$6:$M$33,0),
MATCH(G$33,'SLCA Raw'!$B$3:$K$3,0)
),"")</f>
        <v>0</v>
      </c>
      <c r="H43" s="1">
        <f>IFERROR(
INDEX('SLCA Raw'!$B$6:$K$33,
MATCH(TRIM($A43),'SLCA Raw'!$M$6:$M$33,0),
MATCH(H$33,'SLCA Raw'!$B$3:$K$3,0)
),"")</f>
        <v>0</v>
      </c>
      <c r="I43" s="1">
        <f>IFERROR(
INDEX('SLCA Raw'!$B$6:$K$33,
MATCH(TRIM($A43),'SLCA Raw'!$M$6:$M$33,0),
MATCH(I$33,'SLCA Raw'!$B$3:$K$3,0)
),"")</f>
        <v>0</v>
      </c>
      <c r="J43" s="64">
        <f>J$12*J$35</f>
        <v>0</v>
      </c>
      <c r="K43" s="65">
        <f>K$12*K$35</f>
        <v>0</v>
      </c>
      <c r="L43" s="65">
        <f>L$12*L$35</f>
        <v>0</v>
      </c>
      <c r="M43" s="65">
        <f>M$12*M$35</f>
        <v>0</v>
      </c>
      <c r="N43" s="66">
        <f>N$12*N$35</f>
        <v>0</v>
      </c>
    </row>
    <row r="44" spans="1:14" x14ac:dyDescent="0.15">
      <c r="A44" t="s">
        <v>25</v>
      </c>
      <c r="C44" t="s">
        <v>189</v>
      </c>
      <c r="D44" s="1">
        <f>IFERROR(
INDEX('SLCA Raw'!$B$6:$K$33,
MATCH(TRIM($A44),'SLCA Raw'!$M$6:$M$33,0),
MATCH(D$33,'SLCA Raw'!$B$3:$K$3,0)
),"")</f>
        <v>1740.8</v>
      </c>
      <c r="E44" s="1">
        <f>IFERROR(
INDEX('SLCA Raw'!$B$6:$K$33,
MATCH(TRIM($A44),'SLCA Raw'!$M$6:$M$33,0),
MATCH(E$33,'SLCA Raw'!$B$3:$K$3,0)
),"")</f>
        <v>1827.4</v>
      </c>
      <c r="F44" s="1">
        <f>IFERROR(
INDEX('SLCA Raw'!$B$6:$K$33,
MATCH(TRIM($A44),'SLCA Raw'!$M$6:$M$33,0),
MATCH(F$33,'SLCA Raw'!$B$3:$K$3,0)
),"")</f>
        <v>965.5</v>
      </c>
      <c r="G44" s="1">
        <f>IFERROR(
INDEX('SLCA Raw'!$B$6:$K$33,
MATCH(TRIM($A44),'SLCA Raw'!$M$6:$M$33,0),
MATCH(G$33,'SLCA Raw'!$B$3:$K$3,0)
),"")</f>
        <v>1075.9000000000001</v>
      </c>
      <c r="H44" s="1">
        <f>IFERROR(
INDEX('SLCA Raw'!$B$6:$K$33,
MATCH(TRIM($A44),'SLCA Raw'!$M$6:$M$33,0),
MATCH(H$33,'SLCA Raw'!$B$3:$K$3,0)
),"")</f>
        <v>1354.2</v>
      </c>
      <c r="I44" s="1">
        <f>IFERROR(
INDEX('SLCA Raw'!$B$6:$K$33,
MATCH(TRIM($A44),'SLCA Raw'!$M$6:$M$33,0),
MATCH(I$33,'SLCA Raw'!$B$3:$K$3,0)
),"")</f>
        <v>1285.2</v>
      </c>
      <c r="J44" s="58">
        <f>SUM(J$39:J$43)+J37</f>
        <v>1407.8443655807882</v>
      </c>
      <c r="K44" s="1">
        <f t="shared" ref="K44:N44" si="25">SUM(K$39:K$43)+K37</f>
        <v>1436.6883168226532</v>
      </c>
      <c r="L44" s="1">
        <f t="shared" si="25"/>
        <v>1468.0089728036066</v>
      </c>
      <c r="M44" s="1">
        <f t="shared" si="25"/>
        <v>1523.503054589758</v>
      </c>
      <c r="N44" s="59">
        <f t="shared" si="25"/>
        <v>1566.2106961887487</v>
      </c>
    </row>
    <row r="45" spans="1:14" x14ac:dyDescent="0.15">
      <c r="A45" t="s">
        <v>26</v>
      </c>
      <c r="C45" s="49" t="s">
        <v>26</v>
      </c>
      <c r="D45" s="51">
        <f>IFERROR(
INDEX('SLCA Raw'!$B$6:$K$33,
MATCH(TRIM($A45),'SLCA Raw'!$M$6:$M$33,0),
MATCH(D$33,'SLCA Raw'!$B$3:$K$3,0)
),"")</f>
        <v>-163.53299999999999</v>
      </c>
      <c r="E45" s="51">
        <f>IFERROR(
INDEX('SLCA Raw'!$B$6:$K$33,
MATCH(TRIM($A45),'SLCA Raw'!$M$6:$M$33,0),
MATCH(E$33,'SLCA Raw'!$B$3:$K$3,0)
),"")</f>
        <v>-352.95499999999998</v>
      </c>
      <c r="F45" s="51">
        <f>IFERROR(
INDEX('SLCA Raw'!$B$6:$K$33,
MATCH(TRIM($A45),'SLCA Raw'!$M$6:$M$33,0),
MATCH(F$33,'SLCA Raw'!$B$3:$K$3,0)
),"")</f>
        <v>-119.61199999999999</v>
      </c>
      <c r="G45" s="51">
        <f>IFERROR(
INDEX('SLCA Raw'!$B$6:$K$33,
MATCH(TRIM($A45),'SLCA Raw'!$M$6:$M$33,0),
MATCH(G$33,'SLCA Raw'!$B$3:$K$3,0)
),"")</f>
        <v>27.934999999999999</v>
      </c>
      <c r="H45" s="51">
        <f>IFERROR(
INDEX('SLCA Raw'!$B$6:$K$33,
MATCH(TRIM($A45),'SLCA Raw'!$M$6:$M$33,0),
MATCH(H$33,'SLCA Raw'!$B$3:$K$3,0)
),"")</f>
        <v>170.95400000000001</v>
      </c>
      <c r="I45" s="51">
        <f>IFERROR(
INDEX('SLCA Raw'!$B$6:$K$33,
MATCH(TRIM($A45),'SLCA Raw'!$M$6:$M$33,0),
MATCH(I$33,'SLCA Raw'!$B$3:$K$3,0)
),"")</f>
        <v>266.839</v>
      </c>
      <c r="J45" s="50">
        <f>J$35-J$44</f>
        <v>196.77972834721163</v>
      </c>
      <c r="K45" s="51">
        <f t="shared" ref="K45:N45" si="26">K$35-K$44</f>
        <v>221.13054247867035</v>
      </c>
      <c r="L45" s="51">
        <f t="shared" si="26"/>
        <v>242.94898908178993</v>
      </c>
      <c r="M45" s="51">
        <f t="shared" si="26"/>
        <v>244.36136910794653</v>
      </c>
      <c r="N45" s="52">
        <f t="shared" si="26"/>
        <v>262.08698328086848</v>
      </c>
    </row>
    <row r="46" spans="1:14" x14ac:dyDescent="0.15">
      <c r="C46" s="53"/>
      <c r="D46" s="53"/>
      <c r="E46" s="53"/>
      <c r="F46" s="53"/>
      <c r="G46" s="53"/>
      <c r="H46" s="53"/>
      <c r="I46" s="53"/>
      <c r="J46" s="54"/>
      <c r="K46" s="55"/>
      <c r="L46" s="55"/>
      <c r="M46" s="55"/>
      <c r="N46" s="56"/>
    </row>
    <row r="47" spans="1:14" x14ac:dyDescent="0.15">
      <c r="A47" t="s">
        <v>190</v>
      </c>
      <c r="C47" s="57" t="s">
        <v>191</v>
      </c>
      <c r="D47" s="1">
        <f>IFERROR(
INDEX('SLCA Raw'!$B$6:$K$33,
MATCH(TRIM($A47),'SLCA Raw'!$M$6:$M$33,0),
MATCH(D$33,'SLCA Raw'!$B$3:$K$3,0)
),"")</f>
        <v>-70.599999999999994</v>
      </c>
      <c r="E47" s="1">
        <f>IFERROR(
INDEX('SLCA Raw'!$B$6:$K$33,
MATCH(TRIM($A47),'SLCA Raw'!$M$6:$M$33,0),
MATCH(E$33,'SLCA Raw'!$B$3:$K$3,0)
),"")</f>
        <v>-95.5</v>
      </c>
      <c r="F47" s="1">
        <f>IFERROR(
INDEX('SLCA Raw'!$B$6:$K$33,
MATCH(TRIM($A47),'SLCA Raw'!$M$6:$M$33,0),
MATCH(F$33,'SLCA Raw'!$B$3:$K$3,0)
),"")</f>
        <v>-79.900000000000006</v>
      </c>
      <c r="G47" s="1">
        <f>IFERROR(
INDEX('SLCA Raw'!$B$6:$K$33,
MATCH(TRIM($A47),'SLCA Raw'!$M$6:$M$33,0),
MATCH(G$33,'SLCA Raw'!$B$3:$K$3,0)
),"")</f>
        <v>-71.2</v>
      </c>
      <c r="H47" s="1">
        <f>IFERROR(
INDEX('SLCA Raw'!$B$6:$K$33,
MATCH(TRIM($A47),'SLCA Raw'!$M$6:$M$33,0),
MATCH(H$33,'SLCA Raw'!$B$3:$K$3,0)
),"")</f>
        <v>-77.599999999999994</v>
      </c>
      <c r="I47" s="1">
        <f>IFERROR(
INDEX('SLCA Raw'!$B$6:$K$33,
MATCH(TRIM($A47),'SLCA Raw'!$M$6:$M$33,0),
MATCH(I$33,'SLCA Raw'!$B$3:$K$3,0)
),"")</f>
        <v>-101.7</v>
      </c>
      <c r="J47" s="58"/>
      <c r="K47" s="1"/>
      <c r="L47" s="1"/>
      <c r="M47" s="1"/>
      <c r="N47" s="59"/>
    </row>
    <row r="48" spans="1:14" x14ac:dyDescent="0.15">
      <c r="A48" t="s">
        <v>192</v>
      </c>
      <c r="C48" s="57" t="s">
        <v>163</v>
      </c>
      <c r="D48" s="1">
        <f>IFERROR(
INDEX('SLCA Raw'!$B$6:$K$33,
MATCH(TRIM($A48),'SLCA Raw'!$M$6:$M$33,0),
MATCH(D$33,'SLCA Raw'!$B$3:$K$3,0)
),"")</f>
        <v>0</v>
      </c>
      <c r="E48" s="1">
        <f>IFERROR(
INDEX('SLCA Raw'!$B$6:$K$33,
MATCH(TRIM($A48),'SLCA Raw'!$M$6:$M$33,0),
MATCH(E$33,'SLCA Raw'!$B$3:$K$3,0)
),"")</f>
        <v>0</v>
      </c>
      <c r="F48" s="1">
        <f>IFERROR(
INDEX('SLCA Raw'!$B$6:$K$33,
MATCH(TRIM($A48),'SLCA Raw'!$M$6:$M$33,0),
MATCH(F$33,'SLCA Raw'!$B$3:$K$3,0)
),"")</f>
        <v>0.3</v>
      </c>
      <c r="G48" s="1">
        <f>IFERROR(
INDEX('SLCA Raw'!$B$6:$K$33,
MATCH(TRIM($A48),'SLCA Raw'!$M$6:$M$33,0),
MATCH(G$33,'SLCA Raw'!$B$3:$K$3,0)
),"")</f>
        <v>0</v>
      </c>
      <c r="H48" s="1">
        <f>IFERROR(
INDEX('SLCA Raw'!$B$6:$K$33,
MATCH(TRIM($A48),'SLCA Raw'!$M$6:$M$33,0),
MATCH(H$33,'SLCA Raw'!$B$3:$K$3,0)
),"")</f>
        <v>0</v>
      </c>
      <c r="I48" s="1">
        <f>IFERROR(
INDEX('SLCA Raw'!$B$6:$K$33,
MATCH(TRIM($A48),'SLCA Raw'!$M$6:$M$33,0),
MATCH(I$33,'SLCA Raw'!$B$3:$K$3,0)
),"")</f>
        <v>16.8</v>
      </c>
      <c r="J48" s="67">
        <f>J13</f>
        <v>0</v>
      </c>
      <c r="K48" s="68">
        <f>K13</f>
        <v>0</v>
      </c>
      <c r="L48" s="68">
        <f>L13</f>
        <v>0</v>
      </c>
      <c r="M48" s="68">
        <f>M13</f>
        <v>0</v>
      </c>
      <c r="N48" s="69">
        <f>N13</f>
        <v>0</v>
      </c>
    </row>
    <row r="49" spans="1:18" x14ac:dyDescent="0.15">
      <c r="A49" t="s">
        <v>193</v>
      </c>
      <c r="C49" s="57" t="s">
        <v>194</v>
      </c>
      <c r="D49" s="1">
        <f>IFERROR(
INDEX('SLCA Raw'!$B$6:$K$33,
MATCH(TRIM($A49),'SLCA Raw'!$M$6:$M$33,0),
MATCH(D$33,'SLCA Raw'!$B$3:$K$3,0)
),"")</f>
        <v>4.0999999999999996</v>
      </c>
      <c r="E49" s="1">
        <f>IFERROR(
INDEX('SLCA Raw'!$B$6:$K$33,
MATCH(TRIM($A49),'SLCA Raw'!$M$6:$M$33,0),
MATCH(E$33,'SLCA Raw'!$B$3:$K$3,0)
),"")</f>
        <v>19.5</v>
      </c>
      <c r="F49" s="1">
        <f>IFERROR(
INDEX('SLCA Raw'!$B$6:$K$33,
MATCH(TRIM($A49),'SLCA Raw'!$M$6:$M$33,0),
MATCH(F$33,'SLCA Raw'!$B$3:$K$3,0)
),"")</f>
        <v>24</v>
      </c>
      <c r="G49" s="1">
        <f>IFERROR(
INDEX('SLCA Raw'!$B$6:$K$33,
MATCH(TRIM($A49),'SLCA Raw'!$M$6:$M$33,0),
MATCH(G$33,'SLCA Raw'!$B$3:$K$3,0)
),"")</f>
        <v>6.1</v>
      </c>
      <c r="H49" s="1">
        <f>IFERROR(
INDEX('SLCA Raw'!$B$6:$K$33,
MATCH(TRIM($A49),'SLCA Raw'!$M$6:$M$33,0),
MATCH(H$33,'SLCA Raw'!$B$3:$K$3,0)
),"")</f>
        <v>10.6</v>
      </c>
      <c r="I49" s="1">
        <f>IFERROR(
INDEX('SLCA Raw'!$B$6:$K$33,
MATCH(TRIM($A49),'SLCA Raw'!$M$6:$M$33,0),
MATCH(I$33,'SLCA Raw'!$B$3:$K$3,0)
),"")</f>
        <v>13.6</v>
      </c>
      <c r="J49" s="58">
        <f>AVERAGE($I$49:$I$49)</f>
        <v>13.6</v>
      </c>
      <c r="K49" s="1">
        <f>AVERAGE($I$49:$I$49)</f>
        <v>13.6</v>
      </c>
      <c r="L49" s="1">
        <f>AVERAGE($I$49:$I$49)</f>
        <v>13.6</v>
      </c>
      <c r="M49" s="1">
        <f>AVERAGE($I$49:$I$49)</f>
        <v>13.6</v>
      </c>
      <c r="N49" s="59">
        <f>AVERAGE($I$49:$I$49)</f>
        <v>13.6</v>
      </c>
    </row>
    <row r="50" spans="1:18" x14ac:dyDescent="0.15">
      <c r="A50" t="s">
        <v>30</v>
      </c>
      <c r="C50" s="53" t="s">
        <v>195</v>
      </c>
      <c r="D50" s="55">
        <f>IFERROR(
INDEX('SLCA Raw'!$B$6:$K$33,
MATCH(TRIM($A50),'SLCA Raw'!$M$6:$M$33,0),
MATCH(D$33,'SLCA Raw'!$B$3:$K$3,0)
),"")</f>
        <v>-229.953</v>
      </c>
      <c r="E50" s="55">
        <f>IFERROR(
INDEX('SLCA Raw'!$B$6:$K$33,
MATCH(TRIM($A50),'SLCA Raw'!$M$6:$M$33,0),
MATCH(E$33,'SLCA Raw'!$B$3:$K$3,0)
),"")</f>
        <v>-428.90800000000002</v>
      </c>
      <c r="F50" s="55">
        <f>IFERROR(
INDEX('SLCA Raw'!$B$6:$K$33,
MATCH(TRIM($A50),'SLCA Raw'!$M$6:$M$33,0),
MATCH(F$33,'SLCA Raw'!$B$3:$K$3,0)
),"")</f>
        <v>-175.14699999999999</v>
      </c>
      <c r="G50" s="55">
        <f>IFERROR(
INDEX('SLCA Raw'!$B$6:$K$33,
MATCH(TRIM($A50),'SLCA Raw'!$M$6:$M$33,0),
MATCH(G$33,'SLCA Raw'!$B$3:$K$3,0)
),"")</f>
        <v>-37.076000000000001</v>
      </c>
      <c r="H50" s="55">
        <f>IFERROR(
INDEX('SLCA Raw'!$B$6:$K$33,
MATCH(TRIM($A50),'SLCA Raw'!$M$6:$M$33,0),
MATCH(H$33,'SLCA Raw'!$B$3:$K$3,0)
),"")</f>
        <v>103.999</v>
      </c>
      <c r="I50" s="55">
        <f>IFERROR(
INDEX('SLCA Raw'!$B$6:$K$33,
MATCH(TRIM($A50),'SLCA Raw'!$M$6:$M$33,0),
MATCH(I$33,'SLCA Raw'!$B$3:$K$3,0)
),"")</f>
        <v>195.56899999999999</v>
      </c>
      <c r="J50" s="54">
        <f>J$45+J$47+J$48+J$49</f>
        <v>210.37972834721162</v>
      </c>
      <c r="K50" s="55">
        <f t="shared" ref="K50:N50" si="27">K$45+K$47+K$48+K$49</f>
        <v>234.73054247867034</v>
      </c>
      <c r="L50" s="55">
        <f t="shared" si="27"/>
        <v>256.54898908178995</v>
      </c>
      <c r="M50" s="55">
        <f t="shared" si="27"/>
        <v>257.96136910794655</v>
      </c>
      <c r="N50" s="56">
        <f t="shared" si="27"/>
        <v>275.6869832808685</v>
      </c>
    </row>
    <row r="51" spans="1:18" x14ac:dyDescent="0.15">
      <c r="A51" t="s">
        <v>196</v>
      </c>
      <c r="C51" s="57" t="s">
        <v>197</v>
      </c>
      <c r="D51" s="1">
        <f>IFERROR(
INDEX('SLCA Raw'!$B$6:$K$33,
MATCH(TRIM($A51),'SLCA Raw'!$M$6:$M$33,0),
MATCH(D$33,'SLCA Raw'!$B$3:$K$3,0)
),"")</f>
        <v>-29.132000000000001</v>
      </c>
      <c r="E51" s="1">
        <f>IFERROR(
INDEX('SLCA Raw'!$B$6:$K$33,
MATCH(TRIM($A51),'SLCA Raw'!$M$6:$M$33,0),
MATCH(E$33,'SLCA Raw'!$B$3:$K$3,0)
),"")</f>
        <v>-99.150999999999996</v>
      </c>
      <c r="F51" s="1">
        <f>IFERROR(
INDEX('SLCA Raw'!$B$6:$K$33,
MATCH(TRIM($A51),'SLCA Raw'!$M$6:$M$33,0),
MATCH(F$33,'SLCA Raw'!$B$3:$K$3,0)
),"")</f>
        <v>-37.707000000000001</v>
      </c>
      <c r="G51" s="1">
        <f>IFERROR(
INDEX('SLCA Raw'!$B$6:$K$33,
MATCH(TRIM($A51),'SLCA Raw'!$M$6:$M$33,0),
MATCH(G$33,'SLCA Raw'!$B$3:$K$3,0)
),"")</f>
        <v>-2.7549999999999999</v>
      </c>
      <c r="H51" s="1">
        <f>IFERROR(
INDEX('SLCA Raw'!$B$6:$K$33,
MATCH(TRIM($A51),'SLCA Raw'!$M$6:$M$33,0),
MATCH(H$33,'SLCA Raw'!$B$3:$K$3,0)
),"")</f>
        <v>26.158999999999999</v>
      </c>
      <c r="I51" s="1">
        <f>IFERROR(
INDEX('SLCA Raw'!$B$6:$K$33,
MATCH(TRIM($A51),'SLCA Raw'!$M$6:$M$33,0),
MATCH(I$33,'SLCA Raw'!$B$3:$K$3,0)
),"")</f>
        <v>49.08</v>
      </c>
      <c r="J51" s="58">
        <f t="shared" ref="J51:N51" si="28">J$50*J$28</f>
        <v>55.750628012011084</v>
      </c>
      <c r="K51" s="1">
        <f t="shared" si="28"/>
        <v>62.203593756847646</v>
      </c>
      <c r="L51" s="1">
        <f t="shared" si="28"/>
        <v>67.98548210667434</v>
      </c>
      <c r="M51" s="1">
        <f t="shared" si="28"/>
        <v>68.35976281360584</v>
      </c>
      <c r="N51" s="59">
        <f t="shared" si="28"/>
        <v>73.05705056943016</v>
      </c>
    </row>
    <row r="52" spans="1:18" x14ac:dyDescent="0.15">
      <c r="A52" t="s">
        <v>32</v>
      </c>
      <c r="C52" s="49" t="s">
        <v>32</v>
      </c>
      <c r="D52" s="51">
        <f>IFERROR(
INDEX('SLCA Raw'!$B$6:$K$33,
MATCH(TRIM($A52),'SLCA Raw'!$M$6:$M$33,0),
MATCH(D$33,'SLCA Raw'!$B$3:$K$3,0)
),"")</f>
        <v>-200.80799999999999</v>
      </c>
      <c r="E52" s="51">
        <f>IFERROR(
INDEX('SLCA Raw'!$B$6:$K$33,
MATCH(TRIM($A52),'SLCA Raw'!$M$6:$M$33,0),
MATCH(E$33,'SLCA Raw'!$B$3:$K$3,0)
),"")</f>
        <v>-329.08199999999999</v>
      </c>
      <c r="F52" s="51">
        <f>IFERROR(
INDEX('SLCA Raw'!$B$6:$K$33,
MATCH(TRIM($A52),'SLCA Raw'!$M$6:$M$33,0),
MATCH(F$33,'SLCA Raw'!$B$3:$K$3,0)
),"")</f>
        <v>-114.09399999999999</v>
      </c>
      <c r="G52" s="51">
        <f>IFERROR(
INDEX('SLCA Raw'!$B$6:$K$33,
MATCH(TRIM($A52),'SLCA Raw'!$M$6:$M$33,0),
MATCH(G$33,'SLCA Raw'!$B$3:$K$3,0)
),"")</f>
        <v>-33.761000000000003</v>
      </c>
      <c r="H52" s="51">
        <f>IFERROR(
INDEX('SLCA Raw'!$B$6:$K$33,
MATCH(TRIM($A52),'SLCA Raw'!$M$6:$M$33,0),
MATCH(H$33,'SLCA Raw'!$B$3:$K$3,0)
),"")</f>
        <v>78.176000000000002</v>
      </c>
      <c r="I52" s="51">
        <f>IFERROR(
INDEX('SLCA Raw'!$B$6:$K$33,
MATCH(TRIM($A52),'SLCA Raw'!$M$6:$M$33,0),
MATCH(I$33,'SLCA Raw'!$B$3:$K$3,0)
),"")</f>
        <v>146.92500000000001</v>
      </c>
      <c r="J52" s="50">
        <f t="shared" ref="J52:N52" si="29">J50-J51</f>
        <v>154.62910033520055</v>
      </c>
      <c r="K52" s="51">
        <f t="shared" si="29"/>
        <v>172.52694872182269</v>
      </c>
      <c r="L52" s="51">
        <f t="shared" si="29"/>
        <v>188.56350697511562</v>
      </c>
      <c r="M52" s="51">
        <f t="shared" si="29"/>
        <v>189.60160629434071</v>
      </c>
      <c r="N52" s="52">
        <f t="shared" si="29"/>
        <v>202.62993271143836</v>
      </c>
    </row>
    <row r="53" spans="1:18" x14ac:dyDescent="0.15">
      <c r="C53" s="70" t="s">
        <v>198</v>
      </c>
      <c r="D53" s="1">
        <f t="shared" ref="D53:I53" si="30">D$52-D$113</f>
        <v>1.300000000000523E-2</v>
      </c>
      <c r="E53" s="1">
        <f t="shared" si="30"/>
        <v>0.67500000000001137</v>
      </c>
      <c r="F53" s="1">
        <f t="shared" si="30"/>
        <v>1.0280000000000058</v>
      </c>
      <c r="G53" s="1">
        <f t="shared" si="30"/>
        <v>0.55999999999999517</v>
      </c>
      <c r="H53" s="1">
        <f t="shared" si="30"/>
        <v>0.33599999999999852</v>
      </c>
      <c r="I53" s="1">
        <f t="shared" si="30"/>
        <v>0.43600000000000705</v>
      </c>
      <c r="J53" s="71">
        <v>0</v>
      </c>
      <c r="K53" s="33">
        <f>$J$53</f>
        <v>0</v>
      </c>
      <c r="L53" s="33">
        <f t="shared" ref="L53:N53" si="31">$J$53</f>
        <v>0</v>
      </c>
      <c r="M53" s="33">
        <f t="shared" si="31"/>
        <v>0</v>
      </c>
      <c r="N53" s="72">
        <f t="shared" si="31"/>
        <v>0</v>
      </c>
    </row>
    <row r="54" spans="1:18" x14ac:dyDescent="0.15">
      <c r="C54" s="70"/>
      <c r="J54" s="71"/>
      <c r="K54" s="33"/>
      <c r="L54" s="33"/>
      <c r="M54" s="33"/>
      <c r="N54" s="72"/>
    </row>
    <row r="55" spans="1:18" x14ac:dyDescent="0.15">
      <c r="A55" t="s">
        <v>37</v>
      </c>
      <c r="C55" t="s">
        <v>37</v>
      </c>
      <c r="D55">
        <f>IFERROR(
INDEX('SLCA Raw'!$B$6:$K$33,
MATCH(TRIM($A55),'SLCA Raw'!$M$6:$M$33,0),
MATCH(D$33,'SLCA Raw'!$B$3:$K$3,0)
),"")</f>
        <v>76</v>
      </c>
      <c r="E55">
        <f>IFERROR(
INDEX('SLCA Raw'!$B$6:$K$33,
MATCH(TRIM($A55),'SLCA Raw'!$M$6:$M$33,0),
MATCH(E$33,'SLCA Raw'!$B$3:$K$3,0)
),"")</f>
        <v>73</v>
      </c>
      <c r="F55">
        <f>IFERROR(
INDEX('SLCA Raw'!$B$6:$K$33,
MATCH(TRIM($A55),'SLCA Raw'!$M$6:$M$33,0),
MATCH(F$33,'SLCA Raw'!$B$3:$K$3,0)
),"")</f>
        <v>74</v>
      </c>
      <c r="G55">
        <f>IFERROR(
INDEX('SLCA Raw'!$B$6:$K$33,
MATCH(TRIM($A55),'SLCA Raw'!$M$6:$M$33,0),
MATCH(G$33,'SLCA Raw'!$B$3:$K$3,0)
),"")</f>
        <v>74</v>
      </c>
      <c r="H55">
        <f>IFERROR(
INDEX('SLCA Raw'!$B$6:$K$33,
MATCH(TRIM($A55),'SLCA Raw'!$M$6:$M$33,0),
MATCH(H$33,'SLCA Raw'!$B$3:$K$3,0)
),"")</f>
        <v>76</v>
      </c>
      <c r="I55">
        <f>IFERROR(
INDEX('SLCA Raw'!$B$6:$K$33,
MATCH(TRIM($A55),'SLCA Raw'!$M$6:$M$33,0),
MATCH(I$33,'SLCA Raw'!$B$3:$K$3,0)
),"")</f>
        <v>77</v>
      </c>
      <c r="J55" s="64">
        <f>'[2]Olin Equity Schedule'!M$19</f>
        <v>114</v>
      </c>
      <c r="K55" s="65">
        <f>'[2]Olin Equity Schedule'!N$19</f>
        <v>114</v>
      </c>
      <c r="L55" s="65">
        <f>'[2]Olin Equity Schedule'!O$19</f>
        <v>114</v>
      </c>
      <c r="M55" s="65">
        <f>'[2]Olin Equity Schedule'!P$19</f>
        <v>114</v>
      </c>
      <c r="N55" s="66">
        <f>'[2]Olin Equity Schedule'!Q$19</f>
        <v>114</v>
      </c>
    </row>
    <row r="56" spans="1:18" x14ac:dyDescent="0.15">
      <c r="A56" t="s">
        <v>41</v>
      </c>
      <c r="C56" t="s">
        <v>199</v>
      </c>
      <c r="D56">
        <f>IFERROR(
INDEX('SLCA Raw'!$B$6:$K$33,
MATCH(TRIM($A56),'SLCA Raw'!$M$6:$M$33,0),
MATCH(D$33,'SLCA Raw'!$B$3:$K$3,0)
),"")</f>
        <v>76</v>
      </c>
      <c r="E56">
        <f>IFERROR(
INDEX('SLCA Raw'!$B$6:$K$33,
MATCH(TRIM($A56),'SLCA Raw'!$M$6:$M$33,0),
MATCH(E$33,'SLCA Raw'!$B$3:$K$3,0)
),"")</f>
        <v>73</v>
      </c>
      <c r="F56">
        <f>IFERROR(
INDEX('SLCA Raw'!$B$6:$K$33,
MATCH(TRIM($A56),'SLCA Raw'!$M$6:$M$33,0),
MATCH(F$33,'SLCA Raw'!$B$3:$K$3,0)
),"")</f>
        <v>74</v>
      </c>
      <c r="G56">
        <f>IFERROR(
INDEX('SLCA Raw'!$B$6:$K$33,
MATCH(TRIM($A56),'SLCA Raw'!$M$6:$M$33,0),
MATCH(G$33,'SLCA Raw'!$B$3:$K$3,0)
),"")</f>
        <v>74</v>
      </c>
      <c r="H56">
        <f>IFERROR(
INDEX('SLCA Raw'!$B$6:$K$33,
MATCH(TRIM($A56),'SLCA Raw'!$M$6:$M$33,0),
MATCH(H$33,'SLCA Raw'!$B$3:$K$3,0)
),"")</f>
        <v>78</v>
      </c>
      <c r="I56">
        <f>IFERROR(
INDEX('SLCA Raw'!$B$6:$K$33,
MATCH(TRIM($A56),'SLCA Raw'!$M$6:$M$33,0),
MATCH(I$33,'SLCA Raw'!$B$3:$K$3,0)
),"")</f>
        <v>79</v>
      </c>
      <c r="J56" s="58">
        <f>$I$56</f>
        <v>79</v>
      </c>
      <c r="K56" s="1">
        <f t="shared" ref="K56:N56" si="32">$I$56</f>
        <v>79</v>
      </c>
      <c r="L56" s="1">
        <f t="shared" si="32"/>
        <v>79</v>
      </c>
      <c r="M56" s="1">
        <f t="shared" si="32"/>
        <v>79</v>
      </c>
      <c r="N56" s="59">
        <f t="shared" si="32"/>
        <v>79</v>
      </c>
    </row>
    <row r="57" spans="1:18" x14ac:dyDescent="0.15">
      <c r="A57" t="s">
        <v>38</v>
      </c>
      <c r="C57" t="s">
        <v>200</v>
      </c>
      <c r="D57">
        <f>IFERROR(
INDEX('SLCA Raw'!$B$6:$K$33,
MATCH(TRIM($A57),'SLCA Raw'!$M$6:$M$33,0),
MATCH(D$33,'SLCA Raw'!$B$3:$K$3,0)
),"")</f>
        <v>-2.63</v>
      </c>
      <c r="E57">
        <f>IFERROR(
INDEX('SLCA Raw'!$B$6:$K$33,
MATCH(TRIM($A57),'SLCA Raw'!$M$6:$M$33,0),
MATCH(E$33,'SLCA Raw'!$B$3:$K$3,0)
),"")</f>
        <v>-4.49</v>
      </c>
      <c r="F57">
        <f>IFERROR(
INDEX('SLCA Raw'!$B$6:$K$33,
MATCH(TRIM($A57),'SLCA Raw'!$M$6:$M$33,0),
MATCH(F$33,'SLCA Raw'!$B$3:$K$3,0)
),"")</f>
        <v>-1.85</v>
      </c>
      <c r="G57">
        <f>IFERROR(
INDEX('SLCA Raw'!$B$6:$K$33,
MATCH(TRIM($A57),'SLCA Raw'!$M$6:$M$33,0),
MATCH(G$33,'SLCA Raw'!$B$3:$K$3,0)
),"")</f>
        <v>-0.45</v>
      </c>
      <c r="H57">
        <f>IFERROR(
INDEX('SLCA Raw'!$B$6:$K$33,
MATCH(TRIM($A57),'SLCA Raw'!$M$6:$M$33,0),
MATCH(H$33,'SLCA Raw'!$B$3:$K$3,0)
),"")</f>
        <v>1.01</v>
      </c>
      <c r="I57">
        <f>IFERROR(
INDEX('SLCA Raw'!$B$6:$K$33,
MATCH(TRIM($A57),'SLCA Raw'!$M$6:$M$33,0),
MATCH(I$33,'SLCA Raw'!$B$3:$K$3,0)
),"")</f>
        <v>1.87</v>
      </c>
      <c r="J57" s="74">
        <f>J52/J56</f>
        <v>1.9573303839898804</v>
      </c>
      <c r="K57" s="23">
        <f>K52/K56</f>
        <v>2.1838854268585153</v>
      </c>
      <c r="L57" s="23">
        <f>L52/L56</f>
        <v>2.3868798351280458</v>
      </c>
      <c r="M57" s="23">
        <f>M52/M56</f>
        <v>2.4000203328397558</v>
      </c>
      <c r="N57" s="75">
        <f>N52/N56</f>
        <v>2.5649358571068146</v>
      </c>
    </row>
    <row r="58" spans="1:18" x14ac:dyDescent="0.15">
      <c r="A58" t="s">
        <v>42</v>
      </c>
      <c r="C58" t="s">
        <v>42</v>
      </c>
      <c r="D58" s="23">
        <f>IFERROR(
INDEX('SLCA Raw'!$B$6:$K$33,
MATCH(TRIM($A58),'SLCA Raw'!$M$6:$M$33,0),
MATCH(D$33,'SLCA Raw'!$B$3:$K$3,0)
),"")</f>
        <v>0.25</v>
      </c>
      <c r="E58" s="23">
        <f>IFERROR(
INDEX('SLCA Raw'!$B$6:$K$33,
MATCH(TRIM($A58),'SLCA Raw'!$M$6:$M$33,0),
MATCH(E$33,'SLCA Raw'!$B$3:$K$3,0)
),"")</f>
        <v>0.25</v>
      </c>
      <c r="F58" s="23">
        <f>IFERROR(
INDEX('SLCA Raw'!$B$6:$K$33,
MATCH(TRIM($A58),'SLCA Raw'!$M$6:$M$33,0),
MATCH(F$33,'SLCA Raw'!$B$3:$K$3,0)
),"")</f>
        <v>0</v>
      </c>
      <c r="G58" s="23">
        <f>IFERROR(
INDEX('SLCA Raw'!$B$6:$K$33,
MATCH(TRIM($A58),'SLCA Raw'!$M$6:$M$33,0),
MATCH(G$33,'SLCA Raw'!$B$3:$K$3,0)
),"")</f>
        <v>0</v>
      </c>
      <c r="H58" s="23">
        <f>IFERROR(
INDEX('SLCA Raw'!$B$6:$K$33,
MATCH(TRIM($A58),'SLCA Raw'!$M$6:$M$33,0),
MATCH(H$33,'SLCA Raw'!$B$3:$K$3,0)
),"")</f>
        <v>0</v>
      </c>
      <c r="I58" s="23">
        <f>IFERROR(
INDEX('SLCA Raw'!$B$6:$K$33,
MATCH(TRIM($A58),'SLCA Raw'!$M$6:$M$33,0),
MATCH(I$33,'SLCA Raw'!$B$3:$K$3,0)
),"")</f>
        <v>0</v>
      </c>
      <c r="J58" s="76">
        <v>0</v>
      </c>
      <c r="K58" s="77">
        <f>J58</f>
        <v>0</v>
      </c>
      <c r="L58" s="77">
        <f t="shared" ref="L58:N58" si="33">K58</f>
        <v>0</v>
      </c>
      <c r="M58" s="77">
        <f t="shared" si="33"/>
        <v>0</v>
      </c>
      <c r="N58" s="78">
        <f t="shared" si="33"/>
        <v>0</v>
      </c>
    </row>
    <row r="60" spans="1:18" ht="16" x14ac:dyDescent="0.15">
      <c r="A60" t="s">
        <v>201</v>
      </c>
      <c r="C60" s="275" t="s">
        <v>201</v>
      </c>
      <c r="D60" s="275"/>
      <c r="E60" s="275"/>
      <c r="F60" s="275"/>
      <c r="G60" s="275"/>
      <c r="H60" s="275"/>
      <c r="I60" s="275"/>
      <c r="J60" s="275"/>
      <c r="K60" s="275"/>
      <c r="L60" s="275"/>
      <c r="M60" s="275"/>
      <c r="N60" s="275"/>
    </row>
    <row r="61" spans="1:18" x14ac:dyDescent="0.15">
      <c r="C61" s="5"/>
      <c r="D61" s="261"/>
      <c r="E61" s="261"/>
      <c r="F61" s="261"/>
      <c r="G61" s="261"/>
      <c r="H61" s="261"/>
      <c r="I61" s="261"/>
      <c r="J61" s="276" t="s">
        <v>157</v>
      </c>
      <c r="K61" s="276"/>
      <c r="L61" s="276"/>
      <c r="M61" s="276"/>
      <c r="N61" s="280"/>
    </row>
    <row r="62" spans="1:18" x14ac:dyDescent="0.15">
      <c r="C62" s="6" t="s">
        <v>11</v>
      </c>
      <c r="D62" s="7">
        <f>$D$5</f>
        <v>43465</v>
      </c>
      <c r="E62" s="7">
        <f t="shared" ref="E62:N62" si="34">EDATE(D62,12)</f>
        <v>43830</v>
      </c>
      <c r="F62" s="7">
        <f t="shared" si="34"/>
        <v>44196</v>
      </c>
      <c r="G62" s="7">
        <f t="shared" si="34"/>
        <v>44561</v>
      </c>
      <c r="H62" s="7">
        <f t="shared" si="34"/>
        <v>44926</v>
      </c>
      <c r="I62" s="7">
        <f t="shared" si="34"/>
        <v>45291</v>
      </c>
      <c r="J62" s="8">
        <f>EDATE(I62,12)</f>
        <v>45657</v>
      </c>
      <c r="K62" s="7">
        <f t="shared" si="34"/>
        <v>46022</v>
      </c>
      <c r="L62" s="7">
        <f t="shared" si="34"/>
        <v>46387</v>
      </c>
      <c r="M62" s="7">
        <f t="shared" si="34"/>
        <v>46752</v>
      </c>
      <c r="N62" s="9">
        <f t="shared" si="34"/>
        <v>47118</v>
      </c>
    </row>
    <row r="63" spans="1:18" x14ac:dyDescent="0.15">
      <c r="D63" s="10" t="s">
        <v>13</v>
      </c>
      <c r="E63" s="10" t="s">
        <v>13</v>
      </c>
      <c r="F63" s="10" t="s">
        <v>13</v>
      </c>
      <c r="G63" s="10" t="s">
        <v>13</v>
      </c>
      <c r="H63" s="10" t="s">
        <v>13</v>
      </c>
      <c r="I63" s="10" t="s">
        <v>13</v>
      </c>
      <c r="J63" s="11" t="s">
        <v>13</v>
      </c>
      <c r="K63" s="10" t="s">
        <v>13</v>
      </c>
      <c r="L63" s="10" t="s">
        <v>13</v>
      </c>
      <c r="M63" s="10" t="s">
        <v>13</v>
      </c>
      <c r="N63" s="12" t="s">
        <v>13</v>
      </c>
    </row>
    <row r="64" spans="1:18" x14ac:dyDescent="0.15">
      <c r="A64" t="s">
        <v>202</v>
      </c>
      <c r="C64" s="79" t="s">
        <v>203</v>
      </c>
      <c r="D64" s="81">
        <f>IFERROR(
INDEX('SLCA Raw'!$B$41:$K$100,
MATCH(TRIM($A64),'SLCA Raw'!$M$41:$M$100,0),
MATCH(D$33,'SLCA Raw'!$B$38:$K$38,0)
),"")</f>
        <v>202.49799999999999</v>
      </c>
      <c r="E64" s="81">
        <f>IFERROR(
INDEX('SLCA Raw'!$B$41:$K$100,
MATCH(TRIM($A64),'SLCA Raw'!$M$41:$M$100,0),
MATCH(E$33,'SLCA Raw'!$B$38:$K$38,0)
),"")</f>
        <v>185.74</v>
      </c>
      <c r="F64" s="81">
        <f>IFERROR(
INDEX('SLCA Raw'!$B$41:$K$100,
MATCH(TRIM($A64),'SLCA Raw'!$M$41:$M$100,0),
MATCH(F$33,'SLCA Raw'!$B$38:$K$38,0)
),"")</f>
        <v>150.91999999999999</v>
      </c>
      <c r="G64" s="81">
        <f>IFERROR(
INDEX('SLCA Raw'!$B$41:$K$100,
MATCH(TRIM($A64),'SLCA Raw'!$M$41:$M$100,0),
MATCH(G$33,'SLCA Raw'!$B$38:$K$38,0)
),"")</f>
        <v>239.42500000000001</v>
      </c>
      <c r="H64" s="81">
        <f>IFERROR(
INDEX('SLCA Raw'!$B$41:$K$100,
MATCH(TRIM($A64),'SLCA Raw'!$M$41:$M$100,0),
MATCH(H$33,'SLCA Raw'!$B$38:$K$38,0)
),"")</f>
        <v>280.84500000000003</v>
      </c>
      <c r="I64" s="81">
        <f>IFERROR(
INDEX('SLCA Raw'!$B$41:$K$100,
MATCH(TRIM($A64),'SLCA Raw'!$M$41:$M$100,0),
MATCH(I$33,'SLCA Raw'!$B$38:$K$38,0)
),"")</f>
        <v>245.71600000000001</v>
      </c>
      <c r="J64" s="243">
        <f>J137</f>
        <v>533.93555671339357</v>
      </c>
      <c r="K64" s="244">
        <f t="shared" ref="K64:N64" si="35">K137</f>
        <v>767.8517724281478</v>
      </c>
      <c r="L64" s="244">
        <f t="shared" ca="1" si="35"/>
        <v>1018.8225747368333</v>
      </c>
      <c r="M64" s="244">
        <f t="shared" ca="1" si="35"/>
        <v>1266.4171011033256</v>
      </c>
      <c r="N64" s="245">
        <f t="shared" ca="1" si="35"/>
        <v>1523.8351275132645</v>
      </c>
      <c r="O64" t="s">
        <v>492</v>
      </c>
      <c r="R64" t="s">
        <v>256</v>
      </c>
    </row>
    <row r="65" spans="1:14" x14ac:dyDescent="0.15">
      <c r="A65" t="s">
        <v>47</v>
      </c>
      <c r="C65" t="s">
        <v>204</v>
      </c>
      <c r="D65" s="1">
        <f>IFERROR(
INDEX('SLCA Raw'!$B$41:$K$100,
MATCH(TRIM($A65),'SLCA Raw'!$M$41:$M$100,0),
MATCH(D$33,'SLCA Raw'!$B$38:$K$38,0)
),"")</f>
        <v>217.68600000000001</v>
      </c>
      <c r="E65" s="1">
        <f>IFERROR(
INDEX('SLCA Raw'!$B$41:$K$100,
MATCH(TRIM($A65),'SLCA Raw'!$M$41:$M$100,0),
MATCH(E$33,'SLCA Raw'!$B$38:$K$38,0)
),"")</f>
        <v>182.71299999999999</v>
      </c>
      <c r="F65" s="1">
        <f>IFERROR(
INDEX('SLCA Raw'!$B$41:$K$100,
MATCH(TRIM($A65),'SLCA Raw'!$M$41:$M$100,0),
MATCH(F$33,'SLCA Raw'!$B$38:$K$38,0)
),"")</f>
        <v>207.56200000000001</v>
      </c>
      <c r="G65" s="1">
        <f>IFERROR(
INDEX('SLCA Raw'!$B$41:$K$100,
MATCH(TRIM($A65),'SLCA Raw'!$M$41:$M$100,0),
MATCH(G$33,'SLCA Raw'!$B$38:$K$38,0)
),"")</f>
        <v>202.75899999999999</v>
      </c>
      <c r="H65" s="1">
        <f>IFERROR(
INDEX('SLCA Raw'!$B$41:$K$100,
MATCH(TRIM($A65),'SLCA Raw'!$M$41:$M$100,0),
MATCH(H$33,'SLCA Raw'!$B$38:$K$38,0)
),"")</f>
        <v>208.631</v>
      </c>
      <c r="I65" s="1">
        <f>IFERROR(
INDEX('SLCA Raw'!$B$41:$K$100,
MATCH(TRIM($A65),'SLCA Raw'!$M$41:$M$100,0),
MATCH(I$33,'SLCA Raw'!$B$38:$K$38,0)
),"")</f>
        <v>185.917</v>
      </c>
      <c r="J65" s="58">
        <f t="shared" ref="J65:N65" si="36">J$35*J$16 / 365</f>
        <v>215.41528932184107</v>
      </c>
      <c r="K65" s="1">
        <f t="shared" si="36"/>
        <v>222.55650439935579</v>
      </c>
      <c r="L65" s="1">
        <f t="shared" si="36"/>
        <v>229.69024693803956</v>
      </c>
      <c r="M65" s="1">
        <f t="shared" si="36"/>
        <v>237.32974455119867</v>
      </c>
      <c r="N65" s="59">
        <f t="shared" si="36"/>
        <v>245.44270217537326</v>
      </c>
    </row>
    <row r="66" spans="1:14" x14ac:dyDescent="0.15">
      <c r="A66" t="s">
        <v>48</v>
      </c>
      <c r="C66" t="s">
        <v>205</v>
      </c>
      <c r="D66" s="1">
        <f>IFERROR(
INDEX('SLCA Raw'!$B$41:$K$100,
MATCH(TRIM($A66),'SLCA Raw'!$M$41:$M$100,0),
MATCH(D$33,'SLCA Raw'!$B$38:$K$38,0)
),"")</f>
        <v>162.08699999999999</v>
      </c>
      <c r="E66" s="1">
        <f>IFERROR(
INDEX('SLCA Raw'!$B$41:$K$100,
MATCH(TRIM($A66),'SLCA Raw'!$M$41:$M$100,0),
MATCH(E$33,'SLCA Raw'!$B$38:$K$38,0)
),"")</f>
        <v>124.432</v>
      </c>
      <c r="F66" s="1">
        <f>IFERROR(
INDEX('SLCA Raw'!$B$41:$K$100,
MATCH(TRIM($A66),'SLCA Raw'!$M$41:$M$100,0),
MATCH(F$33,'SLCA Raw'!$B$38:$K$38,0)
),"")</f>
        <v>104.684</v>
      </c>
      <c r="G66" s="1">
        <f>IFERROR(
INDEX('SLCA Raw'!$B$41:$K$100,
MATCH(TRIM($A66),'SLCA Raw'!$M$41:$M$100,0),
MATCH(G$33,'SLCA Raw'!$B$38:$K$38,0)
),"")</f>
        <v>115.71299999999999</v>
      </c>
      <c r="H66" s="1">
        <f>IFERROR(
INDEX('SLCA Raw'!$B$41:$K$100,
MATCH(TRIM($A66),'SLCA Raw'!$M$41:$M$100,0),
MATCH(H$33,'SLCA Raw'!$B$38:$K$38,0)
),"")</f>
        <v>147.626</v>
      </c>
      <c r="I66" s="1">
        <f>IFERROR(
INDEX('SLCA Raw'!$B$41:$K$100,
MATCH(TRIM($A66),'SLCA Raw'!$M$41:$M$100,0),
MATCH(I$33,'SLCA Raw'!$B$38:$K$38,0)
),"")</f>
        <v>149.429</v>
      </c>
      <c r="J66" s="58">
        <f t="shared" ref="J66:N66" si="37">J$37*J$17 / 365</f>
        <v>158.25370452317111</v>
      </c>
      <c r="K66" s="1">
        <f t="shared" si="37"/>
        <v>161.57968858256257</v>
      </c>
      <c r="L66" s="1">
        <f t="shared" si="37"/>
        <v>165.27307424813773</v>
      </c>
      <c r="M66" s="1">
        <f t="shared" si="37"/>
        <v>172.47613477143346</v>
      </c>
      <c r="N66" s="59">
        <f t="shared" si="37"/>
        <v>177.72509225233409</v>
      </c>
    </row>
    <row r="67" spans="1:14" x14ac:dyDescent="0.15">
      <c r="A67" t="s">
        <v>49</v>
      </c>
      <c r="C67" t="s">
        <v>49</v>
      </c>
      <c r="D67" s="1">
        <f>IFERROR(
INDEX('SLCA Raw'!$B$41:$K$100,
MATCH(TRIM($A67),'SLCA Raw'!$M$41:$M$100,0),
MATCH(D$33,'SLCA Raw'!$B$38:$K$38,0)
),"")</f>
        <v>18</v>
      </c>
      <c r="E67" s="1">
        <f>IFERROR(
INDEX('SLCA Raw'!$B$41:$K$100,
MATCH(TRIM($A67),'SLCA Raw'!$M$41:$M$100,0),
MATCH(E$33,'SLCA Raw'!$B$38:$K$38,0)
),"")</f>
        <v>16.2</v>
      </c>
      <c r="F67" s="1">
        <f>IFERROR(
INDEX('SLCA Raw'!$B$41:$K$100,
MATCH(TRIM($A67),'SLCA Raw'!$M$41:$M$100,0),
MATCH(F$33,'SLCA Raw'!$B$38:$K$38,0)
),"")</f>
        <v>23.1</v>
      </c>
      <c r="G67" s="1">
        <f>IFERROR(
INDEX('SLCA Raw'!$B$41:$K$100,
MATCH(TRIM($A67),'SLCA Raw'!$M$41:$M$100,0),
MATCH(G$33,'SLCA Raw'!$B$38:$K$38,0)
),"")</f>
        <v>18</v>
      </c>
      <c r="H67" s="1">
        <f>IFERROR(
INDEX('SLCA Raw'!$B$41:$K$100,
MATCH(TRIM($A67),'SLCA Raw'!$M$41:$M$100,0),
MATCH(H$33,'SLCA Raw'!$B$38:$K$38,0)
),"")</f>
        <v>20.2</v>
      </c>
      <c r="I67" s="1">
        <f>IFERROR(
INDEX('SLCA Raw'!$B$41:$K$100,
MATCH(TRIM($A67),'SLCA Raw'!$M$41:$M$100,0),
MATCH(I$33,'SLCA Raw'!$B$38:$K$38,0)
),"")</f>
        <v>19.7</v>
      </c>
      <c r="J67" s="58">
        <f t="shared" ref="J67:N67" si="38">J$35*J$19</f>
        <v>22.595182014668509</v>
      </c>
      <c r="K67" s="1">
        <f t="shared" si="38"/>
        <v>23.344233091731404</v>
      </c>
      <c r="L67" s="1">
        <f t="shared" si="38"/>
        <v>24.092500364749895</v>
      </c>
      <c r="M67" s="1">
        <f t="shared" si="38"/>
        <v>24.89381692688147</v>
      </c>
      <c r="N67" s="59">
        <f t="shared" si="38"/>
        <v>25.744795308093945</v>
      </c>
    </row>
    <row r="68" spans="1:14" x14ac:dyDescent="0.15">
      <c r="A68" t="s">
        <v>50</v>
      </c>
      <c r="C68" t="s">
        <v>206</v>
      </c>
      <c r="D68" s="1">
        <f>IFERROR(
INDEX('SLCA Raw'!$B$41:$K$100,
MATCH(TRIM($A68),'SLCA Raw'!$M$41:$M$100,0),
MATCH(D$33,'SLCA Raw'!$B$38:$K$38,0)
),"")</f>
        <v>0</v>
      </c>
      <c r="E68" s="1">
        <f>IFERROR(
INDEX('SLCA Raw'!$B$41:$K$100,
MATCH(TRIM($A68),'SLCA Raw'!$M$41:$M$100,0),
MATCH(E$33,'SLCA Raw'!$B$38:$K$38,0)
),"")</f>
        <v>0</v>
      </c>
      <c r="F68" s="1">
        <f>IFERROR(
INDEX('SLCA Raw'!$B$41:$K$100,
MATCH(TRIM($A68),'SLCA Raw'!$M$41:$M$100,0),
MATCH(F$33,'SLCA Raw'!$B$38:$K$38,0)
),"")</f>
        <v>0</v>
      </c>
      <c r="G68" s="1">
        <f>IFERROR(
INDEX('SLCA Raw'!$B$41:$K$100,
MATCH(TRIM($A68),'SLCA Raw'!$M$41:$M$100,0),
MATCH(G$33,'SLCA Raw'!$B$38:$K$38,0)
),"")</f>
        <v>0</v>
      </c>
      <c r="H68" s="1">
        <f>IFERROR(
INDEX('SLCA Raw'!$B$41:$K$100,
MATCH(TRIM($A68),'SLCA Raw'!$M$41:$M$100,0),
MATCH(H$33,'SLCA Raw'!$B$38:$K$38,0)
),"")</f>
        <v>0</v>
      </c>
      <c r="I68" s="1">
        <f>IFERROR(
INDEX('SLCA Raw'!$B$41:$K$100,
MATCH(TRIM($A68),'SLCA Raw'!$M$41:$M$100,0),
MATCH(I$33,'SLCA Raw'!$B$38:$K$38,0)
),"")</f>
        <v>0</v>
      </c>
      <c r="J68" s="58">
        <f t="shared" ref="J68:N68" si="39">J$35*J$20</f>
        <v>0</v>
      </c>
      <c r="K68" s="1">
        <f t="shared" si="39"/>
        <v>0</v>
      </c>
      <c r="L68" s="1">
        <f t="shared" si="39"/>
        <v>0</v>
      </c>
      <c r="M68" s="1">
        <f t="shared" si="39"/>
        <v>0</v>
      </c>
      <c r="N68" s="59">
        <f t="shared" si="39"/>
        <v>0</v>
      </c>
    </row>
    <row r="69" spans="1:14" s="53" customFormat="1" x14ac:dyDescent="0.15">
      <c r="A69" s="53" t="s">
        <v>51</v>
      </c>
      <c r="C69" s="49" t="s">
        <v>51</v>
      </c>
      <c r="D69" s="51">
        <f>IFERROR(
INDEX('SLCA Raw'!$B$41:$K$100,
MATCH(TRIM($A69),'SLCA Raw'!$M$41:$M$100,0),
MATCH(D$33,'SLCA Raw'!$B$38:$K$38,0)
),"")</f>
        <v>600.23699999999997</v>
      </c>
      <c r="E69" s="51">
        <f>IFERROR(
INDEX('SLCA Raw'!$B$41:$K$100,
MATCH(TRIM($A69),'SLCA Raw'!$M$41:$M$100,0),
MATCH(E$33,'SLCA Raw'!$B$38:$K$38,0)
),"")</f>
        <v>509.04</v>
      </c>
      <c r="F69" s="51">
        <f>IFERROR(
INDEX('SLCA Raw'!$B$41:$K$100,
MATCH(TRIM($A69),'SLCA Raw'!$M$41:$M$100,0),
MATCH(F$33,'SLCA Raw'!$B$38:$K$38,0)
),"")</f>
        <v>486.31299999999999</v>
      </c>
      <c r="G69" s="51">
        <f>IFERROR(
INDEX('SLCA Raw'!$B$41:$K$100,
MATCH(TRIM($A69),'SLCA Raw'!$M$41:$M$100,0),
MATCH(G$33,'SLCA Raw'!$B$38:$K$38,0)
),"")</f>
        <v>575.91499999999996</v>
      </c>
      <c r="H69" s="51">
        <f>IFERROR(
INDEX('SLCA Raw'!$B$41:$K$100,
MATCH(TRIM($A69),'SLCA Raw'!$M$41:$M$100,0),
MATCH(H$33,'SLCA Raw'!$B$38:$K$38,0)
),"")</f>
        <v>657.28399999999999</v>
      </c>
      <c r="I69" s="51">
        <f>IFERROR(
INDEX('SLCA Raw'!$B$41:$K$100,
MATCH(TRIM($A69),'SLCA Raw'!$M$41:$M$100,0),
MATCH(I$33,'SLCA Raw'!$B$38:$K$38,0)
),"")</f>
        <v>600.74400000000003</v>
      </c>
      <c r="J69" s="50">
        <f>SUM(J$64:J$68)</f>
        <v>930.19973257307424</v>
      </c>
      <c r="K69" s="51">
        <f t="shared" ref="K69:N69" si="40">SUM(K$64:K$68)</f>
        <v>1175.3321985017976</v>
      </c>
      <c r="L69" s="51">
        <f t="shared" ca="1" si="40"/>
        <v>1437.8783962877606</v>
      </c>
      <c r="M69" s="51">
        <f t="shared" ca="1" si="40"/>
        <v>1701.1167973528393</v>
      </c>
      <c r="N69" s="52">
        <f t="shared" ca="1" si="40"/>
        <v>1972.7477172490655</v>
      </c>
    </row>
    <row r="70" spans="1:14" x14ac:dyDescent="0.15">
      <c r="D70" s="1"/>
      <c r="E70" s="1"/>
      <c r="F70" s="1"/>
      <c r="G70" s="1"/>
      <c r="H70" s="1"/>
      <c r="I70" s="1"/>
      <c r="J70" s="58"/>
      <c r="K70" s="1"/>
      <c r="L70" s="1"/>
      <c r="M70" s="1"/>
      <c r="N70" s="59"/>
    </row>
    <row r="71" spans="1:14" x14ac:dyDescent="0.15">
      <c r="A71" t="s">
        <v>207</v>
      </c>
      <c r="C71" t="s">
        <v>208</v>
      </c>
      <c r="D71" s="1">
        <f>IFERROR(
INDEX('SLCA Raw'!$B$41:$K$100,
MATCH(TRIM($A71),'SLCA Raw'!$M$41:$M$100,0),
MATCH(D$33,'SLCA Raw'!$B$38:$K$38,0)
),"")</f>
        <v>2326.1</v>
      </c>
      <c r="E71" s="1">
        <f>IFERROR(
INDEX('SLCA Raw'!$B$41:$K$100,
MATCH(TRIM($A71),'SLCA Raw'!$M$41:$M$100,0),
MATCH(E$33,'SLCA Raw'!$B$38:$K$38,0)
),"")</f>
        <v>2277.3000000000002</v>
      </c>
      <c r="F71" s="1">
        <f>IFERROR(
INDEX('SLCA Raw'!$B$41:$K$100,
MATCH(TRIM($A71),'SLCA Raw'!$M$41:$M$100,0),
MATCH(F$33,'SLCA Raw'!$B$38:$K$38,0)
),"")</f>
        <v>2245</v>
      </c>
      <c r="G71" s="1">
        <f>IFERROR(
INDEX('SLCA Raw'!$B$41:$K$100,
MATCH(TRIM($A71),'SLCA Raw'!$M$41:$M$100,0),
MATCH(G$33,'SLCA Raw'!$B$38:$K$38,0)
),"")</f>
        <v>2286.1999999999998</v>
      </c>
      <c r="H71" s="1">
        <f>IFERROR(
INDEX('SLCA Raw'!$B$41:$K$100,
MATCH(TRIM($A71),'SLCA Raw'!$M$41:$M$100,0),
MATCH(H$33,'SLCA Raw'!$B$38:$K$38,0)
),"")</f>
        <v>2321.1</v>
      </c>
      <c r="I71" s="1">
        <f>IFERROR(
INDEX('SLCA Raw'!$B$41:$K$100,
MATCH(TRIM($A71),'SLCA Raw'!$M$41:$M$100,0),
MATCH(I$33,'SLCA Raw'!$B$38:$K$38,0)
),"")</f>
        <v>2377.6</v>
      </c>
      <c r="J71" s="58">
        <f>I71-J121</f>
        <v>2457.8312046963997</v>
      </c>
      <c r="K71" s="1">
        <f>J71-K121</f>
        <v>2540.7221476614659</v>
      </c>
      <c r="L71" s="1">
        <f>K71-L121</f>
        <v>2626.2700457557357</v>
      </c>
      <c r="M71" s="1">
        <f>L71-M121</f>
        <v>2714.6632669406208</v>
      </c>
      <c r="N71" s="59">
        <f>M71-N121</f>
        <v>2806.0781509141016</v>
      </c>
    </row>
    <row r="72" spans="1:14" x14ac:dyDescent="0.15">
      <c r="A72" t="s">
        <v>209</v>
      </c>
      <c r="C72" t="s">
        <v>210</v>
      </c>
      <c r="D72" s="1">
        <f>IFERROR(
INDEX('SLCA Raw'!$B$41:$K$100,
MATCH(TRIM($A72),'SLCA Raw'!$M$41:$M$100,0),
MATCH(D$33,'SLCA Raw'!$B$38:$K$38,0)
),"")</f>
        <v>-499.82299999999998</v>
      </c>
      <c r="E72" s="1">
        <f>IFERROR(
INDEX('SLCA Raw'!$B$41:$K$100,
MATCH(TRIM($A72),'SLCA Raw'!$M$41:$M$100,0),
MATCH(E$33,'SLCA Raw'!$B$38:$K$38,0)
),"")</f>
        <v>-706.61</v>
      </c>
      <c r="F72" s="1">
        <f>IFERROR(
INDEX('SLCA Raw'!$B$41:$K$100,
MATCH(TRIM($A72),'SLCA Raw'!$M$41:$M$100,0),
MATCH(F$33,'SLCA Raw'!$B$38:$K$38,0)
),"")</f>
        <v>-839.40200000000004</v>
      </c>
      <c r="G72" s="1">
        <f>IFERROR(
INDEX('SLCA Raw'!$B$41:$K$100,
MATCH(TRIM($A72),'SLCA Raw'!$M$41:$M$100,0),
MATCH(G$33,'SLCA Raw'!$B$38:$K$38,0)
),"")</f>
        <v>-985.29499999999996</v>
      </c>
      <c r="H72" s="1">
        <f>IFERROR(
INDEX('SLCA Raw'!$B$41:$K$100,
MATCH(TRIM($A72),'SLCA Raw'!$M$41:$M$100,0),
MATCH(H$33,'SLCA Raw'!$B$38:$K$38,0)
),"")</f>
        <v>-1099.922</v>
      </c>
      <c r="I72" s="1">
        <f>IFERROR(
INDEX('SLCA Raw'!$B$41:$K$100,
MATCH(TRIM($A72),'SLCA Raw'!$M$41:$M$100,0),
MATCH(I$33,'SLCA Raw'!$B$38:$K$38,0)
),"")</f>
        <v>-1211.26</v>
      </c>
      <c r="J72" s="58">
        <f>I72-J41</f>
        <v>-1357.4933333333333</v>
      </c>
      <c r="K72" s="1">
        <f>J72-K41</f>
        <v>-1503.7266666666667</v>
      </c>
      <c r="L72" s="1">
        <f>K72-L41</f>
        <v>-1649.96</v>
      </c>
      <c r="M72" s="1">
        <f>L72-M41</f>
        <v>-1796.1933333333334</v>
      </c>
      <c r="N72" s="59">
        <f>M72-N41</f>
        <v>-1942.4266666666667</v>
      </c>
    </row>
    <row r="73" spans="1:14" x14ac:dyDescent="0.15">
      <c r="A73" t="s">
        <v>54</v>
      </c>
      <c r="C73" s="53" t="s">
        <v>211</v>
      </c>
      <c r="D73" s="55">
        <f>IFERROR(
INDEX('SLCA Raw'!$B$41:$K$100,
MATCH(TRIM($A73),'SLCA Raw'!$M$41:$M$100,0),
MATCH(D$33,'SLCA Raw'!$B$38:$K$38,0)
),"")</f>
        <v>1826.3</v>
      </c>
      <c r="E73" s="55">
        <f>IFERROR(
INDEX('SLCA Raw'!$B$41:$K$100,
MATCH(TRIM($A73),'SLCA Raw'!$M$41:$M$100,0),
MATCH(E$33,'SLCA Raw'!$B$38:$K$38,0)
),"")</f>
        <v>1570.7</v>
      </c>
      <c r="F73" s="55">
        <f>IFERROR(
INDEX('SLCA Raw'!$B$41:$K$100,
MATCH(TRIM($A73),'SLCA Raw'!$M$41:$M$100,0),
MATCH(F$33,'SLCA Raw'!$B$38:$K$38,0)
),"")</f>
        <v>1405.6</v>
      </c>
      <c r="G73" s="55">
        <f>IFERROR(
INDEX('SLCA Raw'!$B$41:$K$100,
MATCH(TRIM($A73),'SLCA Raw'!$M$41:$M$100,0),
MATCH(G$33,'SLCA Raw'!$B$38:$K$38,0)
),"")</f>
        <v>1300.9000000000001</v>
      </c>
      <c r="H73" s="55">
        <f>IFERROR(
INDEX('SLCA Raw'!$B$41:$K$100,
MATCH(TRIM($A73),'SLCA Raw'!$M$41:$M$100,0),
MATCH(H$33,'SLCA Raw'!$B$38:$K$38,0)
),"")</f>
        <v>1221.2</v>
      </c>
      <c r="I73" s="55">
        <f>IFERROR(
INDEX('SLCA Raw'!$B$41:$K$100,
MATCH(TRIM($A73),'SLCA Raw'!$M$41:$M$100,0),
MATCH(I$33,'SLCA Raw'!$B$38:$K$38,0)
),"")</f>
        <v>1166.3</v>
      </c>
      <c r="J73" s="54">
        <f>J71+J72</f>
        <v>1100.3378713630664</v>
      </c>
      <c r="K73" s="55">
        <f t="shared" ref="K73:N73" si="41">K71+K72</f>
        <v>1036.9954809947992</v>
      </c>
      <c r="L73" s="55">
        <f t="shared" si="41"/>
        <v>976.3100457557357</v>
      </c>
      <c r="M73" s="55">
        <f t="shared" si="41"/>
        <v>918.46993360728743</v>
      </c>
      <c r="N73" s="56">
        <f t="shared" si="41"/>
        <v>863.65148424743484</v>
      </c>
    </row>
    <row r="74" spans="1:14" x14ac:dyDescent="0.15">
      <c r="A74" t="s">
        <v>55</v>
      </c>
      <c r="C74" t="s">
        <v>212</v>
      </c>
      <c r="D74" s="1">
        <f>IFERROR(
INDEX('SLCA Raw'!$B$41:$K$100,
MATCH(TRIM($A74),'SLCA Raw'!$M$41:$M$100,0),
MATCH(D$33,'SLCA Raw'!$B$38:$K$38,0)
),"")</f>
        <v>261.33999999999997</v>
      </c>
      <c r="E74" s="1">
        <f>IFERROR(
INDEX('SLCA Raw'!$B$41:$K$100,
MATCH(TRIM($A74),'SLCA Raw'!$M$41:$M$100,0),
MATCH(E$33,'SLCA Raw'!$B$38:$K$38,0)
),"")</f>
        <v>273.524</v>
      </c>
      <c r="F74" s="1">
        <f>IFERROR(
INDEX('SLCA Raw'!$B$41:$K$100,
MATCH(TRIM($A74),'SLCA Raw'!$M$41:$M$100,0),
MATCH(F$33,'SLCA Raw'!$B$38:$K$38,0)
),"")</f>
        <v>185.649</v>
      </c>
      <c r="G74" s="1">
        <f>IFERROR(
INDEX('SLCA Raw'!$B$41:$K$100,
MATCH(TRIM($A74),'SLCA Raw'!$M$41:$M$100,0),
MATCH(G$33,'SLCA Raw'!$B$38:$K$38,0)
),"")</f>
        <v>185.649</v>
      </c>
      <c r="H74" s="1">
        <f>IFERROR(
INDEX('SLCA Raw'!$B$41:$K$100,
MATCH(TRIM($A74),'SLCA Raw'!$M$41:$M$100,0),
MATCH(H$33,'SLCA Raw'!$B$38:$K$38,0)
),"")</f>
        <v>185.649</v>
      </c>
      <c r="I74" s="1">
        <f>IFERROR(
INDEX('SLCA Raw'!$B$41:$K$100,
MATCH(TRIM($A74),'SLCA Raw'!$M$41:$M$100,0),
MATCH(I$33,'SLCA Raw'!$B$38:$K$38,0)
),"")</f>
        <v>185.649</v>
      </c>
      <c r="J74" s="71">
        <f>I74</f>
        <v>185.649</v>
      </c>
      <c r="K74" s="33">
        <f t="shared" ref="K74:N74" si="42">J74</f>
        <v>185.649</v>
      </c>
      <c r="L74" s="33">
        <f t="shared" si="42"/>
        <v>185.649</v>
      </c>
      <c r="M74" s="33">
        <f t="shared" si="42"/>
        <v>185.649</v>
      </c>
      <c r="N74" s="72">
        <f t="shared" si="42"/>
        <v>185.649</v>
      </c>
    </row>
    <row r="75" spans="1:14" x14ac:dyDescent="0.15">
      <c r="A75" t="s">
        <v>56</v>
      </c>
      <c r="C75" t="s">
        <v>213</v>
      </c>
      <c r="D75" s="1">
        <f>IFERROR(
INDEX('SLCA Raw'!$B$41:$K$100,
MATCH(TRIM($A75),'SLCA Raw'!$M$41:$M$100,0),
MATCH(D$33,'SLCA Raw'!$B$38:$K$38,0)
),"")</f>
        <v>194.626</v>
      </c>
      <c r="E75" s="1">
        <f>IFERROR(
INDEX('SLCA Raw'!$B$41:$K$100,
MATCH(TRIM($A75),'SLCA Raw'!$M$41:$M$100,0),
MATCH(E$33,'SLCA Raw'!$B$38:$K$38,0)
),"")</f>
        <v>183.815</v>
      </c>
      <c r="F75" s="1">
        <f>IFERROR(
INDEX('SLCA Raw'!$B$41:$K$100,
MATCH(TRIM($A75),'SLCA Raw'!$M$41:$M$100,0),
MATCH(F$33,'SLCA Raw'!$B$38:$K$38,0)
),"")</f>
        <v>159.58199999999999</v>
      </c>
      <c r="G75" s="1">
        <f>IFERROR(
INDEX('SLCA Raw'!$B$41:$K$100,
MATCH(TRIM($A75),'SLCA Raw'!$M$41:$M$100,0),
MATCH(G$33,'SLCA Raw'!$B$38:$K$38,0)
),"")</f>
        <v>150.054</v>
      </c>
      <c r="H75" s="1">
        <f>IFERROR(
INDEX('SLCA Raw'!$B$41:$K$100,
MATCH(TRIM($A75),'SLCA Raw'!$M$41:$M$100,0),
MATCH(H$33,'SLCA Raw'!$B$38:$K$38,0)
),"")</f>
        <v>140.809</v>
      </c>
      <c r="I75" s="1">
        <f>IFERROR(
INDEX('SLCA Raw'!$B$41:$K$100,
MATCH(TRIM($A75),'SLCA Raw'!$M$41:$M$100,0),
MATCH(I$33,'SLCA Raw'!$B$38:$K$38,0)
),"")</f>
        <v>131.38399999999999</v>
      </c>
      <c r="J75" s="71">
        <f>I$75</f>
        <v>131.38399999999999</v>
      </c>
      <c r="K75" s="33">
        <f t="shared" ref="K75:N75" si="43">J$75</f>
        <v>131.38399999999999</v>
      </c>
      <c r="L75" s="33">
        <f t="shared" si="43"/>
        <v>131.38399999999999</v>
      </c>
      <c r="M75" s="33">
        <f t="shared" si="43"/>
        <v>131.38399999999999</v>
      </c>
      <c r="N75" s="72">
        <f t="shared" si="43"/>
        <v>131.38399999999999</v>
      </c>
    </row>
    <row r="76" spans="1:14" x14ac:dyDescent="0.15">
      <c r="A76" t="s">
        <v>57</v>
      </c>
      <c r="C76" t="s">
        <v>214</v>
      </c>
      <c r="D76" s="1">
        <f>IFERROR(
INDEX('SLCA Raw'!$B$41:$K$100,
MATCH(TRIM($A76),'SLCA Raw'!$M$41:$M$100,0),
MATCH(D$33,'SLCA Raw'!$B$38:$K$38,0)
),"")</f>
        <v>0</v>
      </c>
      <c r="E76" s="1">
        <f>IFERROR(
INDEX('SLCA Raw'!$B$41:$K$100,
MATCH(TRIM($A76),'SLCA Raw'!$M$41:$M$100,0),
MATCH(E$33,'SLCA Raw'!$B$38:$K$38,0)
),"")</f>
        <v>0</v>
      </c>
      <c r="F76" s="1">
        <f>IFERROR(
INDEX('SLCA Raw'!$B$41:$K$100,
MATCH(TRIM($A76),'SLCA Raw'!$M$41:$M$100,0),
MATCH(F$33,'SLCA Raw'!$B$38:$K$38,0)
),"")</f>
        <v>0</v>
      </c>
      <c r="G76" s="1">
        <f>IFERROR(
INDEX('SLCA Raw'!$B$41:$K$100,
MATCH(TRIM($A76),'SLCA Raw'!$M$41:$M$100,0),
MATCH(G$33,'SLCA Raw'!$B$38:$K$38,0)
),"")</f>
        <v>0</v>
      </c>
      <c r="H76" s="1">
        <f>IFERROR(
INDEX('SLCA Raw'!$B$41:$K$100,
MATCH(TRIM($A76),'SLCA Raw'!$M$41:$M$100,0),
MATCH(H$33,'SLCA Raw'!$B$38:$K$38,0)
),"")</f>
        <v>0</v>
      </c>
      <c r="I76" s="1">
        <f>IFERROR(
INDEX('SLCA Raw'!$B$41:$K$100,
MATCH(TRIM($A76),'SLCA Raw'!$M$41:$M$100,0),
MATCH(I$33,'SLCA Raw'!$B$38:$K$38,0)
),"")</f>
        <v>0</v>
      </c>
      <c r="J76" s="71">
        <f>I76</f>
        <v>0</v>
      </c>
      <c r="K76" s="33">
        <f t="shared" ref="K76:N76" si="44">J76</f>
        <v>0</v>
      </c>
      <c r="L76" s="33">
        <f t="shared" si="44"/>
        <v>0</v>
      </c>
      <c r="M76" s="33">
        <f t="shared" si="44"/>
        <v>0</v>
      </c>
      <c r="N76" s="72">
        <f t="shared" si="44"/>
        <v>0</v>
      </c>
    </row>
    <row r="77" spans="1:14" x14ac:dyDescent="0.15">
      <c r="A77" t="s">
        <v>59</v>
      </c>
      <c r="C77" t="s">
        <v>215</v>
      </c>
      <c r="D77" s="1">
        <f>IFERROR(
INDEX('SLCA Raw'!$B$41:$K$100,
MATCH(TRIM($A77),'SLCA Raw'!$M$41:$M$100,0),
MATCH(D$33,'SLCA Raw'!$B$38:$K$38,0)
),"")</f>
        <v>18.3</v>
      </c>
      <c r="E77" s="1">
        <f>IFERROR(
INDEX('SLCA Raw'!$B$41:$K$100,
MATCH(TRIM($A77),'SLCA Raw'!$M$41:$M$100,0),
MATCH(E$33,'SLCA Raw'!$B$38:$K$38,0)
),"")</f>
        <v>16.2</v>
      </c>
      <c r="F77" s="1">
        <f>IFERROR(
INDEX('SLCA Raw'!$B$41:$K$100,
MATCH(TRIM($A77),'SLCA Raw'!$M$41:$M$100,0),
MATCH(F$33,'SLCA Raw'!$B$38:$K$38,0)
),"")</f>
        <v>9.8000000000000007</v>
      </c>
      <c r="G77" s="1">
        <f>IFERROR(
INDEX('SLCA Raw'!$B$41:$K$100,
MATCH(TRIM($A77),'SLCA Raw'!$M$41:$M$100,0),
MATCH(G$33,'SLCA Raw'!$B$38:$K$38,0)
),"")</f>
        <v>7.1</v>
      </c>
      <c r="H77" s="1">
        <f>IFERROR(
INDEX('SLCA Raw'!$B$41:$K$100,
MATCH(TRIM($A77),'SLCA Raw'!$M$41:$M$100,0),
MATCH(H$33,'SLCA Raw'!$B$38:$K$38,0)
),"")</f>
        <v>9.6</v>
      </c>
      <c r="I77" s="1">
        <f>IFERROR(
INDEX('SLCA Raw'!$B$41:$K$100,
MATCH(TRIM($A77),'SLCA Raw'!$M$41:$M$100,0),
MATCH(I$33,'SLCA Raw'!$B$38:$K$38,0)
),"")</f>
        <v>12.5</v>
      </c>
      <c r="J77" s="58">
        <f t="shared" ref="J77:N77" si="45">J$35*J$25</f>
        <v>11.114882962980388</v>
      </c>
      <c r="K77" s="1">
        <f t="shared" si="45"/>
        <v>11.483351561703937</v>
      </c>
      <c r="L77" s="1">
        <f t="shared" si="45"/>
        <v>11.851434596362822</v>
      </c>
      <c r="M77" s="1">
        <f t="shared" si="45"/>
        <v>12.245613311037847</v>
      </c>
      <c r="N77" s="59">
        <f t="shared" si="45"/>
        <v>12.664221362305714</v>
      </c>
    </row>
    <row r="78" spans="1:14" x14ac:dyDescent="0.15">
      <c r="A78" t="s">
        <v>60</v>
      </c>
      <c r="C78" t="s">
        <v>216</v>
      </c>
      <c r="D78" s="1">
        <f>IFERROR(
INDEX('SLCA Raw'!$B$41:$K$100,
MATCH(TRIM($A78),'SLCA Raw'!$M$41:$M$100,0),
MATCH(D$33,'SLCA Raw'!$B$38:$K$38,0)
),"")</f>
        <v>0</v>
      </c>
      <c r="E78" s="1">
        <f>IFERROR(
INDEX('SLCA Raw'!$B$41:$K$100,
MATCH(TRIM($A78),'SLCA Raw'!$M$41:$M$100,0),
MATCH(E$33,'SLCA Raw'!$B$38:$K$38,0)
),"")</f>
        <v>0</v>
      </c>
      <c r="F78" s="1">
        <f>IFERROR(
INDEX('SLCA Raw'!$B$41:$K$100,
MATCH(TRIM($A78),'SLCA Raw'!$M$41:$M$100,0),
MATCH(F$33,'SLCA Raw'!$B$38:$K$38,0)
),"")</f>
        <v>0</v>
      </c>
      <c r="G78" s="1">
        <f>IFERROR(
INDEX('SLCA Raw'!$B$41:$K$100,
MATCH(TRIM($A78),'SLCA Raw'!$M$41:$M$100,0),
MATCH(G$33,'SLCA Raw'!$B$38:$K$38,0)
),"")</f>
        <v>0</v>
      </c>
      <c r="H78" s="1">
        <f>IFERROR(
INDEX('SLCA Raw'!$B$41:$K$100,
MATCH(TRIM($A78),'SLCA Raw'!$M$41:$M$100,0),
MATCH(H$33,'SLCA Raw'!$B$38:$K$38,0)
),"")</f>
        <v>0</v>
      </c>
      <c r="I78" s="1">
        <f>IFERROR(
INDEX('SLCA Raw'!$B$41:$K$100,
MATCH(TRIM($A78),'SLCA Raw'!$M$41:$M$100,0),
MATCH(I$33,'SLCA Raw'!$B$38:$K$38,0)
),"")</f>
        <v>0</v>
      </c>
      <c r="J78" s="71">
        <f>AVERAGE($D$78:$I$78)</f>
        <v>0</v>
      </c>
      <c r="K78" s="33">
        <f>AVERAGE($D$78:$I$78)</f>
        <v>0</v>
      </c>
      <c r="L78" s="33">
        <f>AVERAGE($D$78:$I$78)</f>
        <v>0</v>
      </c>
      <c r="M78" s="33">
        <f>AVERAGE($D$78:$I$78)</f>
        <v>0</v>
      </c>
      <c r="N78" s="72">
        <f>AVERAGE($D$78:$I$78)</f>
        <v>0</v>
      </c>
    </row>
    <row r="79" spans="1:14" ht="14" thickBot="1" x14ac:dyDescent="0.2">
      <c r="A79" t="s">
        <v>61</v>
      </c>
      <c r="C79" s="83" t="s">
        <v>61</v>
      </c>
      <c r="D79" s="85">
        <f>IFERROR(
INDEX('SLCA Raw'!$B$41:$K$100,
MATCH(TRIM($A79),'SLCA Raw'!$M$41:$M$100,0),
MATCH(D$33,'SLCA Raw'!$B$38:$K$38,0)
),"")</f>
        <v>2900.84</v>
      </c>
      <c r="E79" s="85">
        <f>IFERROR(
INDEX('SLCA Raw'!$B$41:$K$100,
MATCH(TRIM($A79),'SLCA Raw'!$M$41:$M$100,0),
MATCH(E$33,'SLCA Raw'!$B$38:$K$38,0)
),"")</f>
        <v>2553.2339999999999</v>
      </c>
      <c r="F79" s="85">
        <f>IFERROR(
INDEX('SLCA Raw'!$B$41:$K$100,
MATCH(TRIM($A79),'SLCA Raw'!$M$41:$M$100,0),
MATCH(F$33,'SLCA Raw'!$B$38:$K$38,0)
),"")</f>
        <v>2246.9470000000001</v>
      </c>
      <c r="G79" s="85">
        <f>IFERROR(
INDEX('SLCA Raw'!$B$41:$K$100,
MATCH(TRIM($A79),'SLCA Raw'!$M$41:$M$100,0),
MATCH(G$33,'SLCA Raw'!$B$38:$K$38,0)
),"")</f>
        <v>2219.6</v>
      </c>
      <c r="H79" s="85">
        <f>IFERROR(
INDEX('SLCA Raw'!$B$41:$K$100,
MATCH(TRIM($A79),'SLCA Raw'!$M$41:$M$100,0),
MATCH(H$33,'SLCA Raw'!$B$38:$K$38,0)
),"")</f>
        <v>2214.58</v>
      </c>
      <c r="I79" s="85">
        <f>IFERROR(
INDEX('SLCA Raw'!$B$41:$K$100,
MATCH(TRIM($A79),'SLCA Raw'!$M$41:$M$100,0),
MATCH(I$33,'SLCA Raw'!$B$38:$K$38,0)
),"")</f>
        <v>2096.5929999999998</v>
      </c>
      <c r="J79" s="84">
        <f>J$69+J$73+J$74+J$75+J$76+J$77</f>
        <v>2358.6854868991213</v>
      </c>
      <c r="K79" s="85">
        <f t="shared" ref="K79:N79" si="46">K$69+K$73+K$74+K$75+K$76+K$77</f>
        <v>2540.8440310583005</v>
      </c>
      <c r="L79" s="85">
        <f t="shared" ca="1" si="46"/>
        <v>2743.0728766398588</v>
      </c>
      <c r="M79" s="85">
        <f t="shared" ca="1" si="46"/>
        <v>2948.8653442711643</v>
      </c>
      <c r="N79" s="86">
        <f t="shared" ca="1" si="46"/>
        <v>3166.0964228588064</v>
      </c>
    </row>
    <row r="80" spans="1:14" ht="14" thickTop="1" x14ac:dyDescent="0.15">
      <c r="C80" s="53"/>
      <c r="D80" s="55"/>
      <c r="E80" s="55"/>
      <c r="F80" s="55"/>
      <c r="G80" s="55"/>
      <c r="H80" s="55"/>
      <c r="I80" s="55"/>
      <c r="J80" s="54"/>
      <c r="K80" s="55"/>
      <c r="L80" s="55"/>
      <c r="M80" s="55"/>
      <c r="N80" s="56"/>
    </row>
    <row r="81" spans="1:14" x14ac:dyDescent="0.15">
      <c r="A81" t="s">
        <v>62</v>
      </c>
      <c r="C81" t="s">
        <v>62</v>
      </c>
      <c r="D81" s="1">
        <f>IFERROR(
INDEX('SLCA Raw'!$B$41:$K$100,
MATCH(TRIM($A81),'SLCA Raw'!$M$41:$M$100,0),
MATCH(D$33,'SLCA Raw'!$B$38:$K$38,0)
),"")</f>
        <v>178.804</v>
      </c>
      <c r="E81" s="1">
        <f>IFERROR(
INDEX('SLCA Raw'!$B$41:$K$100,
MATCH(TRIM($A81),'SLCA Raw'!$M$41:$M$100,0),
MATCH(E$33,'SLCA Raw'!$B$38:$K$38,0)
),"")</f>
        <v>181.029</v>
      </c>
      <c r="F81" s="1">
        <f>IFERROR(
INDEX('SLCA Raw'!$B$41:$K$100,
MATCH(TRIM($A81),'SLCA Raw'!$M$41:$M$100,0),
MATCH(F$33,'SLCA Raw'!$B$38:$K$38,0)
),"")</f>
        <v>90.563999999999993</v>
      </c>
      <c r="G81" s="1">
        <f>IFERROR(
INDEX('SLCA Raw'!$B$41:$K$100,
MATCH(TRIM($A81),'SLCA Raw'!$M$41:$M$100,0),
MATCH(G$33,'SLCA Raw'!$B$38:$K$38,0)
),"")</f>
        <v>134.494</v>
      </c>
      <c r="H81" s="1">
        <f>IFERROR(
INDEX('SLCA Raw'!$B$41:$K$100,
MATCH(TRIM($A81),'SLCA Raw'!$M$41:$M$100,0),
MATCH(H$33,'SLCA Raw'!$B$38:$K$38,0)
),"")</f>
        <v>182.55500000000001</v>
      </c>
      <c r="I81" s="1">
        <f>IFERROR(
INDEX('SLCA Raw'!$B$41:$K$100,
MATCH(TRIM($A81),'SLCA Raw'!$M$41:$M$100,0),
MATCH(I$33,'SLCA Raw'!$B$38:$K$38,0)
),"")</f>
        <v>123.667</v>
      </c>
      <c r="J81" s="58">
        <f t="shared" ref="J81:N81" si="47">J$37*J$18 / 365</f>
        <v>170.95307587379597</v>
      </c>
      <c r="K81" s="1">
        <f t="shared" si="47"/>
        <v>174.54595988857068</v>
      </c>
      <c r="L81" s="1">
        <f t="shared" si="47"/>
        <v>178.53572835446977</v>
      </c>
      <c r="M81" s="1">
        <f t="shared" si="47"/>
        <v>186.31681225309171</v>
      </c>
      <c r="N81" s="59">
        <f t="shared" si="47"/>
        <v>191.98698237134855</v>
      </c>
    </row>
    <row r="82" spans="1:14" x14ac:dyDescent="0.15">
      <c r="A82" t="s">
        <v>64</v>
      </c>
      <c r="C82" t="s">
        <v>64</v>
      </c>
      <c r="D82" s="1">
        <f>IFERROR(
INDEX('SLCA Raw'!$B$41:$K$100,
MATCH(TRIM($A82),'SLCA Raw'!$M$41:$M$100,0),
MATCH(D$33,'SLCA Raw'!$B$38:$K$38,0)
),"")</f>
        <v>37.6</v>
      </c>
      <c r="E82" s="1">
        <f>IFERROR(
INDEX('SLCA Raw'!$B$41:$K$100,
MATCH(TRIM($A82),'SLCA Raw'!$M$41:$M$100,0),
MATCH(E$33,'SLCA Raw'!$B$38:$K$38,0)
),"")</f>
        <v>94.2</v>
      </c>
      <c r="F82" s="1">
        <f>IFERROR(
INDEX('SLCA Raw'!$B$41:$K$100,
MATCH(TRIM($A82),'SLCA Raw'!$M$41:$M$100,0),
MATCH(F$33,'SLCA Raw'!$B$38:$K$38,0)
),"")</f>
        <v>44</v>
      </c>
      <c r="G82" s="1">
        <f>IFERROR(
INDEX('SLCA Raw'!$B$41:$K$100,
MATCH(TRIM($A82),'SLCA Raw'!$M$41:$M$100,0),
MATCH(G$33,'SLCA Raw'!$B$38:$K$38,0)
),"")</f>
        <v>47.6</v>
      </c>
      <c r="H82" s="1">
        <f>IFERROR(
INDEX('SLCA Raw'!$B$41:$K$100,
MATCH(TRIM($A82),'SLCA Raw'!$M$41:$M$100,0),
MATCH(H$33,'SLCA Raw'!$B$38:$K$38,0)
),"")</f>
        <v>51.1</v>
      </c>
      <c r="I82" s="1">
        <f>IFERROR(
INDEX('SLCA Raw'!$B$41:$K$100,
MATCH(TRIM($A82),'SLCA Raw'!$M$41:$M$100,0),
MATCH(I$33,'SLCA Raw'!$B$38:$K$38,0)
),"")</f>
        <v>40.6</v>
      </c>
      <c r="J82" s="58">
        <f>J$35*J$21</f>
        <v>54.97712694874334</v>
      </c>
      <c r="K82" s="1">
        <f>J82</f>
        <v>54.97712694874334</v>
      </c>
      <c r="L82" s="1">
        <f t="shared" ref="L82:N82" si="48">L$35*L$21</f>
        <v>58.620304550130534</v>
      </c>
      <c r="M82" s="1">
        <f t="shared" si="48"/>
        <v>60.570015879467867</v>
      </c>
      <c r="N82" s="1">
        <f t="shared" si="48"/>
        <v>62.640561116243674</v>
      </c>
    </row>
    <row r="83" spans="1:14" x14ac:dyDescent="0.15">
      <c r="A83" t="s">
        <v>65</v>
      </c>
      <c r="C83" t="s">
        <v>217</v>
      </c>
      <c r="D83" s="1">
        <f>IFERROR(
INDEX('SLCA Raw'!$B$41:$K$100,
MATCH(TRIM($A83),'SLCA Raw'!$M$41:$M$100,0),
MATCH(D$33,'SLCA Raw'!$B$38:$K$38,0)
),"")</f>
        <v>13.3</v>
      </c>
      <c r="E83" s="1">
        <f>IFERROR(
INDEX('SLCA Raw'!$B$41:$K$100,
MATCH(TRIM($A83),'SLCA Raw'!$M$41:$M$100,0),
MATCH(E$33,'SLCA Raw'!$B$38:$K$38,0)
),"")</f>
        <v>18.5</v>
      </c>
      <c r="F83" s="1">
        <f>IFERROR(
INDEX('SLCA Raw'!$B$41:$K$100,
MATCH(TRIM($A83),'SLCA Raw'!$M$41:$M$100,0),
MATCH(F$33,'SLCA Raw'!$B$38:$K$38,0)
),"")</f>
        <v>42</v>
      </c>
      <c r="G83" s="1">
        <f>IFERROR(
INDEX('SLCA Raw'!$B$41:$K$100,
MATCH(TRIM($A83),'SLCA Raw'!$M$41:$M$100,0),
MATCH(G$33,'SLCA Raw'!$B$38:$K$38,0)
),"")</f>
        <v>18.3</v>
      </c>
      <c r="H83" s="1">
        <f>IFERROR(
INDEX('SLCA Raw'!$B$41:$K$100,
MATCH(TRIM($A83),'SLCA Raw'!$M$41:$M$100,0),
MATCH(H$33,'SLCA Raw'!$B$38:$K$38,0)
),"")</f>
        <v>19.5</v>
      </c>
      <c r="I83" s="1">
        <f>IFERROR(
INDEX('SLCA Raw'!$B$41:$K$100,
MATCH(TRIM($A83),'SLCA Raw'!$M$41:$M$100,0),
MATCH(I$33,'SLCA Raw'!$B$38:$K$38,0)
),"")</f>
        <v>16.399999999999999</v>
      </c>
      <c r="J83" s="58">
        <f>$I$83</f>
        <v>16.399999999999999</v>
      </c>
      <c r="K83" s="1">
        <f t="shared" ref="K83:N83" si="49">$I$83</f>
        <v>16.399999999999999</v>
      </c>
      <c r="L83" s="1">
        <f t="shared" si="49"/>
        <v>16.399999999999999</v>
      </c>
      <c r="M83" s="1">
        <f t="shared" si="49"/>
        <v>16.399999999999999</v>
      </c>
      <c r="N83" s="59">
        <f t="shared" si="49"/>
        <v>16.399999999999999</v>
      </c>
    </row>
    <row r="84" spans="1:14" x14ac:dyDescent="0.15">
      <c r="A84" t="s">
        <v>66</v>
      </c>
      <c r="C84" t="s">
        <v>218</v>
      </c>
      <c r="D84" s="1">
        <f>IFERROR(
INDEX('SLCA Raw'!$B$41:$K$100,
MATCH(TRIM($A84),'SLCA Raw'!$M$41:$M$100,0),
MATCH(D$33,'SLCA Raw'!$B$38:$K$38,0)
),"")</f>
        <v>0</v>
      </c>
      <c r="E84" s="1">
        <f>IFERROR(
INDEX('SLCA Raw'!$B$41:$K$100,
MATCH(TRIM($A84),'SLCA Raw'!$M$41:$M$100,0),
MATCH(E$33,'SLCA Raw'!$B$38:$K$38,0)
),"")</f>
        <v>0</v>
      </c>
      <c r="F84" s="1">
        <f>IFERROR(
INDEX('SLCA Raw'!$B$41:$K$100,
MATCH(TRIM($A84),'SLCA Raw'!$M$41:$M$100,0),
MATCH(F$33,'SLCA Raw'!$B$38:$K$38,0)
),"")</f>
        <v>0</v>
      </c>
      <c r="G84" s="1">
        <f>IFERROR(
INDEX('SLCA Raw'!$B$41:$K$100,
MATCH(TRIM($A84),'SLCA Raw'!$M$41:$M$100,0),
MATCH(G$33,'SLCA Raw'!$B$38:$K$38,0)
),"")</f>
        <v>0</v>
      </c>
      <c r="H84" s="1">
        <f>IFERROR(
INDEX('SLCA Raw'!$B$41:$K$100,
MATCH(TRIM($A84),'SLCA Raw'!$M$41:$M$100,0),
MATCH(H$33,'SLCA Raw'!$B$38:$K$38,0)
),"")</f>
        <v>0</v>
      </c>
      <c r="I84" s="1">
        <f>IFERROR(
INDEX('SLCA Raw'!$B$41:$K$100,
MATCH(TRIM($A84),'SLCA Raw'!$M$41:$M$100,0),
MATCH(I$33,'SLCA Raw'!$B$38:$K$38,0)
),"")</f>
        <v>0</v>
      </c>
      <c r="J84" s="87">
        <v>0</v>
      </c>
      <c r="K84" s="68">
        <f>$J$84</f>
        <v>0</v>
      </c>
      <c r="L84" s="68">
        <f t="shared" ref="L84:N84" si="50">$J$84</f>
        <v>0</v>
      </c>
      <c r="M84" s="68">
        <f t="shared" si="50"/>
        <v>0</v>
      </c>
      <c r="N84" s="69">
        <f t="shared" si="50"/>
        <v>0</v>
      </c>
    </row>
    <row r="85" spans="1:14" x14ac:dyDescent="0.15">
      <c r="A85" t="s">
        <v>67</v>
      </c>
      <c r="C85" t="s">
        <v>219</v>
      </c>
      <c r="D85" s="1">
        <f>IFERROR(
INDEX('SLCA Raw'!$B$41:$K$100,
MATCH(TRIM($A85),'SLCA Raw'!$M$41:$M$100,0),
MATCH(D$33,'SLCA Raw'!$B$38:$K$38,0)
),"")</f>
        <v>31.6</v>
      </c>
      <c r="E85" s="1">
        <f>IFERROR(
INDEX('SLCA Raw'!$B$41:$K$100,
MATCH(TRIM($A85),'SLCA Raw'!$M$41:$M$100,0),
MATCH(E$33,'SLCA Raw'!$B$38:$K$38,0)
),"")</f>
        <v>15.1</v>
      </c>
      <c r="F85" s="1">
        <f>IFERROR(
INDEX('SLCA Raw'!$B$41:$K$100,
MATCH(TRIM($A85),'SLCA Raw'!$M$41:$M$100,0),
MATCH(F$33,'SLCA Raw'!$B$38:$K$38,0)
),"")</f>
        <v>13.5</v>
      </c>
      <c r="G85" s="1">
        <f>IFERROR(
INDEX('SLCA Raw'!$B$41:$K$100,
MATCH(TRIM($A85),'SLCA Raw'!$M$41:$M$100,0),
MATCH(G$33,'SLCA Raw'!$B$38:$K$38,0)
),"")</f>
        <v>5.4</v>
      </c>
      <c r="H85" s="1">
        <f>IFERROR(
INDEX('SLCA Raw'!$B$41:$K$100,
MATCH(TRIM($A85),'SLCA Raw'!$M$41:$M$100,0),
MATCH(H$33,'SLCA Raw'!$B$38:$K$38,0)
),"")</f>
        <v>18.7</v>
      </c>
      <c r="I85" s="1">
        <f>IFERROR(
INDEX('SLCA Raw'!$B$41:$K$100,
MATCH(TRIM($A85),'SLCA Raw'!$M$41:$M$100,0),
MATCH(I$33,'SLCA Raw'!$B$38:$K$38,0)
),"")</f>
        <v>5.3</v>
      </c>
      <c r="J85" s="58">
        <f t="shared" ref="J85:N85" si="51">J$35*J$22</f>
        <v>11.001224556240084</v>
      </c>
      <c r="K85" s="1">
        <f t="shared" si="51"/>
        <v>11.36592527418574</v>
      </c>
      <c r="L85" s="1">
        <f t="shared" si="51"/>
        <v>11.730244370762072</v>
      </c>
      <c r="M85" s="1">
        <f t="shared" si="51"/>
        <v>12.120392298533616</v>
      </c>
      <c r="N85" s="59">
        <f t="shared" si="51"/>
        <v>12.534719753747146</v>
      </c>
    </row>
    <row r="86" spans="1:14" s="53" customFormat="1" x14ac:dyDescent="0.15">
      <c r="A86" s="53" t="s">
        <v>68</v>
      </c>
      <c r="C86" s="49" t="s">
        <v>68</v>
      </c>
      <c r="D86" s="51">
        <f>IFERROR(
INDEX('SLCA Raw'!$B$41:$K$100,
MATCH(TRIM($A86),'SLCA Raw'!$M$41:$M$100,0),
MATCH(D$33,'SLCA Raw'!$B$38:$K$38,0)
),"")</f>
        <v>261.339</v>
      </c>
      <c r="E86" s="51">
        <f>IFERROR(
INDEX('SLCA Raw'!$B$41:$K$100,
MATCH(TRIM($A86),'SLCA Raw'!$M$41:$M$100,0),
MATCH(E$33,'SLCA Raw'!$B$38:$K$38,0)
),"")</f>
        <v>335.39800000000002</v>
      </c>
      <c r="F86" s="51">
        <f>IFERROR(
INDEX('SLCA Raw'!$B$41:$K$100,
MATCH(TRIM($A86),'SLCA Raw'!$M$41:$M$100,0),
MATCH(F$33,'SLCA Raw'!$B$38:$K$38,0)
),"")</f>
        <v>194.89500000000001</v>
      </c>
      <c r="G86" s="51">
        <f>IFERROR(
INDEX('SLCA Raw'!$B$41:$K$100,
MATCH(TRIM($A86),'SLCA Raw'!$M$41:$M$100,0),
MATCH(G$33,'SLCA Raw'!$B$38:$K$38,0)
),"")</f>
        <v>205.87100000000001</v>
      </c>
      <c r="H86" s="51">
        <f>IFERROR(
INDEX('SLCA Raw'!$B$41:$K$100,
MATCH(TRIM($A86),'SLCA Raw'!$M$41:$M$100,0),
MATCH(H$33,'SLCA Raw'!$B$38:$K$38,0)
),"")</f>
        <v>271.95</v>
      </c>
      <c r="I86" s="51">
        <f>IFERROR(
INDEX('SLCA Raw'!$B$41:$K$100,
MATCH(TRIM($A86),'SLCA Raw'!$M$41:$M$100,0),
MATCH(I$33,'SLCA Raw'!$B$38:$K$38,0)
),"")</f>
        <v>185.85</v>
      </c>
      <c r="J86" s="50">
        <f>SUM(J81:J85)</f>
        <v>253.33142737877941</v>
      </c>
      <c r="K86" s="51">
        <f t="shared" ref="K86:N86" si="52">SUM(K81:K85)</f>
        <v>257.28901211149974</v>
      </c>
      <c r="L86" s="51">
        <f t="shared" si="52"/>
        <v>265.28627727536235</v>
      </c>
      <c r="M86" s="51">
        <f t="shared" si="52"/>
        <v>275.40722043109315</v>
      </c>
      <c r="N86" s="52">
        <f t="shared" si="52"/>
        <v>283.56226324133934</v>
      </c>
    </row>
    <row r="87" spans="1:14" s="53" customFormat="1" x14ac:dyDescent="0.15">
      <c r="D87" s="55"/>
      <c r="E87" s="55"/>
      <c r="F87" s="55"/>
      <c r="G87" s="55"/>
      <c r="H87" s="55"/>
      <c r="I87" s="55"/>
      <c r="J87" s="54"/>
      <c r="K87" s="55"/>
      <c r="L87" s="55"/>
      <c r="M87" s="55"/>
      <c r="N87" s="56"/>
    </row>
    <row r="88" spans="1:14" x14ac:dyDescent="0.15">
      <c r="A88" t="s">
        <v>220</v>
      </c>
      <c r="C88" t="s">
        <v>221</v>
      </c>
      <c r="D88" s="1">
        <f>IFERROR(
INDEX('SLCA Raw'!$B$41:$K$100,
MATCH(TRIM($A88),'SLCA Raw'!$M$41:$M$100,0),
MATCH(D$33,'SLCA Raw'!$B$38:$K$38,0)
),"")</f>
        <v>1246.4000000000001</v>
      </c>
      <c r="E88" s="1">
        <f>IFERROR(
INDEX('SLCA Raw'!$B$41:$K$100,
MATCH(TRIM($A88),'SLCA Raw'!$M$41:$M$100,0),
MATCH(E$33,'SLCA Raw'!$B$38:$K$38,0)
),"")</f>
        <v>1214</v>
      </c>
      <c r="F88" s="1">
        <f>IFERROR(
INDEX('SLCA Raw'!$B$41:$K$100,
MATCH(TRIM($A88),'SLCA Raw'!$M$41:$M$100,0),
MATCH(F$33,'SLCA Raw'!$B$38:$K$38,0)
),"")</f>
        <v>1197.4000000000001</v>
      </c>
      <c r="G88" s="1">
        <f>IFERROR(
INDEX('SLCA Raw'!$B$41:$K$100,
MATCH(TRIM($A88),'SLCA Raw'!$M$41:$M$100,0),
MATCH(G$33,'SLCA Raw'!$B$38:$K$38,0)
),"")</f>
        <v>1190.5999999999999</v>
      </c>
      <c r="H88" s="1">
        <f>IFERROR(
INDEX('SLCA Raw'!$B$41:$K$100,
MATCH(TRIM($A88),'SLCA Raw'!$M$41:$M$100,0),
MATCH(H$33,'SLCA Raw'!$B$38:$K$38,0)
),"")</f>
        <v>1035.3</v>
      </c>
      <c r="I88" s="1">
        <f>IFERROR(
INDEX('SLCA Raw'!$B$41:$K$100,
MATCH(TRIM($A88),'SLCA Raw'!$M$41:$M$100,0),
MATCH(I$33,'SLCA Raw'!$B$38:$K$38,0)
),"")</f>
        <v>821.7</v>
      </c>
      <c r="J88" s="58">
        <f>I88</f>
        <v>821.7</v>
      </c>
      <c r="K88" s="1">
        <f t="shared" ref="K88:N88" si="53">J88</f>
        <v>821.7</v>
      </c>
      <c r="L88" s="1">
        <f t="shared" si="53"/>
        <v>821.7</v>
      </c>
      <c r="M88" s="1">
        <f t="shared" si="53"/>
        <v>821.7</v>
      </c>
      <c r="N88" s="59">
        <f t="shared" si="53"/>
        <v>821.7</v>
      </c>
    </row>
    <row r="89" spans="1:14" x14ac:dyDescent="0.15">
      <c r="A89" t="s">
        <v>223</v>
      </c>
      <c r="C89" s="57" t="s">
        <v>224</v>
      </c>
      <c r="D89" s="1">
        <f>IFERROR(
INDEX('SLCA Raw'!$B$41:$K$100,
MATCH(TRIM($A89),'SLCA Raw'!$M$41:$M$100,0),
MATCH(D$33,'SLCA Raw'!$B$38:$K$38,0)
),"")</f>
        <v>0</v>
      </c>
      <c r="E89" s="1">
        <f>IFERROR(
INDEX('SLCA Raw'!$B$41:$K$100,
MATCH(TRIM($A89),'SLCA Raw'!$M$41:$M$100,0),
MATCH(E$33,'SLCA Raw'!$B$38:$K$38,0)
),"")</f>
        <v>0</v>
      </c>
      <c r="F89" s="1">
        <f>IFERROR(
INDEX('SLCA Raw'!$B$41:$K$100,
MATCH(TRIM($A89),'SLCA Raw'!$M$41:$M$100,0),
MATCH(F$33,'SLCA Raw'!$B$38:$K$38,0)
),"")</f>
        <v>0.3</v>
      </c>
      <c r="G89" s="1">
        <f>IFERROR(
INDEX('SLCA Raw'!$B$41:$K$100,
MATCH(TRIM($A89),'SLCA Raw'!$M$41:$M$100,0),
MATCH(G$33,'SLCA Raw'!$B$38:$K$38,0)
),"")</f>
        <v>2.5</v>
      </c>
      <c r="H89" s="1">
        <f>IFERROR(
INDEX('SLCA Raw'!$B$41:$K$100,
MATCH(TRIM($A89),'SLCA Raw'!$M$41:$M$100,0),
MATCH(H$33,'SLCA Raw'!$B$38:$K$38,0)
),"")</f>
        <v>2.2000000000000002</v>
      </c>
      <c r="I89" s="1">
        <f>IFERROR(
INDEX('SLCA Raw'!$B$41:$K$100,
MATCH(TRIM($A89),'SLCA Raw'!$M$41:$M$100,0),
MATCH(I$33,'SLCA Raw'!$B$38:$K$38,0)
),"")</f>
        <v>2</v>
      </c>
      <c r="J89" s="87">
        <v>0</v>
      </c>
      <c r="K89" s="68">
        <f>$J$89</f>
        <v>0</v>
      </c>
      <c r="L89" s="68">
        <f>$J$89</f>
        <v>0</v>
      </c>
      <c r="M89" s="68">
        <f>$J$89</f>
        <v>0</v>
      </c>
      <c r="N89" s="69">
        <f>$J$89</f>
        <v>0</v>
      </c>
    </row>
    <row r="90" spans="1:14" x14ac:dyDescent="0.15">
      <c r="A90" t="s">
        <v>71</v>
      </c>
      <c r="C90" s="53" t="s">
        <v>225</v>
      </c>
      <c r="D90" s="55">
        <f>IFERROR(
INDEX('SLCA Raw'!$B$41:$K$100,
MATCH(TRIM($A90),'SLCA Raw'!$M$41:$M$100,0),
MATCH(D$33,'SLCA Raw'!$B$38:$K$38,0)
),"")</f>
        <v>1246.4280000000001</v>
      </c>
      <c r="E90" s="55">
        <f>IFERROR(
INDEX('SLCA Raw'!$B$41:$K$100,
MATCH(TRIM($A90),'SLCA Raw'!$M$41:$M$100,0),
MATCH(E$33,'SLCA Raw'!$B$38:$K$38,0)
),"")</f>
        <v>1213.9849999999999</v>
      </c>
      <c r="F90" s="55">
        <f>IFERROR(
INDEX('SLCA Raw'!$B$41:$K$100,
MATCH(TRIM($A90),'SLCA Raw'!$M$41:$M$100,0),
MATCH(F$33,'SLCA Raw'!$B$38:$K$38,0)
),"")</f>
        <v>1197.6600000000001</v>
      </c>
      <c r="G90" s="55">
        <f>IFERROR(
INDEX('SLCA Raw'!$B$41:$K$100,
MATCH(TRIM($A90),'SLCA Raw'!$M$41:$M$100,0),
MATCH(G$33,'SLCA Raw'!$B$38:$K$38,0)
),"")</f>
        <v>1193.135</v>
      </c>
      <c r="H90" s="55">
        <f>IFERROR(
INDEX('SLCA Raw'!$B$41:$K$100,
MATCH(TRIM($A90),'SLCA Raw'!$M$41:$M$100,0),
MATCH(H$33,'SLCA Raw'!$B$38:$K$38,0)
),"")</f>
        <v>1037.4580000000001</v>
      </c>
      <c r="I90" s="55">
        <f>IFERROR(
INDEX('SLCA Raw'!$B$41:$K$100,
MATCH(TRIM($A90),'SLCA Raw'!$M$41:$M$100,0),
MATCH(I$33,'SLCA Raw'!$B$38:$K$38,0)
),"")</f>
        <v>823.67</v>
      </c>
      <c r="J90" s="54">
        <f>$I$90</f>
        <v>823.67</v>
      </c>
      <c r="K90" s="55">
        <f t="shared" ref="K90:N90" si="54">$I$90</f>
        <v>823.67</v>
      </c>
      <c r="L90" s="55">
        <f t="shared" si="54"/>
        <v>823.67</v>
      </c>
      <c r="M90" s="55">
        <f t="shared" si="54"/>
        <v>823.67</v>
      </c>
      <c r="N90" s="56">
        <f t="shared" si="54"/>
        <v>823.67</v>
      </c>
    </row>
    <row r="91" spans="1:14" x14ac:dyDescent="0.15">
      <c r="A91" t="s">
        <v>72</v>
      </c>
      <c r="C91" t="s">
        <v>226</v>
      </c>
      <c r="D91" s="1">
        <f>IFERROR(
INDEX('SLCA Raw'!$B$41:$K$100,
MATCH(TRIM($A91),'SLCA Raw'!$M$41:$M$100,0),
MATCH(D$33,'SLCA Raw'!$B$38:$K$38,0)
),"")</f>
        <v>137.239</v>
      </c>
      <c r="E91" s="1">
        <f>IFERROR(
INDEX('SLCA Raw'!$B$41:$K$100,
MATCH(TRIM($A91),'SLCA Raw'!$M$41:$M$100,0),
MATCH(E$33,'SLCA Raw'!$B$38:$K$38,0)
),"")</f>
        <v>38.585000000000001</v>
      </c>
      <c r="F91" s="1">
        <f>IFERROR(
INDEX('SLCA Raw'!$B$41:$K$100,
MATCH(TRIM($A91),'SLCA Raw'!$M$41:$M$100,0),
MATCH(F$33,'SLCA Raw'!$B$38:$K$38,0)
),"")</f>
        <v>49.386000000000003</v>
      </c>
      <c r="G91" s="1">
        <f>IFERROR(
INDEX('SLCA Raw'!$B$41:$K$100,
MATCH(TRIM($A91),'SLCA Raw'!$M$41:$M$100,0),
MATCH(G$33,'SLCA Raw'!$B$38:$K$38,0)
),"")</f>
        <v>44.774000000000001</v>
      </c>
      <c r="H91" s="1">
        <f>IFERROR(
INDEX('SLCA Raw'!$B$41:$K$100,
MATCH(TRIM($A91),'SLCA Raw'!$M$41:$M$100,0),
MATCH(H$33,'SLCA Raw'!$B$38:$K$38,0)
),"")</f>
        <v>64.635999999999996</v>
      </c>
      <c r="I91" s="1">
        <f>IFERROR(
INDEX('SLCA Raw'!$B$41:$K$100,
MATCH(TRIM($A91),'SLCA Raw'!$M$41:$M$100,0),
MATCH(I$33,'SLCA Raw'!$B$38:$K$38,0)
),"")</f>
        <v>100.458</v>
      </c>
      <c r="J91" s="71">
        <v>100</v>
      </c>
      <c r="K91" s="33">
        <v>100</v>
      </c>
      <c r="L91" s="33">
        <v>100</v>
      </c>
      <c r="M91" s="33">
        <v>100</v>
      </c>
      <c r="N91" s="72">
        <v>100</v>
      </c>
    </row>
    <row r="92" spans="1:14" x14ac:dyDescent="0.15">
      <c r="A92" t="s">
        <v>73</v>
      </c>
      <c r="C92" t="s">
        <v>227</v>
      </c>
      <c r="D92" s="1">
        <f>IFERROR(
INDEX('SLCA Raw'!$B$41:$K$100,
MATCH(TRIM($A92),'SLCA Raw'!$M$41:$M$100,0),
MATCH(D$33,'SLCA Raw'!$B$38:$K$38,0)
),"")</f>
        <v>203.5</v>
      </c>
      <c r="E92" s="1">
        <f>IFERROR(
INDEX('SLCA Raw'!$B$41:$K$100,
MATCH(TRIM($A92),'SLCA Raw'!$M$41:$M$100,0),
MATCH(E$33,'SLCA Raw'!$B$38:$K$38,0)
),"")</f>
        <v>248.7</v>
      </c>
      <c r="F92" s="1">
        <f>IFERROR(
INDEX('SLCA Raw'!$B$41:$K$100,
MATCH(TRIM($A92),'SLCA Raw'!$M$41:$M$100,0),
MATCH(F$33,'SLCA Raw'!$B$38:$K$38,0)
),"")</f>
        <v>178.2</v>
      </c>
      <c r="G92" s="1">
        <f>IFERROR(
INDEX('SLCA Raw'!$B$41:$K$100,
MATCH(TRIM($A92),'SLCA Raw'!$M$41:$M$100,0),
MATCH(G$33,'SLCA Raw'!$B$38:$K$38,0)
),"")</f>
        <v>161.69999999999999</v>
      </c>
      <c r="H92" s="1">
        <f>IFERROR(
INDEX('SLCA Raw'!$B$41:$K$100,
MATCH(TRIM($A92),'SLCA Raw'!$M$41:$M$100,0),
MATCH(H$33,'SLCA Raw'!$B$38:$K$38,0)
),"")</f>
        <v>135.80000000000001</v>
      </c>
      <c r="I92" s="1">
        <f>IFERROR(
INDEX('SLCA Raw'!$B$41:$K$100,
MATCH(TRIM($A92),'SLCA Raw'!$M$41:$M$100,0),
MATCH(I$33,'SLCA Raw'!$B$38:$K$38,0)
),"")</f>
        <v>131.1</v>
      </c>
      <c r="J92" s="58">
        <f t="shared" ref="J92:N92" si="55">J$35*J$26</f>
        <v>171.15695918514137</v>
      </c>
      <c r="K92" s="1">
        <f t="shared" si="55"/>
        <v>176.83096988977789</v>
      </c>
      <c r="L92" s="1">
        <f t="shared" si="55"/>
        <v>182.49904333235784</v>
      </c>
      <c r="M92" s="1">
        <f t="shared" si="55"/>
        <v>188.56896151359203</v>
      </c>
      <c r="N92" s="59">
        <f t="shared" si="55"/>
        <v>195.01506457954949</v>
      </c>
    </row>
    <row r="93" spans="1:14" x14ac:dyDescent="0.15">
      <c r="A93" t="s">
        <v>74</v>
      </c>
      <c r="C93" t="s">
        <v>228</v>
      </c>
      <c r="D93" s="1">
        <f>IFERROR(
INDEX('SLCA Raw'!$B$41:$K$100,
MATCH(TRIM($A93),'SLCA Raw'!$M$41:$M$100,0),
MATCH(D$33,'SLCA Raw'!$B$38:$K$38,0)
),"")</f>
        <v>7.484</v>
      </c>
      <c r="E93" s="1">
        <f>IFERROR(
INDEX('SLCA Raw'!$B$41:$K$100,
MATCH(TRIM($A93),'SLCA Raw'!$M$41:$M$100,0),
MATCH(E$33,'SLCA Raw'!$B$38:$K$38,0)
),"")</f>
        <v>11.363</v>
      </c>
      <c r="F93" s="1">
        <f>IFERROR(
INDEX('SLCA Raw'!$B$41:$K$100,
MATCH(TRIM($A93),'SLCA Raw'!$M$41:$M$100,0),
MATCH(F$33,'SLCA Raw'!$B$38:$K$38,0)
),"")</f>
        <v>11.531000000000001</v>
      </c>
      <c r="G93" s="1">
        <f>IFERROR(
INDEX('SLCA Raw'!$B$41:$K$100,
MATCH(TRIM($A93),'SLCA Raw'!$M$41:$M$100,0),
MATCH(G$33,'SLCA Raw'!$B$38:$K$38,0)
),"")</f>
        <v>9.8680000000000003</v>
      </c>
      <c r="H93" s="1">
        <f>IFERROR(
INDEX('SLCA Raw'!$B$41:$K$100,
MATCH(TRIM($A93),'SLCA Raw'!$M$41:$M$100,0),
MATCH(H$33,'SLCA Raw'!$B$38:$K$38,0)
),"")</f>
        <v>8.0090000000000003</v>
      </c>
      <c r="I93" s="1">
        <f>IFERROR(
INDEX('SLCA Raw'!$B$41:$K$100,
MATCH(TRIM($A93),'SLCA Raw'!$M$41:$M$100,0),
MATCH(I$33,'SLCA Raw'!$B$38:$K$38,0)
),"")</f>
        <v>6.2190000000000003</v>
      </c>
      <c r="J93" s="71">
        <f>I93</f>
        <v>6.2190000000000003</v>
      </c>
      <c r="K93" s="65">
        <f t="shared" ref="K93:N93" si="56">J93</f>
        <v>6.2190000000000003</v>
      </c>
      <c r="L93" s="65">
        <f t="shared" si="56"/>
        <v>6.2190000000000003</v>
      </c>
      <c r="M93" s="65">
        <f t="shared" si="56"/>
        <v>6.2190000000000003</v>
      </c>
      <c r="N93" s="66">
        <f t="shared" si="56"/>
        <v>6.2190000000000003</v>
      </c>
    </row>
    <row r="94" spans="1:14" x14ac:dyDescent="0.15">
      <c r="A94" t="s">
        <v>75</v>
      </c>
      <c r="C94" s="49" t="s">
        <v>75</v>
      </c>
      <c r="D94" s="51">
        <f>IFERROR(
INDEX('SLCA Raw'!$B$41:$K$100,
MATCH(TRIM($A94),'SLCA Raw'!$M$41:$M$100,0),
MATCH(D$33,'SLCA Raw'!$B$38:$K$38,0)
),"")</f>
        <v>1856.02</v>
      </c>
      <c r="E94" s="51">
        <f>IFERROR(
INDEX('SLCA Raw'!$B$41:$K$100,
MATCH(TRIM($A94),'SLCA Raw'!$M$41:$M$100,0),
MATCH(E$33,'SLCA Raw'!$B$38:$K$38,0)
),"")</f>
        <v>1848.0170000000001</v>
      </c>
      <c r="F94" s="51">
        <f>IFERROR(
INDEX('SLCA Raw'!$B$41:$K$100,
MATCH(TRIM($A94),'SLCA Raw'!$M$41:$M$100,0),
MATCH(F$33,'SLCA Raw'!$B$38:$K$38,0)
),"")</f>
        <v>1631.6869999999999</v>
      </c>
      <c r="G94" s="51">
        <f>IFERROR(
INDEX('SLCA Raw'!$B$41:$K$100,
MATCH(TRIM($A94),'SLCA Raw'!$M$41:$M$100,0),
MATCH(G$33,'SLCA Raw'!$B$38:$K$38,0)
),"")</f>
        <v>1615.385</v>
      </c>
      <c r="H94" s="51">
        <f>IFERROR(
INDEX('SLCA Raw'!$B$41:$K$100,
MATCH(TRIM($A94),'SLCA Raw'!$M$41:$M$100,0),
MATCH(H$33,'SLCA Raw'!$B$38:$K$38,0)
),"")</f>
        <v>1517.895</v>
      </c>
      <c r="I94" s="51">
        <f>IFERROR(
INDEX('SLCA Raw'!$B$41:$K$100,
MATCH(TRIM($A94),'SLCA Raw'!$M$41:$M$100,0),
MATCH(I$33,'SLCA Raw'!$B$38:$K$38,0)
),"")</f>
        <v>1247.2850000000001</v>
      </c>
      <c r="J94" s="50">
        <f>J86+J90+J91+J92+J93</f>
        <v>1354.3773865639209</v>
      </c>
      <c r="K94" s="51">
        <f>K86+K90+K91+K92+K93</f>
        <v>1364.0089820012777</v>
      </c>
      <c r="L94" s="51">
        <f>L86+L90+L91+L92+L93</f>
        <v>1377.6743206077201</v>
      </c>
      <c r="M94" s="51">
        <f>M86+M90+M91+M92+M93</f>
        <v>1393.8651819446852</v>
      </c>
      <c r="N94" s="52">
        <f>N86+N90+N91+N92+N93</f>
        <v>1408.4663278208889</v>
      </c>
    </row>
    <row r="95" spans="1:14" x14ac:dyDescent="0.15">
      <c r="D95" s="1"/>
      <c r="E95" s="1"/>
      <c r="F95" s="1"/>
      <c r="G95" s="1"/>
      <c r="H95" s="1"/>
      <c r="I95" s="1"/>
      <c r="J95" s="58"/>
      <c r="K95" s="1"/>
      <c r="L95" s="1"/>
      <c r="M95" s="1"/>
      <c r="N95" s="59"/>
    </row>
    <row r="96" spans="1:14" x14ac:dyDescent="0.15">
      <c r="A96" t="s">
        <v>79</v>
      </c>
      <c r="C96" t="s">
        <v>79</v>
      </c>
      <c r="D96" s="1">
        <f>IFERROR(
INDEX('SLCA Raw'!$B$41:$K$100,
MATCH(TRIM($A96),'SLCA Raw'!$M$41:$M$100,0),
MATCH(D$33,'SLCA Raw'!$B$38:$K$38,0)
),"")</f>
        <v>0.8</v>
      </c>
      <c r="E96" s="1">
        <f>IFERROR(
INDEX('SLCA Raw'!$B$41:$K$100,
MATCH(TRIM($A96),'SLCA Raw'!$M$41:$M$100,0),
MATCH(E$33,'SLCA Raw'!$B$38:$K$38,0)
),"")</f>
        <v>0.8</v>
      </c>
      <c r="F96" s="1">
        <f>IFERROR(
INDEX('SLCA Raw'!$B$41:$K$100,
MATCH(TRIM($A96),'SLCA Raw'!$M$41:$M$100,0),
MATCH(F$33,'SLCA Raw'!$B$38:$K$38,0)
),"")</f>
        <v>0.8</v>
      </c>
      <c r="G96" s="1">
        <f>IFERROR(
INDEX('SLCA Raw'!$B$41:$K$100,
MATCH(TRIM($A96),'SLCA Raw'!$M$41:$M$100,0),
MATCH(G$33,'SLCA Raw'!$B$38:$K$38,0)
),"")</f>
        <v>0.8</v>
      </c>
      <c r="H96" s="1">
        <f>IFERROR(
INDEX('SLCA Raw'!$B$41:$K$100,
MATCH(TRIM($A96),'SLCA Raw'!$M$41:$M$100,0),
MATCH(H$33,'SLCA Raw'!$B$38:$K$38,0)
),"")</f>
        <v>0.9</v>
      </c>
      <c r="I96" s="1">
        <f>IFERROR(
INDEX('SLCA Raw'!$B$41:$K$100,
MATCH(TRIM($A96),'SLCA Raw'!$M$41:$M$100,0),
MATCH(I$33,'SLCA Raw'!$B$38:$K$38,0)
),"")</f>
        <v>0.9</v>
      </c>
      <c r="J96" s="64">
        <v>1</v>
      </c>
      <c r="K96" s="65">
        <v>1</v>
      </c>
      <c r="L96" s="65">
        <v>1</v>
      </c>
      <c r="M96" s="65">
        <v>1</v>
      </c>
      <c r="N96" s="66">
        <v>1</v>
      </c>
    </row>
    <row r="97" spans="1:14" x14ac:dyDescent="0.15">
      <c r="A97" t="s">
        <v>80</v>
      </c>
      <c r="C97" t="s">
        <v>80</v>
      </c>
      <c r="D97" s="1">
        <f>IFERROR(
INDEX('SLCA Raw'!$B$41:$K$100,
MATCH(TRIM($A97),'SLCA Raw'!$M$41:$M$100,0),
MATCH(D$33,'SLCA Raw'!$B$38:$K$38,0)
),"")</f>
        <v>1169.383</v>
      </c>
      <c r="E97" s="1">
        <f>IFERROR(
INDEX('SLCA Raw'!$B$41:$K$100,
MATCH(TRIM($A97),'SLCA Raw'!$M$41:$M$100,0),
MATCH(E$33,'SLCA Raw'!$B$38:$K$38,0)
),"")</f>
        <v>1185.116</v>
      </c>
      <c r="F97" s="1">
        <f>IFERROR(
INDEX('SLCA Raw'!$B$41:$K$100,
MATCH(TRIM($A97),'SLCA Raw'!$M$41:$M$100,0),
MATCH(F$33,'SLCA Raw'!$B$38:$K$38,0)
),"")</f>
        <v>1200.0229999999999</v>
      </c>
      <c r="G97" s="1">
        <f>IFERROR(
INDEX('SLCA Raw'!$B$41:$K$100,
MATCH(TRIM($A97),'SLCA Raw'!$M$41:$M$100,0),
MATCH(G$33,'SLCA Raw'!$B$38:$K$38,0)
),"")</f>
        <v>1218.575</v>
      </c>
      <c r="H97" s="1">
        <f>IFERROR(
INDEX('SLCA Raw'!$B$41:$K$100,
MATCH(TRIM($A97),'SLCA Raw'!$M$41:$M$100,0),
MATCH(H$33,'SLCA Raw'!$B$38:$K$38,0)
),"")</f>
        <v>1234.8340000000001</v>
      </c>
      <c r="I97" s="1">
        <f>IFERROR(
INDEX('SLCA Raw'!$B$41:$K$100,
MATCH(TRIM($A97),'SLCA Raw'!$M$41:$M$100,0),
MATCH(I$33,'SLCA Raw'!$B$38:$K$38,0)
),"")</f>
        <v>1249.46</v>
      </c>
      <c r="J97" s="71">
        <f>I97</f>
        <v>1249.46</v>
      </c>
      <c r="K97" s="33">
        <f t="shared" ref="K97:N97" si="57">J97</f>
        <v>1249.46</v>
      </c>
      <c r="L97" s="33">
        <f t="shared" si="57"/>
        <v>1249.46</v>
      </c>
      <c r="M97" s="33">
        <f t="shared" si="57"/>
        <v>1249.46</v>
      </c>
      <c r="N97" s="72">
        <f t="shared" si="57"/>
        <v>1249.46</v>
      </c>
    </row>
    <row r="98" spans="1:14" x14ac:dyDescent="0.15">
      <c r="A98" t="s">
        <v>81</v>
      </c>
      <c r="C98" t="s">
        <v>229</v>
      </c>
      <c r="D98" s="1">
        <f>IFERROR(
INDEX('SLCA Raw'!$B$41:$K$100,
MATCH(TRIM($A98),'SLCA Raw'!$M$41:$M$100,0),
MATCH(D$33,'SLCA Raw'!$B$38:$K$38,0)
),"")</f>
        <v>67.853999999999999</v>
      </c>
      <c r="E98" s="1">
        <f>IFERROR(
INDEX('SLCA Raw'!$B$41:$K$100,
MATCH(TRIM($A98),'SLCA Raw'!$M$41:$M$100,0),
MATCH(E$33,'SLCA Raw'!$B$38:$K$38,0)
),"")</f>
        <v>-279.95600000000002</v>
      </c>
      <c r="F98" s="1">
        <f>IFERROR(
INDEX('SLCA Raw'!$B$41:$K$100,
MATCH(TRIM($A98),'SLCA Raw'!$M$41:$M$100,0),
MATCH(F$33,'SLCA Raw'!$B$38:$K$38,0)
),"")</f>
        <v>-395.49599999999998</v>
      </c>
      <c r="G98" s="1">
        <f>IFERROR(
INDEX('SLCA Raw'!$B$41:$K$100,
MATCH(TRIM($A98),'SLCA Raw'!$M$41:$M$100,0),
MATCH(G$33,'SLCA Raw'!$B$38:$K$38,0)
),"")</f>
        <v>-429.26</v>
      </c>
      <c r="H98" s="1">
        <f>IFERROR(
INDEX('SLCA Raw'!$B$41:$K$100,
MATCH(TRIM($A98),'SLCA Raw'!$M$41:$M$100,0),
MATCH(H$33,'SLCA Raw'!$B$38:$K$38,0)
),"")</f>
        <v>-351.084</v>
      </c>
      <c r="I98" s="1">
        <f>IFERROR(
INDEX('SLCA Raw'!$B$41:$K$100,
MATCH(TRIM($A98),'SLCA Raw'!$M$41:$M$100,0),
MATCH(I$33,'SLCA Raw'!$B$38:$K$38,0)
),"")</f>
        <v>-204.15899999999999</v>
      </c>
      <c r="J98" s="58">
        <f>I98+J52</f>
        <v>-49.529899664799444</v>
      </c>
      <c r="K98" s="1">
        <f>J98+K52</f>
        <v>122.99704905702325</v>
      </c>
      <c r="L98" s="1">
        <f>K98+L52</f>
        <v>311.56055603213883</v>
      </c>
      <c r="M98" s="1">
        <f>L98+M52</f>
        <v>501.16216232647957</v>
      </c>
      <c r="N98" s="59">
        <f>M98+N52</f>
        <v>703.79209503791799</v>
      </c>
    </row>
    <row r="99" spans="1:14" x14ac:dyDescent="0.15">
      <c r="A99" t="s">
        <v>82</v>
      </c>
      <c r="C99" t="s">
        <v>230</v>
      </c>
      <c r="D99" s="1">
        <f>IFERROR(
INDEX('SLCA Raw'!$B$41:$K$100,
MATCH(TRIM($A99),'SLCA Raw'!$M$41:$M$100,0),
MATCH(D$33,'SLCA Raw'!$B$38:$K$38,0)
),"")</f>
        <v>-178.215</v>
      </c>
      <c r="E99" s="1">
        <f>IFERROR(
INDEX('SLCA Raw'!$B$41:$K$100,
MATCH(TRIM($A99),'SLCA Raw'!$M$41:$M$100,0),
MATCH(E$33,'SLCA Raw'!$B$38:$K$38,0)
),"")</f>
        <v>-180.91200000000001</v>
      </c>
      <c r="F99" s="1">
        <f>IFERROR(
INDEX('SLCA Raw'!$B$41:$K$100,
MATCH(TRIM($A99),'SLCA Raw'!$M$41:$M$100,0),
MATCH(F$33,'SLCA Raw'!$B$38:$K$38,0)
),"")</f>
        <v>-181.61500000000001</v>
      </c>
      <c r="G99" s="1">
        <f>IFERROR(
INDEX('SLCA Raw'!$B$41:$K$100,
MATCH(TRIM($A99),'SLCA Raw'!$M$41:$M$100,0),
MATCH(G$33,'SLCA Raw'!$B$38:$K$38,0)
),"")</f>
        <v>-186.29400000000001</v>
      </c>
      <c r="H99" s="1">
        <f>IFERROR(
INDEX('SLCA Raw'!$B$41:$K$100,
MATCH(TRIM($A99),'SLCA Raw'!$M$41:$M$100,0),
MATCH(H$33,'SLCA Raw'!$B$38:$K$38,0)
),"")</f>
        <v>-186.196</v>
      </c>
      <c r="I99" s="1">
        <f>IFERROR(
INDEX('SLCA Raw'!$B$41:$K$100,
MATCH(TRIM($A99),'SLCA Raw'!$M$41:$M$100,0),
MATCH(I$33,'SLCA Raw'!$B$38:$K$38,0)
),"")</f>
        <v>-196.745</v>
      </c>
      <c r="J99" s="71">
        <f>I99</f>
        <v>-196.745</v>
      </c>
      <c r="K99" s="33">
        <f t="shared" ref="K99:N99" si="58">J99</f>
        <v>-196.745</v>
      </c>
      <c r="L99" s="33">
        <f t="shared" si="58"/>
        <v>-196.745</v>
      </c>
      <c r="M99" s="33">
        <f t="shared" si="58"/>
        <v>-196.745</v>
      </c>
      <c r="N99" s="72">
        <f t="shared" si="58"/>
        <v>-196.745</v>
      </c>
    </row>
    <row r="100" spans="1:14" x14ac:dyDescent="0.15">
      <c r="A100" t="s">
        <v>85</v>
      </c>
      <c r="C100" t="s">
        <v>231</v>
      </c>
      <c r="D100" s="1">
        <f>IFERROR(
INDEX('SLCA Raw'!$B$41:$K$100,
MATCH(TRIM($A100),'SLCA Raw'!$M$41:$M$100,0),
MATCH(D$33,'SLCA Raw'!$B$38:$K$38,0)
),"")</f>
        <v>-15.02</v>
      </c>
      <c r="E100" s="1">
        <f>IFERROR(
INDEX('SLCA Raw'!$B$41:$K$100,
MATCH(TRIM($A100),'SLCA Raw'!$M$41:$M$100,0),
MATCH(E$33,'SLCA Raw'!$B$38:$K$38,0)
),"")</f>
        <v>-19.853999999999999</v>
      </c>
      <c r="F100" s="1">
        <f>IFERROR(
INDEX('SLCA Raw'!$B$41:$K$100,
MATCH(TRIM($A100),'SLCA Raw'!$M$41:$M$100,0),
MATCH(F$33,'SLCA Raw'!$B$38:$K$38,0)
),"")</f>
        <v>-8.4789999999999992</v>
      </c>
      <c r="G100" s="1">
        <f>IFERROR(
INDEX('SLCA Raw'!$B$41:$K$100,
MATCH(TRIM($A100),'SLCA Raw'!$M$41:$M$100,0),
MATCH(G$33,'SLCA Raw'!$B$38:$K$38,0)
),"")</f>
        <v>0.34899999999999998</v>
      </c>
      <c r="H100" s="1">
        <f>IFERROR(
INDEX('SLCA Raw'!$B$41:$K$100,
MATCH(TRIM($A100),'SLCA Raw'!$M$41:$M$100,0),
MATCH(H$33,'SLCA Raw'!$B$38:$K$38,0)
),"")</f>
        <v>-1.7230000000000001</v>
      </c>
      <c r="I100" s="1">
        <f>IFERROR(
INDEX('SLCA Raw'!$B$41:$K$100,
MATCH(TRIM($A100),'SLCA Raw'!$M$41:$M$100,0),
MATCH(I$33,'SLCA Raw'!$B$38:$K$38,0)
),"")</f>
        <v>-0.125</v>
      </c>
      <c r="J100" s="64">
        <v>0</v>
      </c>
      <c r="K100" s="65">
        <v>0</v>
      </c>
      <c r="L100" s="65">
        <v>0</v>
      </c>
      <c r="M100" s="65">
        <v>0</v>
      </c>
      <c r="N100" s="66">
        <v>0</v>
      </c>
    </row>
    <row r="101" spans="1:14" s="53" customFormat="1" x14ac:dyDescent="0.15">
      <c r="A101" s="53" t="s">
        <v>86</v>
      </c>
      <c r="C101" s="49" t="s">
        <v>86</v>
      </c>
      <c r="D101" s="51">
        <f>IFERROR(
INDEX('SLCA Raw'!$B$41:$K$100,
MATCH(TRIM($A101),'SLCA Raw'!$M$41:$M$100,0),
MATCH(D$33,'SLCA Raw'!$B$38:$K$38,0)
),"")</f>
        <v>1044.82</v>
      </c>
      <c r="E101" s="51">
        <f>IFERROR(
INDEX('SLCA Raw'!$B$41:$K$100,
MATCH(TRIM($A101),'SLCA Raw'!$M$41:$M$100,0),
MATCH(E$33,'SLCA Raw'!$B$38:$K$38,0)
),"")</f>
        <v>705.21699999999998</v>
      </c>
      <c r="F101" s="51">
        <f>IFERROR(
INDEX('SLCA Raw'!$B$41:$K$100,
MATCH(TRIM($A101),'SLCA Raw'!$M$41:$M$100,0),
MATCH(F$33,'SLCA Raw'!$B$38:$K$38,0)
),"")</f>
        <v>615.26</v>
      </c>
      <c r="G101" s="51">
        <f>IFERROR(
INDEX('SLCA Raw'!$B$41:$K$100,
MATCH(TRIM($A101),'SLCA Raw'!$M$41:$M$100,0),
MATCH(G$33,'SLCA Raw'!$B$38:$K$38,0)
),"")</f>
        <v>604.21500000000003</v>
      </c>
      <c r="H101" s="51">
        <f>IFERROR(
INDEX('SLCA Raw'!$B$41:$K$100,
MATCH(TRIM($A101),'SLCA Raw'!$M$41:$M$100,0),
MATCH(H$33,'SLCA Raw'!$B$38:$K$38,0)
),"")</f>
        <v>696.68499999999995</v>
      </c>
      <c r="I101" s="51">
        <f>IFERROR(
INDEX('SLCA Raw'!$B$41:$K$100,
MATCH(TRIM($A101),'SLCA Raw'!$M$41:$M$100,0),
MATCH(I$33,'SLCA Raw'!$B$38:$K$38,0)
),"")</f>
        <v>849.30799999999999</v>
      </c>
      <c r="J101" s="50">
        <f>SUM(J96:J100)</f>
        <v>1004.1851003352007</v>
      </c>
      <c r="K101" s="51">
        <f t="shared" ref="K101:N101" si="59">SUM(K96:K100)</f>
        <v>1176.7120490570233</v>
      </c>
      <c r="L101" s="51">
        <f t="shared" si="59"/>
        <v>1365.2755560321389</v>
      </c>
      <c r="M101" s="51">
        <f t="shared" si="59"/>
        <v>1554.8771623264797</v>
      </c>
      <c r="N101" s="52">
        <f t="shared" si="59"/>
        <v>1757.5070950379181</v>
      </c>
    </row>
    <row r="102" spans="1:14" x14ac:dyDescent="0.15">
      <c r="D102" s="1"/>
      <c r="E102" s="1"/>
      <c r="F102" s="1"/>
      <c r="G102" s="1"/>
      <c r="H102" s="1"/>
      <c r="I102" s="1"/>
      <c r="J102" s="58"/>
      <c r="K102" s="1"/>
      <c r="L102" s="1"/>
      <c r="M102" s="1"/>
      <c r="N102" s="59"/>
    </row>
    <row r="103" spans="1:14" ht="14" thickBot="1" x14ac:dyDescent="0.2">
      <c r="A103" t="s">
        <v>87</v>
      </c>
      <c r="C103" s="83" t="s">
        <v>232</v>
      </c>
      <c r="D103" s="85">
        <f>IFERROR(
INDEX('SLCA Raw'!$B$41:$K$100,
MATCH(TRIM($A103),'SLCA Raw'!$M$41:$M$100,0),
MATCH(D$33,'SLCA Raw'!$B$38:$K$38,0)
),"")</f>
        <v>2900.84</v>
      </c>
      <c r="E103" s="85">
        <f>IFERROR(
INDEX('SLCA Raw'!$B$41:$K$100,
MATCH(TRIM($A103),'SLCA Raw'!$M$41:$M$100,0),
MATCH(E$33,'SLCA Raw'!$B$38:$K$38,0)
),"")</f>
        <v>2553.2339999999999</v>
      </c>
      <c r="F103" s="85">
        <f>IFERROR(
INDEX('SLCA Raw'!$B$41:$K$100,
MATCH(TRIM($A103),'SLCA Raw'!$M$41:$M$100,0),
MATCH(F$33,'SLCA Raw'!$B$38:$K$38,0)
),"")</f>
        <v>2246.9470000000001</v>
      </c>
      <c r="G103" s="85">
        <f>IFERROR(
INDEX('SLCA Raw'!$B$41:$K$100,
MATCH(TRIM($A103),'SLCA Raw'!$M$41:$M$100,0),
MATCH(G$33,'SLCA Raw'!$B$38:$K$38,0)
),"")</f>
        <v>2219.6</v>
      </c>
      <c r="H103" s="85">
        <f>IFERROR(
INDEX('SLCA Raw'!$B$41:$K$100,
MATCH(TRIM($A103),'SLCA Raw'!$M$41:$M$100,0),
MATCH(H$33,'SLCA Raw'!$B$38:$K$38,0)
),"")</f>
        <v>2214.58</v>
      </c>
      <c r="I103" s="85">
        <f>IFERROR(
INDEX('SLCA Raw'!$B$41:$K$100,
MATCH(TRIM($A103),'SLCA Raw'!$M$41:$M$100,0),
MATCH(I$33,'SLCA Raw'!$B$38:$K$38,0)
),"")</f>
        <v>2096.5929999999998</v>
      </c>
      <c r="J103" s="84">
        <f t="shared" ref="J103:N103" si="60">J$101+J$94</f>
        <v>2358.5624868991217</v>
      </c>
      <c r="K103" s="85">
        <f t="shared" si="60"/>
        <v>2540.7210310583009</v>
      </c>
      <c r="L103" s="85">
        <f t="shared" si="60"/>
        <v>2742.9498766398592</v>
      </c>
      <c r="M103" s="85">
        <f t="shared" si="60"/>
        <v>2948.7423442711652</v>
      </c>
      <c r="N103" s="86">
        <f t="shared" si="60"/>
        <v>3165.9734228588068</v>
      </c>
    </row>
    <row r="104" spans="1:14" ht="14" thickTop="1" x14ac:dyDescent="0.15">
      <c r="C104" s="53"/>
      <c r="D104" s="53"/>
      <c r="E104" s="53"/>
      <c r="F104" s="53"/>
      <c r="G104" s="53"/>
      <c r="H104" s="53"/>
      <c r="I104" s="53"/>
      <c r="J104" s="54"/>
      <c r="K104" s="55"/>
      <c r="L104" s="55"/>
      <c r="M104" s="55"/>
      <c r="N104" s="56"/>
    </row>
    <row r="105" spans="1:14" x14ac:dyDescent="0.15">
      <c r="C105" s="70" t="s">
        <v>233</v>
      </c>
      <c r="D105" s="73">
        <f t="shared" ref="D105:I105" si="61">D103-D79</f>
        <v>0</v>
      </c>
      <c r="E105" s="73">
        <f t="shared" si="61"/>
        <v>0</v>
      </c>
      <c r="F105" s="73">
        <f t="shared" si="61"/>
        <v>0</v>
      </c>
      <c r="G105" s="73">
        <f t="shared" si="61"/>
        <v>0</v>
      </c>
      <c r="H105" s="73">
        <f t="shared" si="61"/>
        <v>0</v>
      </c>
      <c r="I105" s="73">
        <f t="shared" si="61"/>
        <v>0</v>
      </c>
      <c r="J105" s="96">
        <f>J79-J103</f>
        <v>0.12299999999959255</v>
      </c>
      <c r="K105" s="97">
        <f>K79-K103</f>
        <v>0.12299999999959255</v>
      </c>
      <c r="L105" s="97">
        <f ca="1">L79-L103</f>
        <v>0.12299999999959255</v>
      </c>
      <c r="M105" s="97">
        <f ca="1">M79-M103</f>
        <v>0.1229999999991378</v>
      </c>
      <c r="N105" s="98">
        <f ca="1">N79-N103</f>
        <v>0.12299999999959255</v>
      </c>
    </row>
    <row r="106" spans="1:14" x14ac:dyDescent="0.15">
      <c r="C106" s="70"/>
      <c r="D106" s="73"/>
      <c r="E106" s="73"/>
      <c r="F106" s="73"/>
      <c r="G106" s="73"/>
      <c r="H106" s="73"/>
      <c r="I106" s="73"/>
      <c r="J106" s="272"/>
      <c r="K106" s="273"/>
      <c r="L106" s="273"/>
      <c r="M106" s="273"/>
      <c r="N106" s="274"/>
    </row>
    <row r="107" spans="1:14" x14ac:dyDescent="0.15">
      <c r="A107" t="s">
        <v>88</v>
      </c>
      <c r="C107" t="s">
        <v>234</v>
      </c>
      <c r="D107">
        <f>IFERROR(
INDEX('SLCA Raw'!$B$41:$K$100,
MATCH(TRIM($A107),'SLCA Raw'!$M$41:$M$100,0),
MATCH(D$33,'SLCA Raw'!$B$38:$K$38,0)
),"")</f>
        <v>73</v>
      </c>
      <c r="E107">
        <f>IFERROR(
INDEX('SLCA Raw'!$B$41:$K$100,
MATCH(TRIM($A107),'SLCA Raw'!$M$41:$M$100,0),
MATCH(E$33,'SLCA Raw'!$B$38:$K$38,0)
),"")</f>
        <v>74</v>
      </c>
      <c r="F107">
        <f>IFERROR(
INDEX('SLCA Raw'!$B$41:$K$100,
MATCH(TRIM($A107),'SLCA Raw'!$M$41:$M$100,0),
MATCH(F$33,'SLCA Raw'!$B$38:$K$38,0)
),"")</f>
        <v>74</v>
      </c>
      <c r="G107">
        <f>IFERROR(
INDEX('SLCA Raw'!$B$41:$K$100,
MATCH(TRIM($A107),'SLCA Raw'!$M$41:$M$100,0),
MATCH(G$33,'SLCA Raw'!$B$38:$K$38,0)
),"")</f>
        <v>75</v>
      </c>
      <c r="H107">
        <f>IFERROR(
INDEX('SLCA Raw'!$B$41:$K$100,
MATCH(TRIM($A107),'SLCA Raw'!$M$41:$M$100,0),
MATCH(H$33,'SLCA Raw'!$B$38:$K$38,0)
),"")</f>
        <v>76</v>
      </c>
      <c r="I107">
        <f>IFERROR(
INDEX('SLCA Raw'!$B$41:$K$100,
MATCH(TRIM($A107),'SLCA Raw'!$M$41:$M$100,0),
MATCH(I$33,'SLCA Raw'!$B$38:$K$38,0)
),"")</f>
        <v>77</v>
      </c>
      <c r="J107" s="88">
        <f>I107</f>
        <v>77</v>
      </c>
      <c r="K107" s="89">
        <f t="shared" ref="K107:N107" si="62">J107</f>
        <v>77</v>
      </c>
      <c r="L107" s="89">
        <f t="shared" si="62"/>
        <v>77</v>
      </c>
      <c r="M107" s="89">
        <f t="shared" si="62"/>
        <v>77</v>
      </c>
      <c r="N107" s="90">
        <f t="shared" si="62"/>
        <v>77</v>
      </c>
    </row>
    <row r="109" spans="1:14" ht="16" x14ac:dyDescent="0.15">
      <c r="C109" s="275" t="s">
        <v>235</v>
      </c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</row>
    <row r="110" spans="1:14" x14ac:dyDescent="0.15">
      <c r="C110" s="5"/>
      <c r="D110" s="261"/>
      <c r="E110" s="261"/>
      <c r="F110" s="261"/>
      <c r="G110" s="261"/>
      <c r="H110" s="261"/>
      <c r="I110" s="261"/>
      <c r="J110" s="276" t="s">
        <v>157</v>
      </c>
      <c r="K110" s="276"/>
      <c r="L110" s="276"/>
      <c r="M110" s="276"/>
      <c r="N110" s="277"/>
    </row>
    <row r="111" spans="1:14" x14ac:dyDescent="0.15">
      <c r="C111" s="6" t="s">
        <v>11</v>
      </c>
      <c r="D111" s="7">
        <f>$D$62</f>
        <v>43465</v>
      </c>
      <c r="E111" s="7">
        <f t="shared" ref="E111:N111" si="63">EDATE(D111,12)</f>
        <v>43830</v>
      </c>
      <c r="F111" s="7">
        <f t="shared" si="63"/>
        <v>44196</v>
      </c>
      <c r="G111" s="7">
        <f t="shared" si="63"/>
        <v>44561</v>
      </c>
      <c r="H111" s="7">
        <f t="shared" si="63"/>
        <v>44926</v>
      </c>
      <c r="I111" s="7">
        <f t="shared" si="63"/>
        <v>45291</v>
      </c>
      <c r="J111" s="8">
        <f>EDATE(I111,12)</f>
        <v>45657</v>
      </c>
      <c r="K111" s="7">
        <f t="shared" si="63"/>
        <v>46022</v>
      </c>
      <c r="L111" s="7">
        <f t="shared" si="63"/>
        <v>46387</v>
      </c>
      <c r="M111" s="7">
        <f t="shared" si="63"/>
        <v>46752</v>
      </c>
      <c r="N111" s="9">
        <f t="shared" si="63"/>
        <v>47118</v>
      </c>
    </row>
    <row r="112" spans="1:14" x14ac:dyDescent="0.15">
      <c r="C112" s="91"/>
      <c r="D112" s="92" t="s">
        <v>13</v>
      </c>
      <c r="E112" s="92" t="s">
        <v>13</v>
      </c>
      <c r="F112" s="92" t="s">
        <v>13</v>
      </c>
      <c r="G112" s="92" t="s">
        <v>13</v>
      </c>
      <c r="H112" s="92" t="s">
        <v>13</v>
      </c>
      <c r="I112" s="92" t="s">
        <v>13</v>
      </c>
      <c r="J112" s="93" t="s">
        <v>13</v>
      </c>
      <c r="K112" s="92" t="s">
        <v>13</v>
      </c>
      <c r="L112" s="92" t="s">
        <v>13</v>
      </c>
      <c r="M112" s="92" t="s">
        <v>13</v>
      </c>
      <c r="N112" s="94" t="s">
        <v>13</v>
      </c>
    </row>
    <row r="113" spans="1:15" x14ac:dyDescent="0.15">
      <c r="A113" t="s">
        <v>32</v>
      </c>
      <c r="C113" t="s">
        <v>32</v>
      </c>
      <c r="D113" s="1">
        <f>IFERROR(
INDEX('SLCA Raw'!$B$92:$K$111,
MATCH(TRIM($A113),'SLCA Raw'!$M$92:$M$111,0),
MATCH(D$33,'SLCA Raw'!$B$89:$K$89,0)
),"")</f>
        <v>-200.821</v>
      </c>
      <c r="E113" s="1">
        <f>IFERROR(
INDEX('SLCA Raw'!$B$92:$K$111,
MATCH(TRIM($A113),'SLCA Raw'!$M$92:$M$111,0),
MATCH(E$33,'SLCA Raw'!$B$89:$K$89,0)
),"")</f>
        <v>-329.75700000000001</v>
      </c>
      <c r="F113" s="1">
        <f>IFERROR(
INDEX('SLCA Raw'!$B$92:$K$111,
MATCH(TRIM($A113),'SLCA Raw'!$M$92:$M$111,0),
MATCH(F$33,'SLCA Raw'!$B$89:$K$89,0)
),"")</f>
        <v>-115.122</v>
      </c>
      <c r="G113" s="1">
        <f>IFERROR(
INDEX('SLCA Raw'!$B$92:$K$111,
MATCH(TRIM($A113),'SLCA Raw'!$M$92:$M$111,0),
MATCH(G$33,'SLCA Raw'!$B$89:$K$89,0)
),"")</f>
        <v>-34.320999999999998</v>
      </c>
      <c r="H113" s="1">
        <f>IFERROR(
INDEX('SLCA Raw'!$B$92:$K$111,
MATCH(TRIM($A113),'SLCA Raw'!$M$92:$M$111,0),
MATCH(H$33,'SLCA Raw'!$B$89:$K$89,0)
),"")</f>
        <v>77.84</v>
      </c>
      <c r="I113" s="1">
        <f>IFERROR(
INDEX('SLCA Raw'!$B$92:$K$111,
MATCH(TRIM($A113),'SLCA Raw'!$M$92:$M$111,0),
MATCH(I$33,'SLCA Raw'!$B$89:$K$89,0)
),"")</f>
        <v>146.489</v>
      </c>
      <c r="J113" s="58">
        <f>J$52-J$53</f>
        <v>154.62910033520055</v>
      </c>
      <c r="K113" s="1">
        <f t="shared" ref="K113:N113" si="64">K$52-K$53</f>
        <v>172.52694872182269</v>
      </c>
      <c r="L113" s="1">
        <f t="shared" si="64"/>
        <v>188.56350697511562</v>
      </c>
      <c r="M113" s="1">
        <f t="shared" si="64"/>
        <v>189.60160629434071</v>
      </c>
      <c r="N113" s="59">
        <f t="shared" si="64"/>
        <v>202.62993271143836</v>
      </c>
    </row>
    <row r="114" spans="1:15" x14ac:dyDescent="0.15">
      <c r="C114" s="57" t="s">
        <v>185</v>
      </c>
      <c r="D114" s="1">
        <f>D140-D139</f>
        <v>148.79999999999998</v>
      </c>
      <c r="E114" s="1">
        <f t="shared" ref="E114:I114" si="65">E140-E139</f>
        <v>179.5</v>
      </c>
      <c r="F114" s="1">
        <f t="shared" si="65"/>
        <v>155.6</v>
      </c>
      <c r="G114" s="1">
        <f t="shared" si="65"/>
        <v>161.19999999999999</v>
      </c>
      <c r="H114" s="1">
        <f t="shared" si="65"/>
        <v>140.1</v>
      </c>
      <c r="I114" s="1">
        <f t="shared" si="65"/>
        <v>137.20000000000005</v>
      </c>
      <c r="J114" s="58">
        <f>J41</f>
        <v>146.23333333333335</v>
      </c>
      <c r="K114" s="1">
        <f>K41</f>
        <v>146.23333333333335</v>
      </c>
      <c r="L114" s="1">
        <f>L41</f>
        <v>146.23333333333335</v>
      </c>
      <c r="M114" s="1">
        <f>M41</f>
        <v>146.23333333333335</v>
      </c>
      <c r="N114" s="59">
        <f>N41</f>
        <v>146.23333333333335</v>
      </c>
    </row>
    <row r="115" spans="1:15" x14ac:dyDescent="0.15">
      <c r="A115" s="70" t="s">
        <v>236</v>
      </c>
      <c r="B115" s="70"/>
      <c r="C115" s="95" t="s">
        <v>236</v>
      </c>
      <c r="D115" s="97">
        <f t="shared" ref="D115:N115" si="66">D65+D66+D67+D68-D81-D82-D85</f>
        <v>149.76900000000003</v>
      </c>
      <c r="E115" s="97">
        <f t="shared" si="66"/>
        <v>33.01599999999997</v>
      </c>
      <c r="F115" s="97">
        <f t="shared" si="66"/>
        <v>187.28200000000001</v>
      </c>
      <c r="G115" s="97">
        <f t="shared" si="66"/>
        <v>148.97799999999998</v>
      </c>
      <c r="H115" s="97">
        <f t="shared" si="66"/>
        <v>124.10199999999999</v>
      </c>
      <c r="I115" s="97">
        <f t="shared" si="66"/>
        <v>185.47899999999998</v>
      </c>
      <c r="J115" s="167">
        <f t="shared" si="66"/>
        <v>159.33274848090133</v>
      </c>
      <c r="K115" s="168">
        <f t="shared" si="66"/>
        <v>166.59141396215</v>
      </c>
      <c r="L115" s="168">
        <f t="shared" si="66"/>
        <v>170.16954427556476</v>
      </c>
      <c r="M115" s="168">
        <f t="shared" si="66"/>
        <v>175.69247581842041</v>
      </c>
      <c r="N115" s="169">
        <f t="shared" si="66"/>
        <v>181.75032649446192</v>
      </c>
      <c r="O115" t="s">
        <v>222</v>
      </c>
    </row>
    <row r="116" spans="1:15" x14ac:dyDescent="0.15">
      <c r="A116" t="s">
        <v>90</v>
      </c>
      <c r="C116" s="57" t="s">
        <v>237</v>
      </c>
      <c r="D116" s="1">
        <f>IFERROR(
INDEX('SLCA Raw'!$B$92:$K$111,
MATCH(TRIM($A116),'SLCA Raw'!$M$92:$M$111,0),
MATCH(D$33,'SLCA Raw'!$B$89:$K$89,0)
),"")</f>
        <v>135.15600000000001</v>
      </c>
      <c r="E116" s="1">
        <f>IFERROR(
INDEX('SLCA Raw'!$B$92:$K$111,
MATCH(TRIM($A116),'SLCA Raw'!$M$92:$M$111,0),
MATCH(E$33,'SLCA Raw'!$B$89:$K$89,0)
),"")</f>
        <v>83.298000000000002</v>
      </c>
      <c r="F116" s="1">
        <f>IFERROR(
INDEX('SLCA Raw'!$B$92:$K$111,
MATCH(TRIM($A116),'SLCA Raw'!$M$92:$M$111,0),
MATCH(F$33,'SLCA Raw'!$B$89:$K$89,0)
),"")</f>
        <v>-75.171000000000006</v>
      </c>
      <c r="G116" s="1">
        <f>IFERROR(
INDEX('SLCA Raw'!$B$92:$K$111,
MATCH(TRIM($A116),'SLCA Raw'!$M$92:$M$111,0),
MATCH(G$33,'SLCA Raw'!$B$89:$K$89,0)
),"")</f>
        <v>30.387</v>
      </c>
      <c r="H116" s="1">
        <f>IFERROR(
INDEX('SLCA Raw'!$B$92:$K$111,
MATCH(TRIM($A116),'SLCA Raw'!$M$92:$M$111,0),
MATCH(H$33,'SLCA Raw'!$B$89:$K$89,0)
),"")</f>
        <v>5.9809999999999999</v>
      </c>
      <c r="I116" s="1">
        <f>IFERROR(
INDEX('SLCA Raw'!$B$92:$K$111,
MATCH(TRIM($A116),'SLCA Raw'!$M$92:$M$111,0),
MATCH(I$33,'SLCA Raw'!$B$89:$K$89,0)
),"")</f>
        <v>-64.144000000000005</v>
      </c>
      <c r="J116" s="170">
        <f>I115-J115</f>
        <v>26.146251519098655</v>
      </c>
      <c r="K116" s="171">
        <f t="shared" ref="K116:N116" si="67">J115-K115</f>
        <v>-7.2586654812486699</v>
      </c>
      <c r="L116" s="171">
        <f t="shared" si="67"/>
        <v>-3.5781303134147606</v>
      </c>
      <c r="M116" s="171">
        <f t="shared" si="67"/>
        <v>-5.5229315428556447</v>
      </c>
      <c r="N116" s="172">
        <f t="shared" si="67"/>
        <v>-6.057850676041511</v>
      </c>
    </row>
    <row r="117" spans="1:15" x14ac:dyDescent="0.15">
      <c r="C117" s="57" t="s">
        <v>257</v>
      </c>
      <c r="D117" s="1">
        <f t="shared" ref="D117:I117" si="68">D$48</f>
        <v>0</v>
      </c>
      <c r="E117" s="1">
        <f t="shared" si="68"/>
        <v>0</v>
      </c>
      <c r="F117" s="1">
        <f t="shared" si="68"/>
        <v>0.3</v>
      </c>
      <c r="G117" s="1">
        <f t="shared" si="68"/>
        <v>0</v>
      </c>
      <c r="H117" s="1">
        <f t="shared" si="68"/>
        <v>0</v>
      </c>
      <c r="I117" s="1">
        <f t="shared" si="68"/>
        <v>16.8</v>
      </c>
      <c r="J117" s="58">
        <f>-J13</f>
        <v>0</v>
      </c>
      <c r="K117" s="1">
        <f>-K13</f>
        <v>0</v>
      </c>
      <c r="L117" s="1">
        <f>-L13</f>
        <v>0</v>
      </c>
      <c r="M117" s="1">
        <f>-M13</f>
        <v>0</v>
      </c>
      <c r="N117" s="59">
        <f>-N13</f>
        <v>0</v>
      </c>
    </row>
    <row r="118" spans="1:15" x14ac:dyDescent="0.15">
      <c r="C118" s="57" t="s">
        <v>238</v>
      </c>
      <c r="D118" s="278"/>
      <c r="E118" s="278"/>
      <c r="F118" s="278"/>
      <c r="G118" s="278"/>
      <c r="H118" s="278"/>
      <c r="I118" s="278"/>
      <c r="J118" s="96">
        <f>(I77-J77)+(J92-I92)</f>
        <v>41.442076222160992</v>
      </c>
      <c r="K118" s="97">
        <f t="shared" ref="K118:N118" si="69">(J77-K77)+(K92-J92)</f>
        <v>5.3055421059129664</v>
      </c>
      <c r="L118" s="97">
        <f t="shared" si="69"/>
        <v>5.2999904079210687</v>
      </c>
      <c r="M118" s="97">
        <f t="shared" si="69"/>
        <v>5.6757394665591612</v>
      </c>
      <c r="N118" s="98">
        <f t="shared" si="69"/>
        <v>6.0274950146895918</v>
      </c>
    </row>
    <row r="119" spans="1:15" x14ac:dyDescent="0.15">
      <c r="A119" t="s">
        <v>91</v>
      </c>
      <c r="C119" s="49" t="s">
        <v>239</v>
      </c>
      <c r="D119" s="51">
        <f>IFERROR(
INDEX('SLCA Raw'!$B$92:$K$111,
MATCH(TRIM($A119),'SLCA Raw'!$M$92:$M$111,0),
MATCH(D$33,'SLCA Raw'!$B$89:$K$89,0)
),"")</f>
        <v>310.70600000000002</v>
      </c>
      <c r="E119" s="51">
        <f>IFERROR(
INDEX('SLCA Raw'!$B$92:$K$111,
MATCH(TRIM($A119),'SLCA Raw'!$M$92:$M$111,0),
MATCH(E$33,'SLCA Raw'!$B$89:$K$89,0)
),"")</f>
        <v>144.04599999999999</v>
      </c>
      <c r="F119" s="51">
        <f>IFERROR(
INDEX('SLCA Raw'!$B$92:$K$111,
MATCH(TRIM($A119),'SLCA Raw'!$M$92:$M$111,0),
MATCH(F$33,'SLCA Raw'!$B$89:$K$89,0)
),"")</f>
        <v>-10.534000000000001</v>
      </c>
      <c r="G119" s="51">
        <f>IFERROR(
INDEX('SLCA Raw'!$B$92:$K$111,
MATCH(TRIM($A119),'SLCA Raw'!$M$92:$M$111,0),
MATCH(G$33,'SLCA Raw'!$B$89:$K$89,0)
),"")</f>
        <v>169.34700000000001</v>
      </c>
      <c r="H119" s="51">
        <f>IFERROR(
INDEX('SLCA Raw'!$B$92:$K$111,
MATCH(TRIM($A119),'SLCA Raw'!$M$92:$M$111,0),
MATCH(H$33,'SLCA Raw'!$B$89:$K$89,0)
),"")</f>
        <v>262.71600000000001</v>
      </c>
      <c r="I119" s="51">
        <f>IFERROR(
INDEX('SLCA Raw'!$B$92:$K$111,
MATCH(TRIM($A119),'SLCA Raw'!$M$92:$M$111,0),
MATCH(I$33,'SLCA Raw'!$B$89:$K$89,0)
),"")</f>
        <v>263.86799999999999</v>
      </c>
      <c r="J119" s="50">
        <f>J113+J114+J116+J117+J118</f>
        <v>368.45076140979353</v>
      </c>
      <c r="K119" s="51">
        <f t="shared" ref="K119:N119" si="70">K113+K114+K116+K117+K118</f>
        <v>316.80715867982036</v>
      </c>
      <c r="L119" s="51">
        <f t="shared" si="70"/>
        <v>336.51870040295529</v>
      </c>
      <c r="M119" s="51">
        <f t="shared" si="70"/>
        <v>335.98774755137759</v>
      </c>
      <c r="N119" s="52">
        <f t="shared" si="70"/>
        <v>348.8329103834198</v>
      </c>
    </row>
    <row r="120" spans="1:15" x14ac:dyDescent="0.15">
      <c r="D120" s="1"/>
      <c r="E120" s="1"/>
      <c r="F120" s="1"/>
      <c r="G120" s="1"/>
      <c r="H120" s="1"/>
      <c r="I120" s="1"/>
      <c r="J120" s="58"/>
      <c r="K120" s="1"/>
      <c r="L120" s="1"/>
      <c r="M120" s="1"/>
      <c r="N120" s="59"/>
    </row>
    <row r="121" spans="1:15" x14ac:dyDescent="0.15">
      <c r="A121" t="s">
        <v>92</v>
      </c>
      <c r="C121" s="53" t="s">
        <v>92</v>
      </c>
      <c r="D121" s="55">
        <f>IFERROR(
INDEX('SLCA Raw'!$B$92:$K$111,
MATCH(TRIM($A121),'SLCA Raw'!$M$92:$M$111,0),
MATCH(D$33,'SLCA Raw'!$B$89:$K$89,0)
),"")</f>
        <v>-349.86099999999999</v>
      </c>
      <c r="E121" s="55">
        <f>IFERROR(
INDEX('SLCA Raw'!$B$92:$K$111,
MATCH(TRIM($A121),'SLCA Raw'!$M$92:$M$111,0),
MATCH(E$33,'SLCA Raw'!$B$89:$K$89,0)
),"")</f>
        <v>-122.289</v>
      </c>
      <c r="F121" s="55">
        <f>IFERROR(
INDEX('SLCA Raw'!$B$92:$K$111,
MATCH(TRIM($A121),'SLCA Raw'!$M$92:$M$111,0),
MATCH(F$33,'SLCA Raw'!$B$89:$K$89,0)
),"")</f>
        <v>-34.917000000000002</v>
      </c>
      <c r="G121" s="55">
        <f>IFERROR(
INDEX('SLCA Raw'!$B$92:$K$111,
MATCH(TRIM($A121),'SLCA Raw'!$M$92:$M$111,0),
MATCH(G$33,'SLCA Raw'!$B$89:$K$89,0)
),"")</f>
        <v>-30.516999999999999</v>
      </c>
      <c r="H121" s="55">
        <f>IFERROR(
INDEX('SLCA Raw'!$B$92:$K$111,
MATCH(TRIM($A121),'SLCA Raw'!$M$92:$M$111,0),
MATCH(H$33,'SLCA Raw'!$B$89:$K$89,0)
),"")</f>
        <v>-53.561999999999998</v>
      </c>
      <c r="I121" s="55">
        <f>IFERROR(
INDEX('SLCA Raw'!$B$92:$K$111,
MATCH(TRIM($A121),'SLCA Raw'!$M$92:$M$111,0),
MATCH(I$33,'SLCA Raw'!$B$89:$K$89,0)
),"")</f>
        <v>-65.47</v>
      </c>
      <c r="J121" s="54">
        <f>('Individual Cash Flow'!I45+'Individual Cash Flow'!I22)*-1</f>
        <v>-80.231204696399999</v>
      </c>
      <c r="K121" s="55">
        <f>('Individual Cash Flow'!J45+'Individual Cash Flow'!J22)*-1</f>
        <v>-82.890942965066174</v>
      </c>
      <c r="L121" s="55">
        <f>('Individual Cash Flow'!K45+'Individual Cash Flow'!K22)*-1</f>
        <v>-85.54789809426984</v>
      </c>
      <c r="M121" s="55">
        <f>('Individual Cash Flow'!L45+'Individual Cash Flow'!L22)*-1</f>
        <v>-88.393221184885235</v>
      </c>
      <c r="N121" s="56">
        <f>('Individual Cash Flow'!M45+'Individual Cash Flow'!M22)*-1</f>
        <v>-91.414883973480855</v>
      </c>
    </row>
    <row r="122" spans="1:15" x14ac:dyDescent="0.15">
      <c r="A122" t="s">
        <v>93</v>
      </c>
      <c r="C122" s="57" t="s">
        <v>240</v>
      </c>
      <c r="D122" s="1">
        <f>IFERROR(
INDEX('SLCA Raw'!$B$92:$K$111,
MATCH(TRIM($A122),'SLCA Raw'!$M$92:$M$111,0),
MATCH(D$33,'SLCA Raw'!$B$89:$K$89,0)
),"")</f>
        <v>0</v>
      </c>
      <c r="E122" s="1">
        <f>IFERROR(
INDEX('SLCA Raw'!$B$92:$K$111,
MATCH(TRIM($A122),'SLCA Raw'!$M$92:$M$111,0),
MATCH(E$33,'SLCA Raw'!$B$89:$K$89,0)
),"")</f>
        <v>0</v>
      </c>
      <c r="F122" s="1">
        <f>IFERROR(
INDEX('SLCA Raw'!$B$92:$K$111,
MATCH(TRIM($A122),'SLCA Raw'!$M$92:$M$111,0),
MATCH(F$33,'SLCA Raw'!$B$89:$K$89,0)
),"")</f>
        <v>0</v>
      </c>
      <c r="G122" s="1">
        <f>IFERROR(
INDEX('SLCA Raw'!$B$92:$K$111,
MATCH(TRIM($A122),'SLCA Raw'!$M$92:$M$111,0),
MATCH(G$33,'SLCA Raw'!$B$89:$K$89,0)
),"")</f>
        <v>0</v>
      </c>
      <c r="H122" s="1">
        <f>IFERROR(
INDEX('SLCA Raw'!$B$92:$K$111,
MATCH(TRIM($A122),'SLCA Raw'!$M$92:$M$111,0),
MATCH(H$33,'SLCA Raw'!$B$89:$K$89,0)
),"")</f>
        <v>0</v>
      </c>
      <c r="I122" s="1">
        <f>IFERROR(
INDEX('SLCA Raw'!$B$92:$K$111,
MATCH(TRIM($A122),'SLCA Raw'!$M$92:$M$111,0),
MATCH(I$33,'SLCA Raw'!$B$89:$K$89,0)
),"")</f>
        <v>0</v>
      </c>
      <c r="J122" s="102">
        <v>0</v>
      </c>
      <c r="K122" s="33">
        <f>J122</f>
        <v>0</v>
      </c>
      <c r="L122" s="33">
        <f t="shared" ref="L122:N122" si="71">K122</f>
        <v>0</v>
      </c>
      <c r="M122" s="33">
        <f t="shared" si="71"/>
        <v>0</v>
      </c>
      <c r="N122" s="72">
        <f t="shared" si="71"/>
        <v>0</v>
      </c>
    </row>
    <row r="123" spans="1:15" x14ac:dyDescent="0.15">
      <c r="A123" t="s">
        <v>95</v>
      </c>
      <c r="C123" s="57" t="s">
        <v>241</v>
      </c>
      <c r="D123" s="1">
        <f>IFERROR(
INDEX('SLCA Raw'!$B$92:$K$111,
MATCH(TRIM($A123),'SLCA Raw'!$M$92:$M$111,0),
MATCH(D$33,'SLCA Raw'!$B$89:$K$89,0)
),"")</f>
        <v>26.231000000000002</v>
      </c>
      <c r="E123" s="1">
        <f>IFERROR(
INDEX('SLCA Raw'!$B$92:$K$111,
MATCH(TRIM($A123),'SLCA Raw'!$M$92:$M$111,0),
MATCH(E$33,'SLCA Raw'!$B$89:$K$89,0)
),"")</f>
        <v>1.8959999999999999</v>
      </c>
      <c r="F123" s="1">
        <f>IFERROR(
INDEX('SLCA Raw'!$B$92:$K$111,
MATCH(TRIM($A123),'SLCA Raw'!$M$92:$M$111,0),
MATCH(F$33,'SLCA Raw'!$B$89:$K$89,0)
),"")</f>
        <v>7.3529999999999998</v>
      </c>
      <c r="G123" s="1">
        <f>IFERROR(
INDEX('SLCA Raw'!$B$92:$K$111,
MATCH(TRIM($A123),'SLCA Raw'!$M$92:$M$111,0),
MATCH(G$33,'SLCA Raw'!$B$89:$K$89,0)
),"")</f>
        <v>0.66100000000000003</v>
      </c>
      <c r="H123" s="1">
        <f>IFERROR(
INDEX('SLCA Raw'!$B$92:$K$111,
MATCH(TRIM($A123),'SLCA Raw'!$M$92:$M$111,0),
MATCH(H$33,'SLCA Raw'!$B$89:$K$89,0)
),"")</f>
        <v>2.609</v>
      </c>
      <c r="I123" s="1">
        <f>IFERROR(
INDEX('SLCA Raw'!$B$92:$K$111,
MATCH(TRIM($A123),'SLCA Raw'!$M$92:$M$111,0),
MATCH(I$33,'SLCA Raw'!$B$89:$K$89,0)
),"")</f>
        <v>20.748999999999999</v>
      </c>
      <c r="J123" s="102">
        <v>0</v>
      </c>
      <c r="K123" s="33">
        <f>$J$123</f>
        <v>0</v>
      </c>
      <c r="L123" s="33">
        <f t="shared" ref="L123:N123" si="72">$J$123</f>
        <v>0</v>
      </c>
      <c r="M123" s="33">
        <f t="shared" si="72"/>
        <v>0</v>
      </c>
      <c r="N123" s="72">
        <f t="shared" si="72"/>
        <v>0</v>
      </c>
    </row>
    <row r="124" spans="1:15" x14ac:dyDescent="0.15">
      <c r="A124" t="s">
        <v>96</v>
      </c>
      <c r="C124" s="57" t="s">
        <v>242</v>
      </c>
      <c r="D124" s="1">
        <f>IFERROR(
INDEX('SLCA Raw'!$B$92:$K$111,
MATCH(TRIM($A124),'SLCA Raw'!$M$92:$M$111,0),
MATCH(D$33,'SLCA Raw'!$B$89:$K$89,0)
),"")</f>
        <v>-743.24900000000002</v>
      </c>
      <c r="E124" s="1">
        <f>IFERROR(
INDEX('SLCA Raw'!$B$92:$K$111,
MATCH(TRIM($A124),'SLCA Raw'!$M$92:$M$111,0),
MATCH(E$33,'SLCA Raw'!$B$89:$K$89,0)
),"")</f>
        <v>0</v>
      </c>
      <c r="F124" s="1">
        <f>IFERROR(
INDEX('SLCA Raw'!$B$92:$K$111,
MATCH(TRIM($A124),'SLCA Raw'!$M$92:$M$111,0),
MATCH(F$33,'SLCA Raw'!$B$89:$K$89,0)
),"")</f>
        <v>0</v>
      </c>
      <c r="G124" s="1">
        <f>IFERROR(
INDEX('SLCA Raw'!$B$92:$K$111,
MATCH(TRIM($A124),'SLCA Raw'!$M$92:$M$111,0),
MATCH(G$33,'SLCA Raw'!$B$89:$K$89,0)
),"")</f>
        <v>0</v>
      </c>
      <c r="H124" s="1">
        <f>IFERROR(
INDEX('SLCA Raw'!$B$92:$K$111,
MATCH(TRIM($A124),'SLCA Raw'!$M$92:$M$111,0),
MATCH(H$33,'SLCA Raw'!$B$89:$K$89,0)
),"")</f>
        <v>0</v>
      </c>
      <c r="I124" s="1">
        <f>IFERROR(
INDEX('SLCA Raw'!$B$92:$K$111,
MATCH(TRIM($A124),'SLCA Raw'!$M$92:$M$111,0),
MATCH(I$33,'SLCA Raw'!$B$89:$K$89,0)
),"")</f>
        <v>0</v>
      </c>
      <c r="J124" s="71">
        <v>0</v>
      </c>
      <c r="K124" s="33">
        <v>0</v>
      </c>
      <c r="L124" s="33">
        <v>0</v>
      </c>
      <c r="M124" s="33">
        <v>0</v>
      </c>
      <c r="N124" s="72">
        <v>0</v>
      </c>
    </row>
    <row r="125" spans="1:15" x14ac:dyDescent="0.15">
      <c r="A125" t="s">
        <v>98</v>
      </c>
      <c r="C125" s="57" t="s">
        <v>243</v>
      </c>
      <c r="D125" s="1">
        <f>IFERROR(
INDEX('SLCA Raw'!$B$92:$K$111,
MATCH(TRIM($A125),'SLCA Raw'!$M$92:$M$111,0),
MATCH(D$33,'SLCA Raw'!$B$89:$K$89,0)
),"")</f>
        <v>-717.01800000000003</v>
      </c>
      <c r="E125" s="1">
        <f>IFERROR(
INDEX('SLCA Raw'!$B$92:$K$111,
MATCH(TRIM($A125),'SLCA Raw'!$M$92:$M$111,0),
MATCH(E$33,'SLCA Raw'!$B$89:$K$89,0)
),"")</f>
        <v>1.8959999999999999</v>
      </c>
      <c r="F125" s="1">
        <f>IFERROR(
INDEX('SLCA Raw'!$B$92:$K$111,
MATCH(TRIM($A125),'SLCA Raw'!$M$92:$M$111,0),
MATCH(F$33,'SLCA Raw'!$B$89:$K$89,0)
),"")</f>
        <v>7.3529999999999998</v>
      </c>
      <c r="G125" s="1">
        <f>IFERROR(
INDEX('SLCA Raw'!$B$92:$K$111,
MATCH(TRIM($A125),'SLCA Raw'!$M$92:$M$111,0),
MATCH(G$33,'SLCA Raw'!$B$89:$K$89,0)
),"")</f>
        <v>0.66100000000000003</v>
      </c>
      <c r="H125" s="1">
        <f>IFERROR(
INDEX('SLCA Raw'!$B$92:$K$111,
MATCH(TRIM($A125),'SLCA Raw'!$M$92:$M$111,0),
MATCH(H$33,'SLCA Raw'!$B$89:$K$89,0)
),"")</f>
        <v>2.609</v>
      </c>
      <c r="I125" s="1">
        <f>IFERROR(
INDEX('SLCA Raw'!$B$92:$K$111,
MATCH(TRIM($A125),'SLCA Raw'!$M$92:$M$111,0),
MATCH(I$33,'SLCA Raw'!$B$89:$K$89,0)
),"")</f>
        <v>20.748999999999999</v>
      </c>
      <c r="J125" s="71">
        <v>0</v>
      </c>
      <c r="K125" s="33">
        <v>0</v>
      </c>
      <c r="L125" s="33">
        <v>0</v>
      </c>
      <c r="M125" s="33">
        <v>0</v>
      </c>
      <c r="N125" s="72">
        <v>0</v>
      </c>
    </row>
    <row r="126" spans="1:15" x14ac:dyDescent="0.15">
      <c r="A126" t="s">
        <v>99</v>
      </c>
      <c r="C126" s="49" t="s">
        <v>244</v>
      </c>
      <c r="D126" s="81">
        <f>IFERROR(
INDEX('SLCA Raw'!$B$92:$K$111,
MATCH(TRIM($A126),'SLCA Raw'!$M$92:$M$111,0),
MATCH(D$33,'SLCA Raw'!$B$89:$K$89,0)
),"")</f>
        <v>-1066.8789999999999</v>
      </c>
      <c r="E126" s="81">
        <f>IFERROR(
INDEX('SLCA Raw'!$B$92:$K$111,
MATCH(TRIM($A126),'SLCA Raw'!$M$92:$M$111,0),
MATCH(E$33,'SLCA Raw'!$B$89:$K$89,0)
),"")</f>
        <v>-120.393</v>
      </c>
      <c r="F126" s="81">
        <f>IFERROR(
INDEX('SLCA Raw'!$B$92:$K$111,
MATCH(TRIM($A126),'SLCA Raw'!$M$92:$M$111,0),
MATCH(F$33,'SLCA Raw'!$B$89:$K$89,0)
),"")</f>
        <v>-27.564</v>
      </c>
      <c r="G126" s="81">
        <f>IFERROR(
INDEX('SLCA Raw'!$B$92:$K$111,
MATCH(TRIM($A126),'SLCA Raw'!$M$92:$M$111,0),
MATCH(G$33,'SLCA Raw'!$B$89:$K$89,0)
),"")</f>
        <v>-29.856000000000002</v>
      </c>
      <c r="H126" s="81">
        <f>IFERROR(
INDEX('SLCA Raw'!$B$92:$K$111,
MATCH(TRIM($A126),'SLCA Raw'!$M$92:$M$111,0),
MATCH(H$33,'SLCA Raw'!$B$89:$K$89,0)
),"")</f>
        <v>-50.953000000000003</v>
      </c>
      <c r="I126" s="81">
        <f>IFERROR(
INDEX('SLCA Raw'!$B$92:$K$111,
MATCH(TRIM($A126),'SLCA Raw'!$M$92:$M$111,0),
MATCH(I$33,'SLCA Raw'!$B$89:$K$89,0)
),"")</f>
        <v>-44.720999999999997</v>
      </c>
      <c r="J126" s="80">
        <f>SUM(J121:J125)</f>
        <v>-80.231204696399999</v>
      </c>
      <c r="K126" s="81">
        <f t="shared" ref="K126:N126" si="73">SUM(K121:K125)</f>
        <v>-82.890942965066174</v>
      </c>
      <c r="L126" s="81">
        <f t="shared" si="73"/>
        <v>-85.54789809426984</v>
      </c>
      <c r="M126" s="81">
        <f t="shared" si="73"/>
        <v>-88.393221184885235</v>
      </c>
      <c r="N126" s="82">
        <f t="shared" si="73"/>
        <v>-91.414883973480855</v>
      </c>
    </row>
    <row r="127" spans="1:15" x14ac:dyDescent="0.15">
      <c r="C127" s="53"/>
      <c r="D127" s="1"/>
      <c r="E127" s="1"/>
      <c r="F127" s="1"/>
      <c r="G127" s="1"/>
      <c r="H127" s="1"/>
      <c r="I127" s="1"/>
      <c r="J127" s="58"/>
      <c r="K127" s="1"/>
      <c r="L127" s="1"/>
      <c r="M127" s="1"/>
      <c r="N127" s="59"/>
    </row>
    <row r="128" spans="1:15" x14ac:dyDescent="0.15">
      <c r="A128" t="s">
        <v>100</v>
      </c>
      <c r="C128" s="57" t="s">
        <v>245</v>
      </c>
      <c r="D128" s="1">
        <f>IFERROR(
INDEX('SLCA Raw'!$B$92:$K$111,
MATCH(TRIM($A128),'SLCA Raw'!$M$92:$M$111,0),
MATCH(D$33,'SLCA Raw'!$B$89:$K$89,0)
),"")</f>
        <v>0</v>
      </c>
      <c r="E128" s="1">
        <f>IFERROR(
INDEX('SLCA Raw'!$B$92:$K$111,
MATCH(TRIM($A128),'SLCA Raw'!$M$92:$M$111,0),
MATCH(E$33,'SLCA Raw'!$B$89:$K$89,0)
),"")</f>
        <v>0</v>
      </c>
      <c r="F128" s="1">
        <f>IFERROR(
INDEX('SLCA Raw'!$B$92:$K$111,
MATCH(TRIM($A128),'SLCA Raw'!$M$92:$M$111,0),
MATCH(F$33,'SLCA Raw'!$B$89:$K$89,0)
),"")</f>
        <v>0</v>
      </c>
      <c r="G128" s="1">
        <f>IFERROR(
INDEX('SLCA Raw'!$B$92:$K$111,
MATCH(TRIM($A128),'SLCA Raw'!$M$92:$M$111,0),
MATCH(G$33,'SLCA Raw'!$B$89:$K$89,0)
),"")</f>
        <v>-6.3979999999999997</v>
      </c>
      <c r="H128" s="1">
        <f>IFERROR(
INDEX('SLCA Raw'!$B$92:$K$111,
MATCH(TRIM($A128),'SLCA Raw'!$M$92:$M$111,0),
MATCH(H$33,'SLCA Raw'!$B$89:$K$89,0)
),"")</f>
        <v>-7.2370000000000001</v>
      </c>
      <c r="I128" s="1">
        <f>IFERROR(
INDEX('SLCA Raw'!$B$92:$K$111,
MATCH(TRIM($A128),'SLCA Raw'!$M$92:$M$111,0),
MATCH(I$33,'SLCA Raw'!$B$89:$K$89,0)
),"")</f>
        <v>-8.8629999999999995</v>
      </c>
      <c r="J128" s="71">
        <v>0</v>
      </c>
      <c r="K128" s="33">
        <v>0</v>
      </c>
      <c r="L128" s="33">
        <f ca="1">'[2]Olin Debt'!F$42</f>
        <v>0</v>
      </c>
      <c r="M128" s="33">
        <f ca="1">'[2]Olin Debt'!G$42</f>
        <v>0</v>
      </c>
      <c r="N128" s="72">
        <f ca="1">'[2]Olin Debt'!H$42</f>
        <v>0</v>
      </c>
    </row>
    <row r="129" spans="1:15" x14ac:dyDescent="0.15">
      <c r="A129" t="s">
        <v>101</v>
      </c>
      <c r="C129" s="57" t="s">
        <v>246</v>
      </c>
      <c r="D129" s="1">
        <f>IFERROR(
INDEX('SLCA Raw'!$B$92:$K$111,
MATCH(TRIM($A129),'SLCA Raw'!$M$92:$M$111,0),
MATCH(D$33,'SLCA Raw'!$B$89:$K$89,0)
),"")</f>
        <v>778.01099999999997</v>
      </c>
      <c r="E129" s="1">
        <f>IFERROR(
INDEX('SLCA Raw'!$B$92:$K$111,
MATCH(TRIM($A129),'SLCA Raw'!$M$92:$M$111,0),
MATCH(E$33,'SLCA Raw'!$B$89:$K$89,0)
),"")</f>
        <v>-23.507999999999999</v>
      </c>
      <c r="F129" s="1">
        <f>IFERROR(
INDEX('SLCA Raw'!$B$92:$K$111,
MATCH(TRIM($A129),'SLCA Raw'!$M$92:$M$111,0),
MATCH(F$33,'SLCA Raw'!$B$89:$K$89,0)
),"")</f>
        <v>8.9700000000000006</v>
      </c>
      <c r="G129" s="1">
        <f>IFERROR(
INDEX('SLCA Raw'!$B$92:$K$111,
MATCH(TRIM($A129),'SLCA Raw'!$M$92:$M$111,0),
MATCH(G$33,'SLCA Raw'!$B$89:$K$89,0)
),"")</f>
        <v>-44.939</v>
      </c>
      <c r="H129" s="1">
        <f>IFERROR(
INDEX('SLCA Raw'!$B$92:$K$111,
MATCH(TRIM($A129),'SLCA Raw'!$M$92:$M$111,0),
MATCH(H$33,'SLCA Raw'!$B$89:$K$89,0)
),"")</f>
        <v>-166.65799999999999</v>
      </c>
      <c r="I129" s="1">
        <f>IFERROR(
INDEX('SLCA Raw'!$B$92:$K$111,
MATCH(TRIM($A129),'SLCA Raw'!$M$92:$M$111,0),
MATCH(I$33,'SLCA Raw'!$B$89:$K$89,0)
),"")</f>
        <v>-200.70099999999999</v>
      </c>
      <c r="J129" s="71">
        <v>0</v>
      </c>
      <c r="K129" s="33">
        <v>0</v>
      </c>
      <c r="L129" s="33">
        <v>0</v>
      </c>
      <c r="M129" s="33">
        <v>0</v>
      </c>
      <c r="N129" s="72">
        <v>0</v>
      </c>
    </row>
    <row r="130" spans="1:15" x14ac:dyDescent="0.15">
      <c r="A130" t="s">
        <v>102</v>
      </c>
      <c r="C130" s="57" t="s">
        <v>247</v>
      </c>
      <c r="D130" s="1">
        <f>IFERROR(
INDEX('SLCA Raw'!$B$92:$K$111,
MATCH(TRIM($A130),'SLCA Raw'!$M$92:$M$111,0),
MATCH(D$33,'SLCA Raw'!$B$89:$K$89,0)
),"")</f>
        <v>-148.40799999999999</v>
      </c>
      <c r="E130" s="1">
        <f>IFERROR(
INDEX('SLCA Raw'!$B$92:$K$111,
MATCH(TRIM($A130),'SLCA Raw'!$M$92:$M$111,0),
MATCH(E$33,'SLCA Raw'!$B$89:$K$89,0)
),"")</f>
        <v>0.128</v>
      </c>
      <c r="F130" s="1">
        <f>IFERROR(
INDEX('SLCA Raw'!$B$92:$K$111,
MATCH(TRIM($A130),'SLCA Raw'!$M$92:$M$111,0),
MATCH(F$33,'SLCA Raw'!$B$89:$K$89,0)
),"")</f>
        <v>0</v>
      </c>
      <c r="G130" s="1">
        <f>IFERROR(
INDEX('SLCA Raw'!$B$92:$K$111,
MATCH(TRIM($A130),'SLCA Raw'!$M$92:$M$111,0),
MATCH(G$33,'SLCA Raw'!$B$89:$K$89,0)
),"")</f>
        <v>0.105</v>
      </c>
      <c r="H130" s="1">
        <f>IFERROR(
INDEX('SLCA Raw'!$B$92:$K$111,
MATCH(TRIM($A130),'SLCA Raw'!$M$92:$M$111,0),
MATCH(H$33,'SLCA Raw'!$B$89:$K$89,0)
),"")</f>
        <v>0.95499999999999996</v>
      </c>
      <c r="I130" s="1">
        <f>IFERROR(
INDEX('SLCA Raw'!$B$92:$K$111,
MATCH(TRIM($A130),'SLCA Raw'!$M$92:$M$111,0),
MATCH(I$33,'SLCA Raw'!$B$89:$K$89,0)
),"")</f>
        <v>0</v>
      </c>
      <c r="J130" s="71">
        <v>0</v>
      </c>
      <c r="K130" s="33">
        <v>0</v>
      </c>
      <c r="L130" s="33">
        <v>0</v>
      </c>
      <c r="M130" s="33">
        <v>0</v>
      </c>
      <c r="N130" s="72">
        <v>0</v>
      </c>
      <c r="O130" t="s">
        <v>222</v>
      </c>
    </row>
    <row r="131" spans="1:15" x14ac:dyDescent="0.15">
      <c r="A131" t="s">
        <v>103</v>
      </c>
      <c r="C131" s="57" t="s">
        <v>248</v>
      </c>
      <c r="D131" s="1">
        <f>IFERROR(
INDEX('SLCA Raw'!$B$92:$K$111,
MATCH(TRIM($A131),'SLCA Raw'!$M$92:$M$111,0),
MATCH(D$33,'SLCA Raw'!$B$89:$K$89,0)
),"")</f>
        <v>-19.911999999999999</v>
      </c>
      <c r="E131" s="1">
        <f>IFERROR(
INDEX('SLCA Raw'!$B$92:$K$111,
MATCH(TRIM($A131),'SLCA Raw'!$M$92:$M$111,0),
MATCH(E$33,'SLCA Raw'!$B$89:$K$89,0)
),"")</f>
        <v>-18.591999999999999</v>
      </c>
      <c r="F131" s="1">
        <f>IFERROR(
INDEX('SLCA Raw'!$B$92:$K$111,
MATCH(TRIM($A131),'SLCA Raw'!$M$92:$M$111,0),
MATCH(F$33,'SLCA Raw'!$B$89:$K$89,0)
),"")</f>
        <v>-6.1849999999999996</v>
      </c>
      <c r="G131" s="1">
        <f>IFERROR(
INDEX('SLCA Raw'!$B$92:$K$111,
MATCH(TRIM($A131),'SLCA Raw'!$M$92:$M$111,0),
MATCH(G$33,'SLCA Raw'!$B$89:$K$89,0)
),"")</f>
        <v>-2.5999999999999999E-2</v>
      </c>
      <c r="H131" s="1">
        <f>IFERROR(
INDEX('SLCA Raw'!$B$92:$K$111,
MATCH(TRIM($A131),'SLCA Raw'!$M$92:$M$111,0),
MATCH(H$33,'SLCA Raw'!$B$89:$K$89,0)
),"")</f>
        <v>-0.16400000000000001</v>
      </c>
      <c r="I131" s="1">
        <f>IFERROR(
INDEX('SLCA Raw'!$B$92:$K$111,
MATCH(TRIM($A131),'SLCA Raw'!$M$92:$M$111,0),
MATCH(I$33,'SLCA Raw'!$B$89:$K$89,0)
),"")</f>
        <v>-2.3E-2</v>
      </c>
      <c r="J131" s="71">
        <v>0</v>
      </c>
      <c r="K131" s="33">
        <v>0</v>
      </c>
      <c r="L131" s="33">
        <v>0</v>
      </c>
      <c r="M131" s="33">
        <v>0</v>
      </c>
      <c r="N131" s="72">
        <v>0</v>
      </c>
    </row>
    <row r="132" spans="1:15" x14ac:dyDescent="0.15">
      <c r="A132" t="s">
        <v>104</v>
      </c>
      <c r="C132" s="49" t="s">
        <v>249</v>
      </c>
      <c r="D132" s="51">
        <f>IFERROR(
INDEX('SLCA Raw'!$B$92:$K$111,
MATCH(TRIM($A132),'SLCA Raw'!$M$92:$M$111,0),
MATCH(D$33,'SLCA Raw'!$B$89:$K$89,0)
),"")</f>
        <v>574.10400000000004</v>
      </c>
      <c r="E132" s="51">
        <f>IFERROR(
INDEX('SLCA Raw'!$B$92:$K$111,
MATCH(TRIM($A132),'SLCA Raw'!$M$92:$M$111,0),
MATCH(E$33,'SLCA Raw'!$B$89:$K$89,0)
),"")</f>
        <v>-40.411000000000001</v>
      </c>
      <c r="F132" s="51">
        <f>IFERROR(
INDEX('SLCA Raw'!$B$92:$K$111,
MATCH(TRIM($A132),'SLCA Raw'!$M$92:$M$111,0),
MATCH(F$33,'SLCA Raw'!$B$89:$K$89,0)
),"")</f>
        <v>3.278</v>
      </c>
      <c r="G132" s="51">
        <f>IFERROR(
INDEX('SLCA Raw'!$B$92:$K$111,
MATCH(TRIM($A132),'SLCA Raw'!$M$92:$M$111,0),
MATCH(G$33,'SLCA Raw'!$B$89:$K$89,0)
),"")</f>
        <v>-50.985999999999997</v>
      </c>
      <c r="H132" s="51">
        <f>IFERROR(
INDEX('SLCA Raw'!$B$92:$K$111,
MATCH(TRIM($A132),'SLCA Raw'!$M$92:$M$111,0),
MATCH(H$33,'SLCA Raw'!$B$89:$K$89,0)
),"")</f>
        <v>-170.34299999999999</v>
      </c>
      <c r="I132" s="51">
        <f>IFERROR(
INDEX('SLCA Raw'!$B$92:$K$111,
MATCH(TRIM($A132),'SLCA Raw'!$M$92:$M$111,0),
MATCH(I$33,'SLCA Raw'!$B$89:$K$89,0)
),"")</f>
        <v>-254.27600000000001</v>
      </c>
      <c r="J132" s="50">
        <f t="shared" ref="J132:N132" si="74">SUM(J$128:J$131)</f>
        <v>0</v>
      </c>
      <c r="K132" s="51">
        <f t="shared" si="74"/>
        <v>0</v>
      </c>
      <c r="L132" s="51">
        <f t="shared" ca="1" si="74"/>
        <v>0</v>
      </c>
      <c r="M132" s="51">
        <f t="shared" ca="1" si="74"/>
        <v>0</v>
      </c>
      <c r="N132" s="52">
        <f t="shared" ca="1" si="74"/>
        <v>0</v>
      </c>
    </row>
    <row r="133" spans="1:15" x14ac:dyDescent="0.15">
      <c r="D133" s="1"/>
      <c r="E133" s="1"/>
      <c r="F133" s="1"/>
      <c r="G133" s="1"/>
      <c r="H133" s="1"/>
      <c r="I133" s="1"/>
      <c r="J133" s="58"/>
      <c r="K133" s="1"/>
      <c r="L133" s="1"/>
      <c r="M133" s="1"/>
      <c r="N133" s="59"/>
    </row>
    <row r="134" spans="1:15" x14ac:dyDescent="0.15">
      <c r="A134" t="s">
        <v>105</v>
      </c>
      <c r="C134" t="s">
        <v>105</v>
      </c>
      <c r="D134" s="1">
        <f>IFERROR(
INDEX('SLCA Raw'!$B$92:$K$111,
MATCH(TRIM($A134),'SLCA Raw'!$M$92:$M$111,0),
MATCH(D$33,'SLCA Raw'!$B$89:$K$89,0)
),"")</f>
        <v>0</v>
      </c>
      <c r="E134" s="1">
        <f>IFERROR(
INDEX('SLCA Raw'!$B$92:$K$111,
MATCH(TRIM($A134),'SLCA Raw'!$M$92:$M$111,0),
MATCH(E$33,'SLCA Raw'!$B$89:$K$89,0)
),"")</f>
        <v>0</v>
      </c>
      <c r="F134" s="1">
        <f>IFERROR(
INDEX('SLCA Raw'!$B$92:$K$111,
MATCH(TRIM($A134),'SLCA Raw'!$M$92:$M$111,0),
MATCH(F$33,'SLCA Raw'!$B$89:$K$89,0)
),"")</f>
        <v>0</v>
      </c>
      <c r="G134" s="1">
        <f>IFERROR(
INDEX('SLCA Raw'!$B$92:$K$111,
MATCH(TRIM($A134),'SLCA Raw'!$M$92:$M$111,0),
MATCH(G$33,'SLCA Raw'!$B$89:$K$89,0)
),"")</f>
        <v>0</v>
      </c>
      <c r="H134" s="1">
        <f>IFERROR(
INDEX('SLCA Raw'!$B$92:$K$111,
MATCH(TRIM($A134),'SLCA Raw'!$M$92:$M$111,0),
MATCH(H$33,'SLCA Raw'!$B$89:$K$89,0)
),"")</f>
        <v>0</v>
      </c>
      <c r="I134" s="1">
        <f>IFERROR(
INDEX('SLCA Raw'!$B$92:$K$111,
MATCH(TRIM($A134),'SLCA Raw'!$M$92:$M$111,0),
MATCH(I$33,'SLCA Raw'!$B$89:$K$89,0)
),"")</f>
        <v>0</v>
      </c>
      <c r="J134" s="102">
        <v>0</v>
      </c>
      <c r="K134" s="33">
        <f>$J$134</f>
        <v>0</v>
      </c>
      <c r="L134" s="33">
        <f t="shared" ref="L134:N134" si="75">$J$134</f>
        <v>0</v>
      </c>
      <c r="M134" s="33">
        <f t="shared" si="75"/>
        <v>0</v>
      </c>
      <c r="N134" s="72">
        <f t="shared" si="75"/>
        <v>0</v>
      </c>
    </row>
    <row r="135" spans="1:15" x14ac:dyDescent="0.15">
      <c r="A135" t="s">
        <v>106</v>
      </c>
      <c r="C135" s="49" t="s">
        <v>106</v>
      </c>
      <c r="D135" s="51">
        <f>IFERROR(
INDEX('SLCA Raw'!$B$92:$K$111,
MATCH(TRIM($A135),'SLCA Raw'!$M$92:$M$111,0),
MATCH(D$33,'SLCA Raw'!$B$89:$K$89,0)
),"")</f>
        <v>-182.06899999999999</v>
      </c>
      <c r="E135" s="51">
        <f>IFERROR(
INDEX('SLCA Raw'!$B$92:$K$111,
MATCH(TRIM($A135),'SLCA Raw'!$M$92:$M$111,0),
MATCH(E$33,'SLCA Raw'!$B$89:$K$89,0)
),"")</f>
        <v>-16.757999999999999</v>
      </c>
      <c r="F135" s="51">
        <f>IFERROR(
INDEX('SLCA Raw'!$B$92:$K$111,
MATCH(TRIM($A135),'SLCA Raw'!$M$92:$M$111,0),
MATCH(F$33,'SLCA Raw'!$B$89:$K$89,0)
),"")</f>
        <v>-34.82</v>
      </c>
      <c r="G135" s="51">
        <f>IFERROR(
INDEX('SLCA Raw'!$B$92:$K$111,
MATCH(TRIM($A135),'SLCA Raw'!$M$92:$M$111,0),
MATCH(G$33,'SLCA Raw'!$B$89:$K$89,0)
),"")</f>
        <v>88.504999999999995</v>
      </c>
      <c r="H135" s="51">
        <f>IFERROR(
INDEX('SLCA Raw'!$B$92:$K$111,
MATCH(TRIM($A135),'SLCA Raw'!$M$92:$M$111,0),
MATCH(H$33,'SLCA Raw'!$B$89:$K$89,0)
),"")</f>
        <v>41.42</v>
      </c>
      <c r="I135" s="51">
        <f>IFERROR(
INDEX('SLCA Raw'!$B$92:$K$111,
MATCH(TRIM($A135),'SLCA Raw'!$M$92:$M$111,0),
MATCH(I$33,'SLCA Raw'!$B$89:$K$89,0)
),"")</f>
        <v>-35.128999999999998</v>
      </c>
      <c r="J135" s="50">
        <f>J119+J126+J132+J134</f>
        <v>288.21955671339356</v>
      </c>
      <c r="K135" s="51">
        <f t="shared" ref="K135:N135" si="76">K119+K126+K132+K134</f>
        <v>233.91621571475417</v>
      </c>
      <c r="L135" s="51">
        <f t="shared" ca="1" si="76"/>
        <v>250.97080230868545</v>
      </c>
      <c r="M135" s="51">
        <f t="shared" ca="1" si="76"/>
        <v>247.59452636649235</v>
      </c>
      <c r="N135" s="52">
        <f t="shared" ca="1" si="76"/>
        <v>257.41802640993893</v>
      </c>
    </row>
    <row r="136" spans="1:15" x14ac:dyDescent="0.15">
      <c r="A136" t="s">
        <v>107</v>
      </c>
      <c r="C136" t="s">
        <v>250</v>
      </c>
      <c r="D136" s="1">
        <f>IFERROR(
INDEX('SLCA Raw'!$B$92:$K$111,
MATCH(TRIM($A136),'SLCA Raw'!$M$92:$M$111,0),
MATCH(D$33,'SLCA Raw'!$B$89:$K$89,0)
),"")</f>
        <v>384.56700000000001</v>
      </c>
      <c r="E136" s="1">
        <f>IFERROR(
INDEX('SLCA Raw'!$B$92:$K$111,
MATCH(TRIM($A136),'SLCA Raw'!$M$92:$M$111,0),
MATCH(E$33,'SLCA Raw'!$B$89:$K$89,0)
),"")</f>
        <v>202.49799999999999</v>
      </c>
      <c r="F136" s="1">
        <f>IFERROR(
INDEX('SLCA Raw'!$B$92:$K$111,
MATCH(TRIM($A136),'SLCA Raw'!$M$92:$M$111,0),
MATCH(F$33,'SLCA Raw'!$B$89:$K$89,0)
),"")</f>
        <v>185.74</v>
      </c>
      <c r="G136" s="1">
        <f>IFERROR(
INDEX('SLCA Raw'!$B$92:$K$111,
MATCH(TRIM($A136),'SLCA Raw'!$M$92:$M$111,0),
MATCH(G$33,'SLCA Raw'!$B$89:$K$89,0)
),"")</f>
        <v>150.91999999999999</v>
      </c>
      <c r="H136" s="1">
        <f>IFERROR(
INDEX('SLCA Raw'!$B$92:$K$111,
MATCH(TRIM($A136),'SLCA Raw'!$M$92:$M$111,0),
MATCH(H$33,'SLCA Raw'!$B$89:$K$89,0)
),"")</f>
        <v>239.42500000000001</v>
      </c>
      <c r="I136" s="1">
        <f>IFERROR(
INDEX('SLCA Raw'!$B$92:$K$111,
MATCH(TRIM($A136),'SLCA Raw'!$M$92:$M$111,0),
MATCH(I$33,'SLCA Raw'!$B$89:$K$89,0)
),"")</f>
        <v>280.84500000000003</v>
      </c>
      <c r="J136" s="58">
        <f>I137</f>
        <v>245.71600000000001</v>
      </c>
      <c r="K136" s="1">
        <f t="shared" ref="K136:N136" si="77">J137</f>
        <v>533.93555671339357</v>
      </c>
      <c r="L136" s="1">
        <f t="shared" si="77"/>
        <v>767.8517724281478</v>
      </c>
      <c r="M136" s="1">
        <f t="shared" ca="1" si="77"/>
        <v>1018.8225747368333</v>
      </c>
      <c r="N136" s="59">
        <f t="shared" ca="1" si="77"/>
        <v>1266.4171011033256</v>
      </c>
    </row>
    <row r="137" spans="1:15" ht="14" thickBot="1" x14ac:dyDescent="0.2">
      <c r="A137" t="s">
        <v>108</v>
      </c>
      <c r="C137" s="83" t="s">
        <v>251</v>
      </c>
      <c r="D137" s="85">
        <f>IFERROR(
INDEX('SLCA Raw'!$B$92:$K$111,
MATCH(TRIM($A137),'SLCA Raw'!$M$92:$M$111,0),
MATCH(D$33,'SLCA Raw'!$B$89:$K$89,0)
),"")</f>
        <v>202.49799999999999</v>
      </c>
      <c r="E137" s="85">
        <f>IFERROR(
INDEX('SLCA Raw'!$B$92:$K$111,
MATCH(TRIM($A137),'SLCA Raw'!$M$92:$M$111,0),
MATCH(E$33,'SLCA Raw'!$B$89:$K$89,0)
),"")</f>
        <v>185.74</v>
      </c>
      <c r="F137" s="85">
        <f>IFERROR(
INDEX('SLCA Raw'!$B$92:$K$111,
MATCH(TRIM($A137),'SLCA Raw'!$M$92:$M$111,0),
MATCH(F$33,'SLCA Raw'!$B$89:$K$89,0)
),"")</f>
        <v>150.91999999999999</v>
      </c>
      <c r="G137" s="85">
        <f>IFERROR(
INDEX('SLCA Raw'!$B$92:$K$111,
MATCH(TRIM($A137),'SLCA Raw'!$M$92:$M$111,0),
MATCH(G$33,'SLCA Raw'!$B$89:$K$89,0)
),"")</f>
        <v>239.42500000000001</v>
      </c>
      <c r="H137" s="85">
        <f>IFERROR(
INDEX('SLCA Raw'!$B$92:$K$111,
MATCH(TRIM($A137),'SLCA Raw'!$M$92:$M$111,0),
MATCH(H$33,'SLCA Raw'!$B$89:$K$89,0)
),"")</f>
        <v>280.84500000000003</v>
      </c>
      <c r="I137" s="85">
        <f>IFERROR(
INDEX('SLCA Raw'!$B$92:$K$111,
MATCH(TRIM($A137),'SLCA Raw'!$M$92:$M$111,0),
MATCH(I$33,'SLCA Raw'!$B$89:$K$89,0)
),"")</f>
        <v>245.71600000000001</v>
      </c>
      <c r="J137" s="84">
        <f>J$136+J$135</f>
        <v>533.93555671339357</v>
      </c>
      <c r="K137" s="85">
        <f t="shared" ref="K137:N137" si="78">K$136+K$135</f>
        <v>767.8517724281478</v>
      </c>
      <c r="L137" s="85">
        <f t="shared" ca="1" si="78"/>
        <v>1018.8225747368333</v>
      </c>
      <c r="M137" s="85">
        <f t="shared" ca="1" si="78"/>
        <v>1266.4171011033256</v>
      </c>
      <c r="N137" s="86">
        <f t="shared" ca="1" si="78"/>
        <v>1523.8351275132645</v>
      </c>
    </row>
    <row r="138" spans="1:15" ht="14" thickTop="1" x14ac:dyDescent="0.15">
      <c r="D138" s="1" t="str">
        <f>IFERROR(
INDEX('SLCA Raw'!$B$92:$K$111,
MATCH(TRIM($A138),'SLCA Raw'!$M$92:$M$111,0),
MATCH(D$33,'SLCA Raw'!$B$89:$K$89,0)
),"")</f>
        <v/>
      </c>
      <c r="E138" s="1" t="str">
        <f>IFERROR(
INDEX('SLCA Raw'!$B$92:$K$111,
MATCH(TRIM($A138),'SLCA Raw'!$M$92:$M$111,0),
MATCH(E$33,'SLCA Raw'!$B$89:$K$89,0)
),"")</f>
        <v/>
      </c>
      <c r="F138" s="1" t="str">
        <f>IFERROR(
INDEX('SLCA Raw'!$B$92:$K$111,
MATCH(TRIM($A138),'SLCA Raw'!$M$92:$M$111,0),
MATCH(F$33,'SLCA Raw'!$B$89:$K$89,0)
),"")</f>
        <v/>
      </c>
      <c r="G138" s="1" t="str">
        <f>IFERROR(
INDEX('SLCA Raw'!$B$92:$K$111,
MATCH(TRIM($A138),'SLCA Raw'!$M$92:$M$111,0),
MATCH(G$33,'SLCA Raw'!$B$89:$K$89,0)
),"")</f>
        <v/>
      </c>
      <c r="H138" s="1" t="str">
        <f>IFERROR(
INDEX('SLCA Raw'!$B$92:$K$111,
MATCH(TRIM($A138),'SLCA Raw'!$M$92:$M$111,0),
MATCH(H$33,'SLCA Raw'!$B$89:$K$89,0)
),"")</f>
        <v/>
      </c>
      <c r="I138" s="1" t="str">
        <f>IFERROR(
INDEX('SLCA Raw'!$B$92:$K$111,
MATCH(TRIM($A138),'SLCA Raw'!$M$92:$M$111,0),
MATCH(I$33,'SLCA Raw'!$B$89:$K$89,0)
),"")</f>
        <v/>
      </c>
      <c r="J138" s="58"/>
      <c r="K138" s="1"/>
      <c r="L138" s="1"/>
      <c r="M138" s="1"/>
      <c r="N138" s="59"/>
    </row>
    <row r="139" spans="1:15" x14ac:dyDescent="0.15">
      <c r="A139" t="s">
        <v>116</v>
      </c>
      <c r="C139" t="s">
        <v>116</v>
      </c>
      <c r="D139" s="1" cm="1">
        <f t="array" ref="D139">IFERROR(INDEX('SLCA Raw'!$B$119:$K$165, MATCH(TRIM($A140),'SLCA Raw'!$M$119:$M$165,0) - 1, MATCH(D$33,'SLCA Raw'!$B$116:$K$116,0)),"")</f>
        <v>220.9</v>
      </c>
      <c r="E139" s="1" cm="1">
        <f t="array" ref="E139">IFERROR(INDEX('SLCA Raw'!$B$119:$K$165, MATCH(TRIM($A140),'SLCA Raw'!$M$119:$M$165,0) - 1, MATCH(E$33,'SLCA Raw'!$B$116:$K$116,0)),"")</f>
        <v>59.7</v>
      </c>
      <c r="F139" s="1" cm="1">
        <f t="array" ref="F139">IFERROR(INDEX('SLCA Raw'!$B$119:$K$165, MATCH(TRIM($A140),'SLCA Raw'!$M$119:$M$165,0) - 1, MATCH(F$33,'SLCA Raw'!$B$116:$K$116,0)),"")</f>
        <v>6.1</v>
      </c>
      <c r="G139" s="1" cm="1">
        <f t="array" ref="G139">IFERROR(INDEX('SLCA Raw'!$B$119:$K$165, MATCH(TRIM($A140),'SLCA Raw'!$M$119:$M$165,0) - 1, MATCH(G$33,'SLCA Raw'!$B$116:$K$116,0)),"")</f>
        <v>39.799999999999997</v>
      </c>
      <c r="H139" s="1" cm="1">
        <f t="array" ref="H139">IFERROR(INDEX('SLCA Raw'!$B$119:$K$165, MATCH(TRIM($A140),'SLCA Raw'!$M$119:$M$165,0) - 1, MATCH(H$33,'SLCA Raw'!$B$116:$K$116,0)),"")</f>
        <v>187.6</v>
      </c>
      <c r="I139" s="1" cm="1">
        <f t="array" ref="I139">IFERROR(INDEX('SLCA Raw'!$B$119:$K$165, MATCH(TRIM($A140),'SLCA Raw'!$M$119:$M$165,0) - 1, MATCH(I$33,'SLCA Raw'!$B$116:$K$116,0)),"")</f>
        <v>275.39999999999998</v>
      </c>
      <c r="J139" s="58">
        <f>J$45</f>
        <v>196.77972834721163</v>
      </c>
      <c r="K139" s="1">
        <f t="shared" ref="K139:N139" si="79">K$45</f>
        <v>221.13054247867035</v>
      </c>
      <c r="L139" s="1">
        <f t="shared" si="79"/>
        <v>242.94898908178993</v>
      </c>
      <c r="M139" s="1">
        <f t="shared" si="79"/>
        <v>244.36136910794653</v>
      </c>
      <c r="N139" s="59">
        <f t="shared" si="79"/>
        <v>262.08698328086848</v>
      </c>
    </row>
    <row r="140" spans="1:15" x14ac:dyDescent="0.15">
      <c r="A140" t="s">
        <v>117</v>
      </c>
      <c r="C140" s="53" t="s">
        <v>117</v>
      </c>
      <c r="D140" s="55">
        <f>IFERROR(
INDEX('SLCA Raw'!$B$119:$K$165,
MATCH(TRIM($A140),'SLCA Raw'!$M$119:$M$165,0),
MATCH(D$33,'SLCA Raw'!$B$116:$K$116,0)
),"")</f>
        <v>369.7</v>
      </c>
      <c r="E140" s="55">
        <f>IFERROR(
INDEX('SLCA Raw'!$B$119:$K$165,
MATCH(TRIM($A140),'SLCA Raw'!$M$119:$M$165,0),
MATCH(E$33,'SLCA Raw'!$B$116:$K$116,0)
),"")</f>
        <v>239.2</v>
      </c>
      <c r="F140" s="55">
        <f>IFERROR(
INDEX('SLCA Raw'!$B$119:$K$165,
MATCH(TRIM($A140),'SLCA Raw'!$M$119:$M$165,0),
MATCH(F$33,'SLCA Raw'!$B$116:$K$116,0)
),"")</f>
        <v>161.69999999999999</v>
      </c>
      <c r="G140" s="55">
        <f>IFERROR(
INDEX('SLCA Raw'!$B$119:$K$165,
MATCH(TRIM($A140),'SLCA Raw'!$M$119:$M$165,0),
MATCH(G$33,'SLCA Raw'!$B$116:$K$116,0)
),"")</f>
        <v>201</v>
      </c>
      <c r="H140" s="55">
        <f>IFERROR(
INDEX('SLCA Raw'!$B$119:$K$165,
MATCH(TRIM($A140),'SLCA Raw'!$M$119:$M$165,0),
MATCH(H$33,'SLCA Raw'!$B$116:$K$116,0)
),"")</f>
        <v>327.7</v>
      </c>
      <c r="I140" s="55">
        <f>IFERROR(
INDEX('SLCA Raw'!$B$119:$K$165,
MATCH(TRIM($A140),'SLCA Raw'!$M$119:$M$165,0),
MATCH(I$33,'SLCA Raw'!$B$116:$K$116,0)
),"")</f>
        <v>412.6</v>
      </c>
      <c r="J140" s="54">
        <f>J$45+J$114</f>
        <v>343.01306168054498</v>
      </c>
      <c r="K140" s="55">
        <f>K$45+K$114</f>
        <v>367.3638758120037</v>
      </c>
      <c r="L140" s="55">
        <f>L$45+L$114</f>
        <v>389.18232241512328</v>
      </c>
      <c r="M140" s="55">
        <f>M$45+M$114</f>
        <v>390.59470244127988</v>
      </c>
      <c r="N140" s="56">
        <f>N$45+N$114</f>
        <v>408.32031661420183</v>
      </c>
    </row>
    <row r="141" spans="1:15" x14ac:dyDescent="0.15">
      <c r="A141" t="s">
        <v>127</v>
      </c>
      <c r="C141" t="s">
        <v>127</v>
      </c>
      <c r="D141" s="1">
        <f>IFERROR(
INDEX('SLCA Raw'!$B$119:$K$165,
MATCH(TRIM($A141),'SLCA Raw'!$M$119:$M$165,0),
MATCH(D$33,'SLCA Raw'!$B$116:$K$116,0)
),"")</f>
        <v>1064.7</v>
      </c>
      <c r="E141" s="1">
        <f>IFERROR(
INDEX('SLCA Raw'!$B$119:$K$165,
MATCH(TRIM($A141),'SLCA Raw'!$M$119:$M$165,0),
MATCH(E$33,'SLCA Raw'!$B$116:$K$116,0)
),"")</f>
        <v>1058.0999999999999</v>
      </c>
      <c r="F141" s="1">
        <f>IFERROR(
INDEX('SLCA Raw'!$B$119:$K$165,
MATCH(TRIM($A141),'SLCA Raw'!$M$119:$M$165,0),
MATCH(F$33,'SLCA Raw'!$B$116:$K$116,0)
),"")</f>
        <v>1100.3</v>
      </c>
      <c r="G141" s="1">
        <f>IFERROR(
INDEX('SLCA Raw'!$B$119:$K$165,
MATCH(TRIM($A141),'SLCA Raw'!$M$119:$M$165,0),
MATCH(G$33,'SLCA Raw'!$B$116:$K$116,0)
),"")</f>
        <v>981.9</v>
      </c>
      <c r="H141" s="1">
        <f>IFERROR(
INDEX('SLCA Raw'!$B$119:$K$165,
MATCH(TRIM($A141),'SLCA Raw'!$M$119:$M$165,0),
MATCH(H$33,'SLCA Raw'!$B$116:$K$116,0)
),"")</f>
        <v>784.2</v>
      </c>
      <c r="I141" s="1">
        <f>IFERROR(
INDEX('SLCA Raw'!$B$119:$K$165,
MATCH(TRIM($A141),'SLCA Raw'!$M$119:$M$165,0),
MATCH(I$33,'SLCA Raw'!$B$116:$K$116,0)
),"")</f>
        <v>600.5</v>
      </c>
      <c r="J141" s="71">
        <v>622</v>
      </c>
      <c r="K141" s="33">
        <f>J141</f>
        <v>622</v>
      </c>
      <c r="L141" s="33">
        <f t="shared" ref="L141:N141" si="80">K141</f>
        <v>622</v>
      </c>
      <c r="M141" s="33">
        <f t="shared" si="80"/>
        <v>622</v>
      </c>
      <c r="N141" s="72">
        <f t="shared" si="80"/>
        <v>622</v>
      </c>
    </row>
    <row r="142" spans="1:15" x14ac:dyDescent="0.15">
      <c r="A142" t="s">
        <v>150</v>
      </c>
      <c r="C142" s="53" t="s">
        <v>252</v>
      </c>
      <c r="D142" s="55">
        <f>IFERROR(
INDEX('SLCA Raw'!$B$119:$K$165,
MATCH(TRIM($A142),'SLCA Raw'!$M$119:$M$165,0),
MATCH(D$33,'SLCA Raw'!$B$116:$K$116,0)
),"")</f>
        <v>-39.155000000000001</v>
      </c>
      <c r="E142" s="55">
        <f>IFERROR(
INDEX('SLCA Raw'!$B$119:$K$165,
MATCH(TRIM($A142),'SLCA Raw'!$M$119:$M$165,0),
MATCH(E$33,'SLCA Raw'!$B$116:$K$116,0)
),"")</f>
        <v>21.757000000000001</v>
      </c>
      <c r="F142" s="55">
        <f>IFERROR(
INDEX('SLCA Raw'!$B$119:$K$165,
MATCH(TRIM($A142),'SLCA Raw'!$M$119:$M$165,0),
MATCH(F$33,'SLCA Raw'!$B$116:$K$116,0)
),"")</f>
        <v>-45.451000000000001</v>
      </c>
      <c r="G142" s="55">
        <f>IFERROR(
INDEX('SLCA Raw'!$B$119:$K$165,
MATCH(TRIM($A142),'SLCA Raw'!$M$119:$M$165,0),
MATCH(G$33,'SLCA Raw'!$B$116:$K$116,0)
),"")</f>
        <v>138.83000000000001</v>
      </c>
      <c r="H142" s="55">
        <f>IFERROR(
INDEX('SLCA Raw'!$B$119:$K$165,
MATCH(TRIM($A142),'SLCA Raw'!$M$119:$M$165,0),
MATCH(H$33,'SLCA Raw'!$B$116:$K$116,0)
),"")</f>
        <v>209.154</v>
      </c>
      <c r="I142" s="55">
        <f>IFERROR(
INDEX('SLCA Raw'!$B$119:$K$165,
MATCH(TRIM($A142),'SLCA Raw'!$M$119:$M$165,0),
MATCH(I$33,'SLCA Raw'!$B$116:$K$116,0)
),"")</f>
        <v>198.398</v>
      </c>
      <c r="J142" s="99">
        <f>J$119+J$121</f>
        <v>288.21955671339356</v>
      </c>
      <c r="K142" s="100">
        <f t="shared" ref="K142:N142" si="81">K$119+K$121</f>
        <v>233.91621571475417</v>
      </c>
      <c r="L142" s="100">
        <f t="shared" si="81"/>
        <v>250.97080230868545</v>
      </c>
      <c r="M142" s="100">
        <f t="shared" si="81"/>
        <v>247.59452636649235</v>
      </c>
      <c r="N142" s="101">
        <f t="shared" si="81"/>
        <v>257.41802640993893</v>
      </c>
    </row>
    <row r="147" spans="11:11" x14ac:dyDescent="0.15">
      <c r="K147" s="53"/>
    </row>
  </sheetData>
  <mergeCells count="14">
    <mergeCell ref="C60:N60"/>
    <mergeCell ref="D61:I61"/>
    <mergeCell ref="J61:N61"/>
    <mergeCell ref="C3:N3"/>
    <mergeCell ref="D4:I4"/>
    <mergeCell ref="J4:N4"/>
    <mergeCell ref="C31:N31"/>
    <mergeCell ref="D32:I32"/>
    <mergeCell ref="J32:N32"/>
    <mergeCell ref="J106:N106"/>
    <mergeCell ref="C109:N109"/>
    <mergeCell ref="D110:I110"/>
    <mergeCell ref="J110:N110"/>
    <mergeCell ref="D118:I118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9702-6B75-DD43-A791-EF163EC60223}">
  <dimension ref="A1:V77"/>
  <sheetViews>
    <sheetView showGridLines="0" zoomScale="90" workbookViewId="0"/>
  </sheetViews>
  <sheetFormatPr baseColWidth="10" defaultRowHeight="13" x14ac:dyDescent="0.15"/>
  <cols>
    <col min="2" max="2" width="26.33203125" customWidth="1"/>
    <col min="3" max="15" width="10.5" customWidth="1"/>
    <col min="17" max="17" width="22.83203125" customWidth="1"/>
  </cols>
  <sheetData>
    <row r="1" spans="1:15" x14ac:dyDescent="0.15">
      <c r="A1" s="3" t="str">
        <f>HYPERLINK("#'Table of Contents'!A1", "&lt;---------")</f>
        <v>&lt;---------</v>
      </c>
    </row>
    <row r="3" spans="1:15" s="113" customFormat="1" ht="18" x14ac:dyDescent="0.2">
      <c r="B3" s="114" t="s">
        <v>495</v>
      </c>
      <c r="C3"/>
      <c r="D3"/>
      <c r="E3"/>
      <c r="F3"/>
      <c r="G3"/>
      <c r="H3"/>
      <c r="I3"/>
      <c r="J3"/>
      <c r="K3"/>
      <c r="L3"/>
      <c r="M3"/>
    </row>
    <row r="4" spans="1:15" ht="16" x14ac:dyDescent="0.15">
      <c r="B4" s="104" t="s">
        <v>263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</row>
    <row r="5" spans="1:15" x14ac:dyDescent="0.15">
      <c r="C5" s="282" t="s">
        <v>359</v>
      </c>
      <c r="D5" s="282"/>
      <c r="E5" s="282"/>
      <c r="F5" s="282"/>
      <c r="G5" s="282"/>
      <c r="H5" s="282"/>
      <c r="I5" s="281" t="s">
        <v>358</v>
      </c>
      <c r="J5" s="265"/>
      <c r="K5" s="265"/>
      <c r="L5" s="265"/>
      <c r="M5" s="266"/>
    </row>
    <row r="6" spans="1:15" x14ac:dyDescent="0.15">
      <c r="C6" s="7">
        <v>43465</v>
      </c>
      <c r="D6" s="224">
        <f>EDATE(C6,12)</f>
        <v>43830</v>
      </c>
      <c r="E6" s="7">
        <f t="shared" ref="E6:M6" si="0">EDATE(D6,12)</f>
        <v>44196</v>
      </c>
      <c r="F6" s="7">
        <f t="shared" si="0"/>
        <v>44561</v>
      </c>
      <c r="G6" s="7">
        <f t="shared" si="0"/>
        <v>44926</v>
      </c>
      <c r="H6" s="7">
        <f t="shared" si="0"/>
        <v>45291</v>
      </c>
      <c r="I6" s="8">
        <f t="shared" si="0"/>
        <v>45657</v>
      </c>
      <c r="J6" s="7">
        <f t="shared" si="0"/>
        <v>46022</v>
      </c>
      <c r="K6" s="7">
        <f t="shared" si="0"/>
        <v>46387</v>
      </c>
      <c r="L6" s="7">
        <f t="shared" si="0"/>
        <v>46752</v>
      </c>
      <c r="M6" s="9">
        <f t="shared" si="0"/>
        <v>47118</v>
      </c>
      <c r="N6" s="2"/>
      <c r="O6" s="2"/>
    </row>
    <row r="7" spans="1:15" x14ac:dyDescent="0.15">
      <c r="B7" t="s">
        <v>351</v>
      </c>
      <c r="C7" s="109">
        <f>'Revenue Build'!C15/1000</f>
        <v>357.846</v>
      </c>
      <c r="D7" s="109">
        <f>'Revenue Build'!D15/1000</f>
        <v>248.59399999999999</v>
      </c>
      <c r="E7" s="109">
        <f>'Revenue Build'!E15/1000</f>
        <v>142.041</v>
      </c>
      <c r="F7" s="109">
        <f>'Revenue Build'!F15/1000</f>
        <v>160.05199999999999</v>
      </c>
      <c r="G7" s="109">
        <f>'Revenue Build'!G15/1000</f>
        <v>301.83699999999999</v>
      </c>
      <c r="H7" s="109">
        <f>'Revenue Build'!H15/1000</f>
        <v>361.99799999999999</v>
      </c>
      <c r="I7" s="148">
        <f>'Revenue Build'!I15/1000</f>
        <v>337.11791356800006</v>
      </c>
      <c r="J7" s="109">
        <f>'Revenue Build'!J15/1000</f>
        <v>333.27954282015378</v>
      </c>
      <c r="K7" s="109">
        <f>'Revenue Build'!K15/1000</f>
        <v>328.61587508979966</v>
      </c>
      <c r="L7" s="109">
        <f>'Revenue Build'!L15/1000</f>
        <v>326.39275384648118</v>
      </c>
      <c r="M7" s="119">
        <f>'Revenue Build'!M15/1000</f>
        <v>325.72169343161966</v>
      </c>
      <c r="N7" s="109"/>
      <c r="O7" s="109"/>
    </row>
    <row r="8" spans="1:15" x14ac:dyDescent="0.15">
      <c r="C8" s="109"/>
      <c r="D8" s="109"/>
      <c r="E8" s="109"/>
      <c r="F8" s="109"/>
      <c r="G8" s="109"/>
      <c r="H8" s="109"/>
      <c r="I8" s="148"/>
      <c r="J8" s="109"/>
      <c r="K8" s="109"/>
      <c r="L8" s="109"/>
      <c r="M8" s="119"/>
      <c r="N8" s="109"/>
      <c r="O8" s="109"/>
    </row>
    <row r="9" spans="1:15" x14ac:dyDescent="0.15">
      <c r="B9" t="s">
        <v>352</v>
      </c>
      <c r="C9" s="23">
        <f>'Revenue Build'!C20*(SUM('SLCA Financials (memo)'!D39:D40)+SUM('SLCA Financials (memo)'!D42:D43))</f>
        <v>321.65800829076051</v>
      </c>
      <c r="D9" s="23">
        <f>'Revenue Build'!D20*(SUM('SLCA Financials (memo)'!E39:E40)+SUM('SLCA Financials (memo)'!E42:E43))</f>
        <v>352.7098839846264</v>
      </c>
      <c r="E9" s="23">
        <f>'Revenue Build'!E20*(SUM('SLCA Financials (memo)'!F39:F40)+SUM('SLCA Financials (memo)'!F42:F43))</f>
        <v>128.22305495782521</v>
      </c>
      <c r="F9" s="23">
        <f>'Revenue Build'!F20*(SUM('SLCA Financials (memo)'!G39:G40)+SUM('SLCA Financials (memo)'!G42:G43))</f>
        <v>85.309662403216279</v>
      </c>
      <c r="G9" s="23">
        <f>'Revenue Build'!G20*(SUM('SLCA Financials (memo)'!H39:H40)+SUM('SLCA Financials (memo)'!H42:H43))</f>
        <v>115.0194205135636</v>
      </c>
      <c r="H9" s="23">
        <f>'Revenue Build'!H20*(SUM('SLCA Financials (memo)'!I39:I40)+SUM('SLCA Financials (memo)'!I42:I43))</f>
        <v>105.66915599134548</v>
      </c>
      <c r="I9" s="74">
        <f>'Revenue Build'!I20*(SUM('SLCA Financials (memo)'!J39:J40)+SUM('SLCA Financials (memo)'!J42:J43))</f>
        <v>122.52394867718628</v>
      </c>
      <c r="J9" s="23">
        <f>'Revenue Build'!J20*(SUM('SLCA Financials (memo)'!K39:K40)+SUM('SLCA Financials (memo)'!K42:K43))</f>
        <v>126.22417192723732</v>
      </c>
      <c r="K9" s="23">
        <f>'Revenue Build'!K20*(SUM('SLCA Financials (memo)'!L39:L40)+SUM('SLCA Financials (memo)'!L42:L43))</f>
        <v>130.03614191943987</v>
      </c>
      <c r="L9" s="23">
        <f>'Revenue Build'!L20*(SUM('SLCA Financials (memo)'!M39:M40)+SUM('SLCA Financials (memo)'!M42:M43))</f>
        <v>134.36114399968042</v>
      </c>
      <c r="M9" s="75">
        <f>'Revenue Build'!M20*(SUM('SLCA Financials (memo)'!N39:N40)+SUM('SLCA Financials (memo)'!N42:N43))</f>
        <v>139.10409238286911</v>
      </c>
      <c r="N9" s="23" t="s">
        <v>362</v>
      </c>
      <c r="O9" s="23"/>
    </row>
    <row r="10" spans="1:15" x14ac:dyDescent="0.15">
      <c r="C10" s="1"/>
      <c r="D10" s="23"/>
      <c r="E10" s="23"/>
      <c r="F10" s="23"/>
      <c r="G10" s="23"/>
      <c r="H10" s="23"/>
      <c r="I10" s="74"/>
      <c r="J10" s="23"/>
      <c r="K10" s="23"/>
      <c r="L10" s="23"/>
      <c r="M10" s="75"/>
      <c r="N10" s="23"/>
      <c r="O10" s="23"/>
    </row>
    <row r="11" spans="1:15" x14ac:dyDescent="0.15">
      <c r="B11" s="53" t="s">
        <v>350</v>
      </c>
      <c r="C11" s="164">
        <f t="shared" ref="C11:M11" si="1">C7-C9</f>
        <v>36.187991709239498</v>
      </c>
      <c r="D11" s="164">
        <f t="shared" si="1"/>
        <v>-104.11588398462641</v>
      </c>
      <c r="E11" s="164">
        <f t="shared" si="1"/>
        <v>13.817945042174784</v>
      </c>
      <c r="F11" s="164">
        <f t="shared" si="1"/>
        <v>74.742337596783713</v>
      </c>
      <c r="G11" s="164">
        <f t="shared" si="1"/>
        <v>186.81757948643639</v>
      </c>
      <c r="H11" s="164">
        <f t="shared" si="1"/>
        <v>256.32884400865453</v>
      </c>
      <c r="I11" s="215">
        <f t="shared" si="1"/>
        <v>214.59396489081377</v>
      </c>
      <c r="J11" s="164">
        <f t="shared" si="1"/>
        <v>207.05537089291647</v>
      </c>
      <c r="K11" s="164">
        <f t="shared" si="1"/>
        <v>198.57973317035979</v>
      </c>
      <c r="L11" s="164">
        <f t="shared" si="1"/>
        <v>192.03160984680076</v>
      </c>
      <c r="M11" s="216">
        <f t="shared" si="1"/>
        <v>186.61760104875054</v>
      </c>
      <c r="N11" s="108"/>
      <c r="O11" s="108"/>
    </row>
    <row r="12" spans="1:15" x14ac:dyDescent="0.15">
      <c r="I12" s="60"/>
      <c r="M12" s="61"/>
    </row>
    <row r="13" spans="1:15" x14ac:dyDescent="0.15">
      <c r="B13" t="s">
        <v>185</v>
      </c>
      <c r="C13" s="62">
        <v>102.7</v>
      </c>
      <c r="D13" s="62">
        <v>123.8</v>
      </c>
      <c r="E13" s="62">
        <v>107.3</v>
      </c>
      <c r="F13" s="62">
        <v>111.2</v>
      </c>
      <c r="G13" s="62">
        <v>96.7</v>
      </c>
      <c r="H13" s="62">
        <v>94.7</v>
      </c>
      <c r="I13" s="154">
        <f>AVERAGE($F$13:$H$13)</f>
        <v>100.86666666666667</v>
      </c>
      <c r="J13" s="111">
        <f t="shared" ref="J13:M13" si="2">AVERAGE($F$13:$H$13)</f>
        <v>100.86666666666667</v>
      </c>
      <c r="K13" s="111">
        <f t="shared" si="2"/>
        <v>100.86666666666667</v>
      </c>
      <c r="L13" s="111">
        <f t="shared" si="2"/>
        <v>100.86666666666667</v>
      </c>
      <c r="M13" s="127">
        <f t="shared" si="2"/>
        <v>100.86666666666667</v>
      </c>
      <c r="N13" t="s">
        <v>362</v>
      </c>
    </row>
    <row r="14" spans="1:15" x14ac:dyDescent="0.15">
      <c r="I14" s="60"/>
      <c r="M14" s="61"/>
    </row>
    <row r="15" spans="1:15" x14ac:dyDescent="0.15">
      <c r="B15" t="s">
        <v>349</v>
      </c>
      <c r="C15" s="108">
        <f t="shared" ref="C15:M15" si="3">C11-C13</f>
        <v>-66.512008290760505</v>
      </c>
      <c r="D15" s="108">
        <f t="shared" si="3"/>
        <v>-227.91588398462642</v>
      </c>
      <c r="E15" s="108">
        <f t="shared" si="3"/>
        <v>-93.482054957825213</v>
      </c>
      <c r="F15" s="108">
        <f t="shared" si="3"/>
        <v>-36.45766240321629</v>
      </c>
      <c r="G15" s="108">
        <f t="shared" si="3"/>
        <v>90.117579486436384</v>
      </c>
      <c r="H15" s="108">
        <f t="shared" si="3"/>
        <v>161.62884400865454</v>
      </c>
      <c r="I15" s="156">
        <f t="shared" si="3"/>
        <v>113.72729822414709</v>
      </c>
      <c r="J15" s="108">
        <f t="shared" si="3"/>
        <v>106.1887042262498</v>
      </c>
      <c r="K15" s="108">
        <f t="shared" si="3"/>
        <v>97.713066503693113</v>
      </c>
      <c r="L15" s="108">
        <f t="shared" si="3"/>
        <v>91.164943180134088</v>
      </c>
      <c r="M15" s="143">
        <f t="shared" si="3"/>
        <v>85.750934382083869</v>
      </c>
      <c r="N15" s="108"/>
      <c r="O15" s="108"/>
    </row>
    <row r="16" spans="1:15" x14ac:dyDescent="0.15">
      <c r="D16" s="108"/>
      <c r="E16" s="108"/>
      <c r="F16" s="108"/>
      <c r="G16" s="108"/>
      <c r="H16" s="108"/>
      <c r="I16" s="156"/>
      <c r="J16" s="108"/>
      <c r="K16" s="108"/>
      <c r="L16" s="108"/>
      <c r="M16" s="143"/>
      <c r="N16" s="108"/>
      <c r="O16" s="108"/>
    </row>
    <row r="17" spans="2:20" x14ac:dyDescent="0.15">
      <c r="B17" t="s">
        <v>419</v>
      </c>
      <c r="C17" s="108"/>
      <c r="D17" s="108"/>
      <c r="E17" s="108"/>
      <c r="F17" s="108"/>
      <c r="G17" s="108"/>
      <c r="H17" s="108"/>
      <c r="I17" s="156"/>
      <c r="J17" s="108"/>
      <c r="K17" s="108"/>
      <c r="L17" s="108"/>
      <c r="M17" s="143"/>
      <c r="N17" s="108"/>
      <c r="O17" s="108"/>
    </row>
    <row r="18" spans="2:20" x14ac:dyDescent="0.15">
      <c r="B18" t="s">
        <v>418</v>
      </c>
      <c r="C18" s="108"/>
      <c r="D18" s="108"/>
      <c r="E18" s="108"/>
      <c r="F18" s="108"/>
      <c r="G18" s="108"/>
      <c r="H18" s="108"/>
      <c r="I18" s="156"/>
      <c r="J18" s="108"/>
      <c r="K18" s="108"/>
      <c r="L18" s="108"/>
      <c r="M18" s="143"/>
      <c r="N18" s="108"/>
      <c r="O18" s="108"/>
    </row>
    <row r="19" spans="2:20" x14ac:dyDescent="0.15">
      <c r="I19" s="60"/>
      <c r="M19" s="61"/>
    </row>
    <row r="20" spans="2:20" x14ac:dyDescent="0.15">
      <c r="B20" t="s">
        <v>353</v>
      </c>
      <c r="C20" s="108">
        <f>MAX(0,C15*'SLCA Financials (memo)'!D28)</f>
        <v>0</v>
      </c>
      <c r="D20" s="108">
        <f>MAX(0,D15*'SLCA Financials (memo)'!E28)</f>
        <v>0</v>
      </c>
      <c r="E20" s="108">
        <f>MAX(0,E15*'SLCA Financials (memo)'!F28)</f>
        <v>0</v>
      </c>
      <c r="F20" s="108">
        <f>MAX(0,F15*'SLCA Financials (memo)'!G28)</f>
        <v>0</v>
      </c>
      <c r="G20" s="108">
        <f>MAX(0,G15*'SLCA Financials (memo)'!H28)</f>
        <v>23.881158563905643</v>
      </c>
      <c r="H20" s="108">
        <f>MAX(0,H15*'SLCA Financials (memo)'!I28)</f>
        <v>42.831643662293452</v>
      </c>
      <c r="I20" s="156">
        <f>MAX(0,I15*'SLCA Financials (memo)'!J28)</f>
        <v>30.137734029398981</v>
      </c>
      <c r="J20" s="108">
        <f>MAX(0,J15*'SLCA Financials (memo)'!K28)</f>
        <v>28.140006619956196</v>
      </c>
      <c r="K20" s="108">
        <f>MAX(0,K15*'SLCA Financials (memo)'!L28)</f>
        <v>25.893962623478675</v>
      </c>
      <c r="L20" s="108">
        <f>MAX(0,L15*'SLCA Financials (memo)'!M28)</f>
        <v>24.158709942735534</v>
      </c>
      <c r="M20" s="143">
        <f>MAX(0,M15*'SLCA Financials (memo)'!N28)</f>
        <v>22.723997611252226</v>
      </c>
    </row>
    <row r="21" spans="2:20" x14ac:dyDescent="0.15">
      <c r="B21" t="s">
        <v>360</v>
      </c>
      <c r="C21" s="108">
        <f>C13</f>
        <v>102.7</v>
      </c>
      <c r="D21" s="108">
        <f t="shared" ref="D21:M21" si="4">D13</f>
        <v>123.8</v>
      </c>
      <c r="E21" s="108">
        <f t="shared" si="4"/>
        <v>107.3</v>
      </c>
      <c r="F21" s="108">
        <f t="shared" si="4"/>
        <v>111.2</v>
      </c>
      <c r="G21" s="108">
        <f t="shared" si="4"/>
        <v>96.7</v>
      </c>
      <c r="H21" s="108">
        <f t="shared" si="4"/>
        <v>94.7</v>
      </c>
      <c r="I21" s="156">
        <f t="shared" si="4"/>
        <v>100.86666666666667</v>
      </c>
      <c r="J21" s="108">
        <f t="shared" si="4"/>
        <v>100.86666666666667</v>
      </c>
      <c r="K21" s="108">
        <f t="shared" si="4"/>
        <v>100.86666666666667</v>
      </c>
      <c r="L21" s="108">
        <f t="shared" si="4"/>
        <v>100.86666666666667</v>
      </c>
      <c r="M21" s="143">
        <f t="shared" si="4"/>
        <v>100.86666666666667</v>
      </c>
    </row>
    <row r="22" spans="2:20" x14ac:dyDescent="0.15">
      <c r="B22" t="s">
        <v>354</v>
      </c>
      <c r="C22" s="62">
        <v>150.4</v>
      </c>
      <c r="D22" s="62">
        <v>52.4</v>
      </c>
      <c r="E22" s="62">
        <v>15.3</v>
      </c>
      <c r="F22" s="62">
        <v>13.4</v>
      </c>
      <c r="G22" s="62">
        <v>23.5</v>
      </c>
      <c r="H22" s="62">
        <v>28.8</v>
      </c>
      <c r="I22" s="154">
        <f>CHOOSE('Main Page &amp; Assumptions'!$D$5,'Main Page &amp; Assumptions'!E17,'Main Page &amp; Assumptions'!J17,'Main Page &amp; Assumptions'!O17)*'Revenue Build'!I7*('Main Page &amp; Assumptions'!$D$22)/1000</f>
        <v>40.115602348199999</v>
      </c>
      <c r="J22" s="111">
        <f>CHOOSE('Main Page &amp; Assumptions'!$D$5,'Main Page &amp; Assumptions'!F17,'Main Page &amp; Assumptions'!K17,'Main Page &amp; Assumptions'!P17)*'Revenue Build'!J7*('Main Page &amp; Assumptions'!$D$22)/1000</f>
        <v>41.445471482533087</v>
      </c>
      <c r="K22" s="111">
        <f>CHOOSE('Main Page &amp; Assumptions'!$D$5,'Main Page &amp; Assumptions'!G17,'Main Page &amp; Assumptions'!L17,'Main Page &amp; Assumptions'!Q17)*'Revenue Build'!K7*('Main Page &amp; Assumptions'!$D$22)/1000</f>
        <v>42.77394904713492</v>
      </c>
      <c r="L22" s="111">
        <f>CHOOSE('Main Page &amp; Assumptions'!$D$5,'Main Page &amp; Assumptions'!H17,'Main Page &amp; Assumptions'!M17,'Main Page &amp; Assumptions'!R17)*'Revenue Build'!L7*('Main Page &amp; Assumptions'!$D$22)/1000</f>
        <v>44.196610592442617</v>
      </c>
      <c r="M22" s="127">
        <f>CHOOSE('Main Page &amp; Assumptions'!$D$5,'Main Page &amp; Assumptions'!I17,'Main Page &amp; Assumptions'!N17,'Main Page &amp; Assumptions'!S17)*'Revenue Build'!M7*('Main Page &amp; Assumptions'!$D$22)/1000</f>
        <v>45.707441986740427</v>
      </c>
      <c r="N22" t="s">
        <v>362</v>
      </c>
    </row>
    <row r="23" spans="2:20" x14ac:dyDescent="0.15">
      <c r="B23" s="70" t="s">
        <v>356</v>
      </c>
      <c r="C23" s="162">
        <v>119.5</v>
      </c>
      <c r="D23" s="162">
        <v>34.9</v>
      </c>
      <c r="E23" s="162">
        <v>92.9</v>
      </c>
      <c r="F23" s="162">
        <v>82.5</v>
      </c>
      <c r="G23" s="162">
        <v>88.6</v>
      </c>
      <c r="H23" s="162">
        <v>120.3</v>
      </c>
      <c r="I23" s="225">
        <f>0.00012*'Revenue Build'!I12</f>
        <v>122.92080690816</v>
      </c>
      <c r="J23" s="226">
        <f>0.00012*'Revenue Build'!J12</f>
        <v>126.63301527678645</v>
      </c>
      <c r="K23" s="226">
        <f>0.00012*'Revenue Build'!K12</f>
        <v>130.45733233814539</v>
      </c>
      <c r="L23" s="226">
        <f>0.00012*'Revenue Build'!L12</f>
        <v>134.79634321171207</v>
      </c>
      <c r="M23" s="227">
        <f>0.00012*'Revenue Build'!M12</f>
        <v>139.55465412708548</v>
      </c>
      <c r="N23" t="s">
        <v>362</v>
      </c>
    </row>
    <row r="24" spans="2:20" x14ac:dyDescent="0.15">
      <c r="B24" t="s">
        <v>357</v>
      </c>
      <c r="C24" s="62"/>
      <c r="D24" s="163">
        <f>D23-C23</f>
        <v>-84.6</v>
      </c>
      <c r="E24" s="163">
        <f t="shared" ref="E24:M24" si="5">E23-D23</f>
        <v>58.000000000000007</v>
      </c>
      <c r="F24" s="163">
        <f t="shared" si="5"/>
        <v>-10.400000000000006</v>
      </c>
      <c r="G24" s="163">
        <f t="shared" si="5"/>
        <v>6.0999999999999943</v>
      </c>
      <c r="H24" s="163">
        <f t="shared" si="5"/>
        <v>31.700000000000003</v>
      </c>
      <c r="I24" s="234">
        <f t="shared" si="5"/>
        <v>2.6208069081600058</v>
      </c>
      <c r="J24" s="235">
        <f t="shared" si="5"/>
        <v>3.7122083686264489</v>
      </c>
      <c r="K24" s="235">
        <f t="shared" si="5"/>
        <v>3.8243170613589399</v>
      </c>
      <c r="L24" s="235">
        <f t="shared" si="5"/>
        <v>4.3390108735666786</v>
      </c>
      <c r="M24" s="236">
        <f t="shared" si="5"/>
        <v>4.7583109153734142</v>
      </c>
      <c r="Q24" s="206"/>
    </row>
    <row r="25" spans="2:20" x14ac:dyDescent="0.15">
      <c r="I25" s="60"/>
      <c r="M25" s="61"/>
    </row>
    <row r="26" spans="2:20" ht="14" thickBot="1" x14ac:dyDescent="0.2">
      <c r="B26" s="83" t="s">
        <v>355</v>
      </c>
      <c r="C26" s="166"/>
      <c r="D26" s="166">
        <f t="shared" ref="D26:H26" si="6">D15-D20-D22-D24</f>
        <v>-195.7158839846264</v>
      </c>
      <c r="E26" s="166">
        <f t="shared" si="6"/>
        <v>-166.78205495782521</v>
      </c>
      <c r="F26" s="166">
        <f t="shared" si="6"/>
        <v>-39.457662403216283</v>
      </c>
      <c r="G26" s="166">
        <f t="shared" si="6"/>
        <v>36.636420922530746</v>
      </c>
      <c r="H26" s="166">
        <f t="shared" si="6"/>
        <v>58.29720034636108</v>
      </c>
      <c r="I26" s="223">
        <f>I15-I20-I22-I24+I21</f>
        <v>141.71982160505479</v>
      </c>
      <c r="J26" s="166">
        <f t="shared" ref="J26:M26" si="7">J15-J20-J22-J24+J21</f>
        <v>133.75768442180075</v>
      </c>
      <c r="K26" s="166">
        <f t="shared" si="7"/>
        <v>126.08750443838726</v>
      </c>
      <c r="L26" s="166">
        <f t="shared" si="7"/>
        <v>119.33727843805593</v>
      </c>
      <c r="M26" s="222">
        <f t="shared" si="7"/>
        <v>113.42785053538447</v>
      </c>
    </row>
    <row r="27" spans="2:20" ht="14" thickTop="1" x14ac:dyDescent="0.15">
      <c r="P27" s="161"/>
      <c r="Q27" s="161"/>
      <c r="R27" s="161"/>
      <c r="S27" s="161"/>
      <c r="T27" s="161"/>
    </row>
    <row r="28" spans="2:20" ht="16" x14ac:dyDescent="0.15">
      <c r="B28" s="104" t="s">
        <v>268</v>
      </c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</row>
    <row r="29" spans="2:20" x14ac:dyDescent="0.15">
      <c r="C29" s="282" t="s">
        <v>359</v>
      </c>
      <c r="D29" s="282"/>
      <c r="E29" s="282"/>
      <c r="F29" s="282"/>
      <c r="G29" s="282"/>
      <c r="H29" s="282"/>
      <c r="I29" s="281" t="s">
        <v>358</v>
      </c>
      <c r="J29" s="265"/>
      <c r="K29" s="265"/>
      <c r="L29" s="265"/>
      <c r="M29" s="266"/>
    </row>
    <row r="30" spans="2:20" x14ac:dyDescent="0.15">
      <c r="C30" s="7">
        <v>43465</v>
      </c>
      <c r="D30" s="7">
        <f>EDATE(C30,12)</f>
        <v>43830</v>
      </c>
      <c r="E30" s="7">
        <f t="shared" ref="E30:M30" si="8">EDATE(D30,12)</f>
        <v>44196</v>
      </c>
      <c r="F30" s="7">
        <f t="shared" si="8"/>
        <v>44561</v>
      </c>
      <c r="G30" s="7">
        <f t="shared" si="8"/>
        <v>44926</v>
      </c>
      <c r="H30" s="7">
        <f t="shared" si="8"/>
        <v>45291</v>
      </c>
      <c r="I30" s="8">
        <f t="shared" si="8"/>
        <v>45657</v>
      </c>
      <c r="J30" s="7">
        <f t="shared" si="8"/>
        <v>46022</v>
      </c>
      <c r="K30" s="7">
        <f t="shared" si="8"/>
        <v>46387</v>
      </c>
      <c r="L30" s="7">
        <f t="shared" si="8"/>
        <v>46752</v>
      </c>
      <c r="M30" s="9">
        <f t="shared" si="8"/>
        <v>47118</v>
      </c>
      <c r="N30" s="2"/>
      <c r="O30" s="2"/>
    </row>
    <row r="31" spans="2:20" x14ac:dyDescent="0.15">
      <c r="B31" t="s">
        <v>351</v>
      </c>
      <c r="C31" s="109">
        <f>'Revenue Build'!C37/1000</f>
        <v>155.084</v>
      </c>
      <c r="D31" s="109">
        <f>'Revenue Build'!D37/1000</f>
        <v>178.215</v>
      </c>
      <c r="E31" s="109">
        <f>'Revenue Build'!E37/1000</f>
        <v>159.17599999999999</v>
      </c>
      <c r="F31" s="109">
        <f>'Revenue Build'!F37/1000</f>
        <v>168.499</v>
      </c>
      <c r="G31" s="109">
        <f>'Revenue Build'!G37/1000</f>
        <v>170.28</v>
      </c>
      <c r="H31" s="109">
        <f>'Revenue Build'!H37/1000</f>
        <v>187.66499999999999</v>
      </c>
      <c r="I31" s="148">
        <f>'Revenue Build'!I37/1000</f>
        <v>217.97412036</v>
      </c>
      <c r="J31" s="109">
        <f>'Revenue Build'!J37/1000</f>
        <v>222.64729267212965</v>
      </c>
      <c r="K31" s="109">
        <f>'Revenue Build'!K37/1000</f>
        <v>226.65079324433108</v>
      </c>
      <c r="L31" s="109">
        <f>'Revenue Build'!L37/1000</f>
        <v>230.16594014751527</v>
      </c>
      <c r="M31" s="119">
        <f>'Revenue Build'!M37/1000</f>
        <v>233.39280634853091</v>
      </c>
      <c r="N31" s="109"/>
      <c r="O31" s="109"/>
    </row>
    <row r="32" spans="2:20" x14ac:dyDescent="0.15">
      <c r="C32" s="109"/>
      <c r="D32" s="109"/>
      <c r="E32" s="109"/>
      <c r="F32" s="109"/>
      <c r="G32" s="109"/>
      <c r="H32" s="109"/>
      <c r="I32" s="148"/>
      <c r="J32" s="109"/>
      <c r="K32" s="109"/>
      <c r="L32" s="109"/>
      <c r="M32" s="119"/>
      <c r="N32" s="109"/>
      <c r="O32" s="109"/>
    </row>
    <row r="33" spans="2:15" x14ac:dyDescent="0.15">
      <c r="B33" t="s">
        <v>352</v>
      </c>
      <c r="C33" s="23">
        <f>(1-'Revenue Build'!C20)*(SUM('SLCA Financials (memo)'!D39:D40)+SUM('SLCA Financials (memo)'!D42:D43))</f>
        <v>107.21299170923945</v>
      </c>
      <c r="D33" s="23">
        <f>(1-'Revenue Build'!D20)*(SUM('SLCA Financials (memo)'!E39:E40)+SUM('SLCA Financials (memo)'!E42:E43))</f>
        <v>161.93811601537359</v>
      </c>
      <c r="E33" s="23">
        <f>(1-'Revenue Build'!E20)*(SUM('SLCA Financials (memo)'!F39:F40)+SUM('SLCA Financials (memo)'!F42:F43))</f>
        <v>133.19594504217477</v>
      </c>
      <c r="F33" s="23">
        <f>(1-'Revenue Build'!F20)*(SUM('SLCA Financials (memo)'!G39:G40)+SUM('SLCA Financials (memo)'!G42:G43))</f>
        <v>67.703337596783697</v>
      </c>
      <c r="G33" s="23">
        <f>(1-'Revenue Build'!G20)*(SUM('SLCA Financials (memo)'!H39:H40)+SUM('SLCA Financials (memo)'!H42:H43))</f>
        <v>67.394579486436385</v>
      </c>
      <c r="H33" s="23">
        <f>(1-'Revenue Build'!H20)*(SUM('SLCA Financials (memo)'!I39:I40)+SUM('SLCA Financials (memo)'!I42:I43))</f>
        <v>59.275844008654524</v>
      </c>
      <c r="I33" s="74">
        <f>(1-'Revenue Build'!I20)*(SUM('SLCA Financials (memo)'!J39:J40)+SUM('SLCA Financials (memo)'!J42:J43))</f>
        <v>69.409265959945415</v>
      </c>
      <c r="J33" s="23">
        <f>(1-'Revenue Build'!J20)*(SUM('SLCA Financials (memo)'!K39:K40)+SUM('SLCA Financials (memo)'!K42:K43))</f>
        <v>72.071805402168948</v>
      </c>
      <c r="K33" s="23">
        <f>(1-'Revenue Build'!K20)*(SUM('SLCA Financials (memo)'!L39:L40)+SUM('SLCA Financials (memo)'!L42:L43))</f>
        <v>74.615940132865504</v>
      </c>
      <c r="L33" s="23">
        <f>(1-'Revenue Build'!L20)*(SUM('SLCA Financials (memo)'!M39:M40)+SUM('SLCA Financials (memo)'!M42:M43))</f>
        <v>77.097666301684598</v>
      </c>
      <c r="M33" s="75">
        <f>(1-'Revenue Build'!M20)*(SUM('SLCA Financials (memo)'!N39:N40)+SUM('SLCA Financials (memo)'!N42:N43))</f>
        <v>79.583295063250944</v>
      </c>
      <c r="N33" s="23"/>
      <c r="O33" s="23"/>
    </row>
    <row r="34" spans="2:15" x14ac:dyDescent="0.15">
      <c r="B34" t="s">
        <v>419</v>
      </c>
      <c r="I34" s="60">
        <f>'ISP Carve Out Costs'!C12</f>
        <v>0.7</v>
      </c>
      <c r="J34">
        <f>'ISP Carve Out Costs'!D12</f>
        <v>0.7</v>
      </c>
      <c r="K34">
        <f>'ISP Carve Out Costs'!E12</f>
        <v>0.7</v>
      </c>
      <c r="L34">
        <f>'ISP Carve Out Costs'!F12</f>
        <v>0.7</v>
      </c>
      <c r="M34" s="61">
        <f>'ISP Carve Out Costs'!G12</f>
        <v>0.7</v>
      </c>
      <c r="N34" s="23"/>
      <c r="O34" s="23"/>
    </row>
    <row r="35" spans="2:15" x14ac:dyDescent="0.15">
      <c r="B35" t="s">
        <v>418</v>
      </c>
      <c r="I35" s="60">
        <f>'ISP Carve Out Costs'!C25</f>
        <v>4</v>
      </c>
      <c r="J35">
        <f>'ISP Carve Out Costs'!D25</f>
        <v>1</v>
      </c>
      <c r="K35">
        <f>'ISP Carve Out Costs'!E25</f>
        <v>0</v>
      </c>
      <c r="L35">
        <f>'ISP Carve Out Costs'!F25</f>
        <v>0</v>
      </c>
      <c r="M35" s="61">
        <f>'ISP Carve Out Costs'!G25</f>
        <v>0</v>
      </c>
      <c r="N35" s="108"/>
      <c r="O35" s="108"/>
    </row>
    <row r="36" spans="2:15" x14ac:dyDescent="0.15">
      <c r="C36" s="23"/>
      <c r="D36" s="23"/>
      <c r="E36" s="23"/>
      <c r="F36" s="23"/>
      <c r="G36" s="23"/>
      <c r="H36" s="23"/>
      <c r="I36" s="74"/>
      <c r="J36" s="23"/>
      <c r="K36" s="23"/>
      <c r="L36" s="23"/>
      <c r="M36" s="75"/>
      <c r="N36" s="108"/>
      <c r="O36" s="108"/>
    </row>
    <row r="37" spans="2:15" x14ac:dyDescent="0.15">
      <c r="B37" s="53" t="s">
        <v>350</v>
      </c>
      <c r="C37" s="164">
        <f>C31-C33</f>
        <v>47.871008290760557</v>
      </c>
      <c r="D37" s="164">
        <f t="shared" ref="D37:H37" si="9">D31-D33</f>
        <v>16.276883984626409</v>
      </c>
      <c r="E37" s="164">
        <f t="shared" si="9"/>
        <v>25.980054957825217</v>
      </c>
      <c r="F37" s="164">
        <f t="shared" si="9"/>
        <v>100.7956624032163</v>
      </c>
      <c r="G37" s="164">
        <f t="shared" si="9"/>
        <v>102.88542051356362</v>
      </c>
      <c r="H37" s="164">
        <f t="shared" si="9"/>
        <v>128.38915599134546</v>
      </c>
      <c r="I37" s="215">
        <f>I31-I33-SUM(I34:I35)</f>
        <v>143.86485440005458</v>
      </c>
      <c r="J37" s="164">
        <f t="shared" ref="J37:M37" si="10">J31-J33-SUM(J34:J35)</f>
        <v>148.87548726996073</v>
      </c>
      <c r="K37" s="164">
        <f t="shared" si="10"/>
        <v>151.33485311146558</v>
      </c>
      <c r="L37" s="164">
        <f t="shared" si="10"/>
        <v>152.36827384583069</v>
      </c>
      <c r="M37" s="216">
        <f t="shared" si="10"/>
        <v>153.10951128527998</v>
      </c>
    </row>
    <row r="38" spans="2:15" x14ac:dyDescent="0.15">
      <c r="B38" s="53"/>
      <c r="C38" s="164"/>
      <c r="D38" s="164"/>
      <c r="E38" s="164"/>
      <c r="F38" s="164"/>
      <c r="G38" s="164"/>
      <c r="H38" s="164"/>
      <c r="I38" s="215"/>
      <c r="J38" s="164"/>
      <c r="K38" s="164"/>
      <c r="L38" s="164"/>
      <c r="M38" s="216"/>
    </row>
    <row r="39" spans="2:15" x14ac:dyDescent="0.15">
      <c r="B39" t="s">
        <v>185</v>
      </c>
      <c r="C39" s="62">
        <v>46.1</v>
      </c>
      <c r="D39" s="62">
        <v>55.6</v>
      </c>
      <c r="E39" s="62">
        <v>48.2</v>
      </c>
      <c r="F39" s="62">
        <v>50</v>
      </c>
      <c r="G39" s="62">
        <v>43.5</v>
      </c>
      <c r="H39" s="62">
        <v>42.6</v>
      </c>
      <c r="I39" s="154">
        <f>AVERAGE($F$39:$H$39)</f>
        <v>45.366666666666667</v>
      </c>
      <c r="J39" s="111">
        <f t="shared" ref="J39:M39" si="11">AVERAGE($F$39:$H$39)</f>
        <v>45.366666666666667</v>
      </c>
      <c r="K39" s="111">
        <f t="shared" si="11"/>
        <v>45.366666666666667</v>
      </c>
      <c r="L39" s="111">
        <f t="shared" si="11"/>
        <v>45.366666666666667</v>
      </c>
      <c r="M39" s="127">
        <f t="shared" si="11"/>
        <v>45.366666666666667</v>
      </c>
      <c r="N39" s="108"/>
      <c r="O39" s="108"/>
    </row>
    <row r="40" spans="2:15" x14ac:dyDescent="0.15">
      <c r="I40" s="60"/>
      <c r="M40" s="61"/>
    </row>
    <row r="41" spans="2:15" x14ac:dyDescent="0.15">
      <c r="B41" t="s">
        <v>349</v>
      </c>
      <c r="C41" s="108">
        <f t="shared" ref="C41:M41" si="12">C37-C39</f>
        <v>1.7710082907605553</v>
      </c>
      <c r="D41" s="108">
        <f t="shared" si="12"/>
        <v>-39.323116015373593</v>
      </c>
      <c r="E41" s="108">
        <f t="shared" si="12"/>
        <v>-22.219945042174785</v>
      </c>
      <c r="F41" s="108">
        <f t="shared" si="12"/>
        <v>50.795662403216298</v>
      </c>
      <c r="G41" s="108">
        <f t="shared" si="12"/>
        <v>59.385420513563616</v>
      </c>
      <c r="H41" s="108">
        <f t="shared" si="12"/>
        <v>85.789155991345467</v>
      </c>
      <c r="I41" s="156">
        <f t="shared" si="12"/>
        <v>98.498187733387908</v>
      </c>
      <c r="J41" s="108">
        <f t="shared" si="12"/>
        <v>103.50882060329405</v>
      </c>
      <c r="K41" s="108">
        <f t="shared" si="12"/>
        <v>105.9681864447989</v>
      </c>
      <c r="L41" s="108">
        <f t="shared" si="12"/>
        <v>107.00160717916401</v>
      </c>
      <c r="M41" s="143">
        <f t="shared" si="12"/>
        <v>107.7428446186133</v>
      </c>
    </row>
    <row r="42" spans="2:15" x14ac:dyDescent="0.15">
      <c r="I42" s="60"/>
      <c r="M42" s="61"/>
    </row>
    <row r="43" spans="2:15" x14ac:dyDescent="0.15">
      <c r="B43" t="s">
        <v>353</v>
      </c>
      <c r="C43" s="23">
        <f>MAX(0,C41*'SLCA Financials (memo)'!D28)</f>
        <v>0.46931719705154717</v>
      </c>
      <c r="D43">
        <f>MAX(0,D41*'SLCA Financials (memo)'!E28)</f>
        <v>0</v>
      </c>
      <c r="E43">
        <f>MAX(0,E41*'SLCA Financials (memo)'!F28)</f>
        <v>0</v>
      </c>
      <c r="F43" s="108">
        <f>MAX(0,F41*'SLCA Financials (memo)'!G28)</f>
        <v>13.46085053685232</v>
      </c>
      <c r="G43" s="108">
        <f>MAX(0,G41*'SLCA Financials (memo)'!H28)</f>
        <v>15.737136436094358</v>
      </c>
      <c r="H43" s="108">
        <f>MAX(0,H41*'SLCA Financials (memo)'!I28)</f>
        <v>22.734126337706549</v>
      </c>
      <c r="I43" s="156">
        <f>MAX(0,I41*'SLCA Financials (memo)'!J28)</f>
        <v>26.102019749347797</v>
      </c>
      <c r="J43" s="108">
        <f>MAX(0,J41*'SLCA Financials (memo)'!K28)</f>
        <v>27.429837459872925</v>
      </c>
      <c r="K43" s="108">
        <f>MAX(0,K41*'SLCA Financials (memo)'!L28)</f>
        <v>28.081569407871712</v>
      </c>
      <c r="L43" s="108">
        <f>MAX(0,L41*'SLCA Financials (memo)'!M28)</f>
        <v>28.355425902478466</v>
      </c>
      <c r="M43" s="143">
        <f>MAX(0,M41*'SLCA Financials (memo)'!N28)</f>
        <v>28.551853823932529</v>
      </c>
    </row>
    <row r="44" spans="2:15" x14ac:dyDescent="0.15">
      <c r="B44" t="s">
        <v>361</v>
      </c>
      <c r="C44" s="108">
        <f>C39</f>
        <v>46.1</v>
      </c>
      <c r="D44" s="108">
        <f t="shared" ref="D44:M44" si="13">D39</f>
        <v>55.6</v>
      </c>
      <c r="E44" s="108">
        <f t="shared" si="13"/>
        <v>48.2</v>
      </c>
      <c r="F44" s="108">
        <f t="shared" si="13"/>
        <v>50</v>
      </c>
      <c r="G44" s="108">
        <f t="shared" si="13"/>
        <v>43.5</v>
      </c>
      <c r="H44" s="108">
        <f t="shared" si="13"/>
        <v>42.6</v>
      </c>
      <c r="I44" s="156">
        <f t="shared" si="13"/>
        <v>45.366666666666667</v>
      </c>
      <c r="J44" s="108">
        <f t="shared" si="13"/>
        <v>45.366666666666667</v>
      </c>
      <c r="K44" s="108">
        <f t="shared" si="13"/>
        <v>45.366666666666667</v>
      </c>
      <c r="L44" s="108">
        <f t="shared" si="13"/>
        <v>45.366666666666667</v>
      </c>
      <c r="M44" s="143">
        <f t="shared" si="13"/>
        <v>45.366666666666667</v>
      </c>
    </row>
    <row r="45" spans="2:15" x14ac:dyDescent="0.15">
      <c r="B45" t="s">
        <v>354</v>
      </c>
      <c r="C45" s="62">
        <v>189.4</v>
      </c>
      <c r="D45" s="62">
        <v>66</v>
      </c>
      <c r="E45" s="62">
        <v>19.2</v>
      </c>
      <c r="F45" s="62">
        <v>16.899999999999999</v>
      </c>
      <c r="G45" s="62">
        <v>29.6</v>
      </c>
      <c r="H45" s="62">
        <v>36.299999999999997</v>
      </c>
      <c r="I45" s="154">
        <f>CHOOSE('Main Page &amp; Assumptions'!$D$5,'Main Page &amp; Assumptions'!E17,'Main Page &amp; Assumptions'!J17,'Main Page &amp; Assumptions'!O17)*'Revenue Build'!I7*(1-'Main Page &amp; Assumptions'!$D$22)/1000</f>
        <v>40.115602348199999</v>
      </c>
      <c r="J45" s="111">
        <f>CHOOSE('Main Page &amp; Assumptions'!$D$5,'Main Page &amp; Assumptions'!F17,'Main Page &amp; Assumptions'!K17,'Main Page &amp; Assumptions'!P17)*'Revenue Build'!J7*(1-'Main Page &amp; Assumptions'!$D$22)/1000</f>
        <v>41.445471482533087</v>
      </c>
      <c r="K45" s="111">
        <f>CHOOSE('Main Page &amp; Assumptions'!$D$5,'Main Page &amp; Assumptions'!G17,'Main Page &amp; Assumptions'!L17,'Main Page &amp; Assumptions'!Q17)*'Revenue Build'!K7*(1-'Main Page &amp; Assumptions'!$D$22)/1000</f>
        <v>42.77394904713492</v>
      </c>
      <c r="L45" s="111">
        <f>CHOOSE('Main Page &amp; Assumptions'!$D$5,'Main Page &amp; Assumptions'!H17,'Main Page &amp; Assumptions'!M17,'Main Page &amp; Assumptions'!R17)*'Revenue Build'!L7*(1-'Main Page &amp; Assumptions'!$D$22)/1000</f>
        <v>44.196610592442617</v>
      </c>
      <c r="M45" s="127">
        <f>CHOOSE('Main Page &amp; Assumptions'!$D$5,'Main Page &amp; Assumptions'!I17,'Main Page &amp; Assumptions'!N17,'Main Page &amp; Assumptions'!S17)*'Revenue Build'!M7*(1-'Main Page &amp; Assumptions'!$D$22)/1000</f>
        <v>45.707441986740427</v>
      </c>
    </row>
    <row r="46" spans="2:15" x14ac:dyDescent="0.15">
      <c r="B46" s="70" t="s">
        <v>356</v>
      </c>
      <c r="C46" s="162">
        <v>41.7</v>
      </c>
      <c r="D46" s="162">
        <v>23.6</v>
      </c>
      <c r="E46" s="162">
        <v>96.8</v>
      </c>
      <c r="F46" s="162">
        <v>68.3</v>
      </c>
      <c r="G46" s="162">
        <v>51.5</v>
      </c>
      <c r="H46" s="162">
        <v>67.5</v>
      </c>
      <c r="I46" s="225">
        <f>0.00012*'Revenue Build'!I34</f>
        <v>69.634084363200003</v>
      </c>
      <c r="J46" s="226">
        <f>0.00012*'Revenue Build'!J34</f>
        <v>72.305247839372356</v>
      </c>
      <c r="K46" s="226">
        <f>0.00012*'Revenue Build'!K34</f>
        <v>74.857623088102201</v>
      </c>
      <c r="L46" s="226">
        <f>0.00012*'Revenue Build'!L34</f>
        <v>77.34738763201247</v>
      </c>
      <c r="M46" s="227">
        <f>0.00012*'Revenue Build'!M34</f>
        <v>79.841067409268561</v>
      </c>
    </row>
    <row r="47" spans="2:15" x14ac:dyDescent="0.15">
      <c r="B47" t="s">
        <v>357</v>
      </c>
      <c r="C47" s="62"/>
      <c r="D47" s="163">
        <f>D46-C46</f>
        <v>-18.100000000000001</v>
      </c>
      <c r="E47" s="163">
        <f t="shared" ref="E47:H47" si="14">E46-D46</f>
        <v>73.199999999999989</v>
      </c>
      <c r="F47" s="163">
        <f t="shared" si="14"/>
        <v>-28.5</v>
      </c>
      <c r="G47" s="163">
        <f t="shared" si="14"/>
        <v>-16.799999999999997</v>
      </c>
      <c r="H47" s="163">
        <f t="shared" si="14"/>
        <v>16</v>
      </c>
      <c r="I47" s="234">
        <f t="shared" ref="I47" si="15">I46-H46</f>
        <v>2.1340843632000031</v>
      </c>
      <c r="J47" s="235">
        <f t="shared" ref="J47" si="16">J46-I46</f>
        <v>2.6711634761723531</v>
      </c>
      <c r="K47" s="235">
        <f t="shared" ref="K47" si="17">K46-J46</f>
        <v>2.5523752487298452</v>
      </c>
      <c r="L47" s="235">
        <f t="shared" ref="L47" si="18">L46-K46</f>
        <v>2.4897645439102689</v>
      </c>
      <c r="M47" s="236">
        <f t="shared" ref="M47" si="19">M46-L46</f>
        <v>2.4936797772560908</v>
      </c>
    </row>
    <row r="48" spans="2:15" x14ac:dyDescent="0.15">
      <c r="I48" s="60"/>
      <c r="M48" s="61"/>
    </row>
    <row r="49" spans="2:22" ht="14" thickBot="1" x14ac:dyDescent="0.2">
      <c r="B49" s="83" t="s">
        <v>355</v>
      </c>
      <c r="C49" s="166"/>
      <c r="D49" s="166">
        <f>D41-D43-D45-D47</f>
        <v>-87.223116015373591</v>
      </c>
      <c r="E49" s="166">
        <f>E41-E43-E45-E47</f>
        <v>-114.61994504217478</v>
      </c>
      <c r="F49" s="166">
        <f>F41-F43-F45-F47</f>
        <v>48.93481186636398</v>
      </c>
      <c r="G49" s="166">
        <f>G41-G43-G45-G47</f>
        <v>30.848284077469252</v>
      </c>
      <c r="H49" s="166">
        <f>H41-H43-H45-H47</f>
        <v>10.755029653638921</v>
      </c>
      <c r="I49" s="223">
        <f>I41-I43-I45-I47+I44</f>
        <v>75.513147939306776</v>
      </c>
      <c r="J49" s="166">
        <f>J41-J43-J45-J47+J44</f>
        <v>77.329014851382354</v>
      </c>
      <c r="K49" s="166">
        <f>K41-K43-K45-K47+K44</f>
        <v>77.9269594077291</v>
      </c>
      <c r="L49" s="166">
        <f>L41-L43-L45-L47+L44</f>
        <v>77.326472806999334</v>
      </c>
      <c r="M49" s="222">
        <f>M41-M43-M45-M47+M44</f>
        <v>76.356535697350921</v>
      </c>
    </row>
    <row r="50" spans="2:22" ht="14" thickTop="1" x14ac:dyDescent="0.15"/>
    <row r="57" spans="2:22" x14ac:dyDescent="0.15">
      <c r="P57" s="161" t="s">
        <v>8</v>
      </c>
      <c r="Q57">
        <v>2018</v>
      </c>
      <c r="R57">
        <v>2019</v>
      </c>
      <c r="S57">
        <v>2020</v>
      </c>
      <c r="T57">
        <v>2021</v>
      </c>
      <c r="U57">
        <v>2022</v>
      </c>
      <c r="V57">
        <v>2023</v>
      </c>
    </row>
    <row r="58" spans="2:22" x14ac:dyDescent="0.15">
      <c r="P58" s="161" t="s">
        <v>340</v>
      </c>
      <c r="Q58">
        <v>102.7</v>
      </c>
      <c r="R58">
        <v>123.8</v>
      </c>
      <c r="S58">
        <v>107.3</v>
      </c>
      <c r="T58">
        <v>111.2</v>
      </c>
      <c r="U58">
        <v>96.7</v>
      </c>
      <c r="V58">
        <v>94.7</v>
      </c>
    </row>
    <row r="59" spans="2:22" x14ac:dyDescent="0.15">
      <c r="P59" s="161" t="s">
        <v>341</v>
      </c>
      <c r="Q59">
        <v>46.1</v>
      </c>
      <c r="R59">
        <v>55.6</v>
      </c>
      <c r="S59">
        <v>48.2</v>
      </c>
      <c r="T59">
        <v>50</v>
      </c>
      <c r="U59">
        <v>43.5</v>
      </c>
      <c r="V59">
        <v>42.6</v>
      </c>
    </row>
    <row r="60" spans="2:22" x14ac:dyDescent="0.15">
      <c r="P60" s="161"/>
    </row>
    <row r="61" spans="2:22" x14ac:dyDescent="0.15">
      <c r="P61" s="161" t="s">
        <v>342</v>
      </c>
      <c r="Q61">
        <f>'SLCA Financials (memo)'!D41</f>
        <v>148.80000000000001</v>
      </c>
      <c r="R61">
        <f>'SLCA Financials (memo)'!E41</f>
        <v>179.4</v>
      </c>
      <c r="S61">
        <f>'SLCA Financials (memo)'!F41</f>
        <v>155.6</v>
      </c>
      <c r="T61">
        <f>'SLCA Financials (memo)'!G41</f>
        <v>161.1</v>
      </c>
      <c r="U61">
        <f>'SLCA Financials (memo)'!H41</f>
        <v>140.19999999999999</v>
      </c>
      <c r="V61">
        <f>'SLCA Financials (memo)'!I41</f>
        <v>137.30000000000001</v>
      </c>
    </row>
    <row r="62" spans="2:22" x14ac:dyDescent="0.15">
      <c r="P62" s="161"/>
    </row>
    <row r="63" spans="2:22" x14ac:dyDescent="0.15">
      <c r="P63" s="161" t="s">
        <v>343</v>
      </c>
      <c r="Q63">
        <v>150.4</v>
      </c>
      <c r="R63">
        <v>52.4</v>
      </c>
      <c r="S63">
        <v>15.3</v>
      </c>
      <c r="T63">
        <v>13.4</v>
      </c>
      <c r="U63">
        <v>23.5</v>
      </c>
      <c r="V63">
        <v>28.8</v>
      </c>
    </row>
    <row r="64" spans="2:22" x14ac:dyDescent="0.15">
      <c r="P64" s="161" t="s">
        <v>344</v>
      </c>
      <c r="Q64">
        <v>189.4</v>
      </c>
      <c r="R64">
        <v>66</v>
      </c>
      <c r="S64">
        <v>19.2</v>
      </c>
      <c r="T64">
        <v>16.899999999999999</v>
      </c>
      <c r="U64">
        <v>29.6</v>
      </c>
      <c r="V64">
        <v>36.299999999999997</v>
      </c>
    </row>
    <row r="65" spans="16:22" x14ac:dyDescent="0.15">
      <c r="P65" s="161" t="s">
        <v>345</v>
      </c>
      <c r="Q65">
        <f>'SLCA Financials (memo)'!D121*-1</f>
        <v>349.86099999999999</v>
      </c>
      <c r="R65">
        <f>'SLCA Financials (memo)'!E121*-1</f>
        <v>122.289</v>
      </c>
      <c r="S65">
        <f>'SLCA Financials (memo)'!F121*-1</f>
        <v>34.917000000000002</v>
      </c>
      <c r="T65">
        <f>'SLCA Financials (memo)'!G121*-1</f>
        <v>30.516999999999999</v>
      </c>
      <c r="U65">
        <f>'SLCA Financials (memo)'!H121*-1</f>
        <v>53.561999999999998</v>
      </c>
      <c r="V65">
        <f>'SLCA Financials (memo)'!I121*-1</f>
        <v>65.47</v>
      </c>
    </row>
    <row r="66" spans="16:22" x14ac:dyDescent="0.15">
      <c r="P66" s="161" t="s">
        <v>346</v>
      </c>
      <c r="Q66">
        <v>119.5</v>
      </c>
      <c r="R66">
        <v>34.9</v>
      </c>
      <c r="S66">
        <v>92.9</v>
      </c>
      <c r="T66">
        <v>82.5</v>
      </c>
      <c r="U66">
        <v>88.6</v>
      </c>
      <c r="V66">
        <v>120.3</v>
      </c>
    </row>
    <row r="67" spans="16:22" x14ac:dyDescent="0.15">
      <c r="P67" s="161" t="s">
        <v>347</v>
      </c>
      <c r="Q67">
        <v>41.7</v>
      </c>
      <c r="R67">
        <v>23.6</v>
      </c>
      <c r="S67">
        <v>96.8</v>
      </c>
      <c r="T67">
        <v>68.3</v>
      </c>
      <c r="U67">
        <v>51.5</v>
      </c>
      <c r="V67">
        <v>67.5</v>
      </c>
    </row>
    <row r="68" spans="16:22" x14ac:dyDescent="0.15">
      <c r="P68" s="161"/>
    </row>
    <row r="69" spans="16:22" x14ac:dyDescent="0.15">
      <c r="P69" s="161" t="s">
        <v>348</v>
      </c>
      <c r="Q69" s="1">
        <f>'SLCA Financials (memo)'!D115</f>
        <v>149.76900000000003</v>
      </c>
      <c r="R69">
        <v>58.4</v>
      </c>
      <c r="S69">
        <v>189.7</v>
      </c>
      <c r="T69">
        <v>150.80000000000001</v>
      </c>
      <c r="U69">
        <v>140</v>
      </c>
      <c r="V69">
        <v>187.9</v>
      </c>
    </row>
    <row r="77" spans="16:22" x14ac:dyDescent="0.15">
      <c r="Q77">
        <f>V63/V65</f>
        <v>0.43989613563464186</v>
      </c>
    </row>
  </sheetData>
  <mergeCells count="4">
    <mergeCell ref="I29:M29"/>
    <mergeCell ref="I5:M5"/>
    <mergeCell ref="C5:H5"/>
    <mergeCell ref="C29:H29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CCA5-D113-1646-846F-A1665EC0B935}">
  <dimension ref="A1:M40"/>
  <sheetViews>
    <sheetView showGridLines="0" workbookViewId="0">
      <selection activeCell="I36" sqref="I36"/>
    </sheetView>
  </sheetViews>
  <sheetFormatPr baseColWidth="10" defaultRowHeight="13" x14ac:dyDescent="0.15"/>
  <cols>
    <col min="2" max="2" width="28.33203125" customWidth="1"/>
    <col min="3" max="8" width="11.1640625" customWidth="1"/>
  </cols>
  <sheetData>
    <row r="1" spans="1:13" x14ac:dyDescent="0.15">
      <c r="A1" s="3" t="str">
        <f>HYPERLINK("#'Table of Contents'!A1", "&lt;---------")</f>
        <v>&lt;---------</v>
      </c>
    </row>
    <row r="2" spans="1:13" ht="16" x14ac:dyDescent="0.15">
      <c r="B2" s="104" t="s">
        <v>263</v>
      </c>
      <c r="C2" s="104"/>
      <c r="D2" s="104"/>
      <c r="E2" s="104"/>
      <c r="F2" s="104"/>
      <c r="G2" s="104"/>
    </row>
    <row r="3" spans="1:13" x14ac:dyDescent="0.15">
      <c r="B3" s="6"/>
      <c r="C3" s="6">
        <v>2024</v>
      </c>
      <c r="D3" s="6">
        <v>2025</v>
      </c>
      <c r="E3" s="6">
        <v>2026</v>
      </c>
      <c r="F3" s="6">
        <v>2027</v>
      </c>
      <c r="G3" s="6">
        <v>2028</v>
      </c>
      <c r="I3" s="283"/>
      <c r="J3" s="283"/>
      <c r="K3" s="283"/>
      <c r="L3" s="283"/>
      <c r="M3" s="283"/>
    </row>
    <row r="5" spans="1:13" x14ac:dyDescent="0.15">
      <c r="B5" s="204" t="s">
        <v>406</v>
      </c>
      <c r="C5" s="230">
        <f>'Main Page &amp; Assumptions'!$D$26</f>
        <v>0.13500000000000001</v>
      </c>
      <c r="D5" s="230">
        <f>'Main Page &amp; Assumptions'!$D$26</f>
        <v>0.13500000000000001</v>
      </c>
      <c r="E5" s="230">
        <f>'Main Page &amp; Assumptions'!$D$26</f>
        <v>0.13500000000000001</v>
      </c>
      <c r="F5" s="230">
        <f>'Main Page &amp; Assumptions'!$D$26</f>
        <v>0.13500000000000001</v>
      </c>
      <c r="G5" s="232">
        <f>'Main Page &amp; Assumptions'!$D$26</f>
        <v>0.13500000000000001</v>
      </c>
    </row>
    <row r="7" spans="1:13" x14ac:dyDescent="0.15">
      <c r="B7" t="s">
        <v>355</v>
      </c>
      <c r="C7" s="108">
        <f>'Individual Cash Flow'!I26</f>
        <v>141.71982160505479</v>
      </c>
      <c r="D7" s="108">
        <f>'Individual Cash Flow'!J26</f>
        <v>133.75768442180075</v>
      </c>
      <c r="E7" s="108">
        <f>'Individual Cash Flow'!K26</f>
        <v>126.08750443838726</v>
      </c>
      <c r="F7" s="108">
        <f>'Individual Cash Flow'!L26</f>
        <v>119.33727843805593</v>
      </c>
      <c r="G7" s="108">
        <f>'Individual Cash Flow'!M26</f>
        <v>113.42785053538447</v>
      </c>
    </row>
    <row r="8" spans="1:13" x14ac:dyDescent="0.15">
      <c r="B8" t="s">
        <v>404</v>
      </c>
      <c r="C8">
        <v>1</v>
      </c>
      <c r="D8">
        <v>2</v>
      </c>
      <c r="E8">
        <v>3</v>
      </c>
      <c r="F8">
        <v>4</v>
      </c>
      <c r="G8">
        <v>5</v>
      </c>
    </row>
    <row r="10" spans="1:13" ht="14" thickBot="1" x14ac:dyDescent="0.2">
      <c r="B10" s="83" t="s">
        <v>424</v>
      </c>
      <c r="C10" s="166">
        <f>C7/(1+C5)^C8</f>
        <v>124.86327894718484</v>
      </c>
      <c r="D10" s="166">
        <f>D7/(1+D5)^D8</f>
        <v>103.83099568926293</v>
      </c>
      <c r="E10" s="166">
        <f>E7/(1+E5)^E8</f>
        <v>86.235178078765287</v>
      </c>
      <c r="F10" s="166">
        <f>F7/(1+F5)^F8</f>
        <v>71.910562041771342</v>
      </c>
      <c r="G10" s="166">
        <f>G7/(1+G5)^G8</f>
        <v>60.219950557576318</v>
      </c>
    </row>
    <row r="11" spans="1:13" ht="14" thickTop="1" x14ac:dyDescent="0.15"/>
    <row r="12" spans="1:13" x14ac:dyDescent="0.15">
      <c r="B12" t="s">
        <v>407</v>
      </c>
      <c r="C12" s="108">
        <f>SUM(C10:G10)</f>
        <v>447.05996531456077</v>
      </c>
    </row>
    <row r="13" spans="1:13" x14ac:dyDescent="0.15">
      <c r="B13" t="s">
        <v>410</v>
      </c>
      <c r="C13" s="228">
        <f>CHOOSE('Main Page &amp; Assumptions'!D5,'Main Page &amp; Assumptions'!D33,'Main Page &amp; Assumptions'!D32,'Main Page &amp; Assumptions'!D34)</f>
        <v>3.3</v>
      </c>
    </row>
    <row r="14" spans="1:13" x14ac:dyDescent="0.15">
      <c r="B14" t="s">
        <v>411</v>
      </c>
      <c r="C14" s="108">
        <f>'Individual Cash Flow'!H11*C13</f>
        <v>845.88518522855986</v>
      </c>
    </row>
    <row r="15" spans="1:13" x14ac:dyDescent="0.15">
      <c r="B15" t="s">
        <v>412</v>
      </c>
      <c r="C15" s="108">
        <f>C14/(1+C5)^G8</f>
        <v>449.08868317097659</v>
      </c>
    </row>
    <row r="17" spans="2:7" x14ac:dyDescent="0.15">
      <c r="B17" s="53" t="s">
        <v>426</v>
      </c>
      <c r="C17" s="164">
        <f>C15+C12</f>
        <v>896.14864848553736</v>
      </c>
    </row>
    <row r="18" spans="2:7" x14ac:dyDescent="0.15">
      <c r="B18" t="s">
        <v>127</v>
      </c>
      <c r="C18" s="108">
        <f>'Main Page &amp; Assumptions'!D44*('Individual Cash Flow'!H11/('Individual Cash Flow'!H11+'Individual Cash Flow'!H37))</f>
        <v>414.42443809071352</v>
      </c>
    </row>
    <row r="19" spans="2:7" ht="14" thickBot="1" x14ac:dyDescent="0.2">
      <c r="B19" s="83" t="s">
        <v>416</v>
      </c>
      <c r="C19" s="166">
        <f>C17-C18</f>
        <v>481.72421039482384</v>
      </c>
    </row>
    <row r="20" spans="2:7" ht="14" thickTop="1" x14ac:dyDescent="0.15"/>
    <row r="22" spans="2:7" ht="16" x14ac:dyDescent="0.15">
      <c r="B22" s="104" t="s">
        <v>268</v>
      </c>
      <c r="C22" s="104"/>
      <c r="D22" s="104"/>
      <c r="E22" s="104"/>
      <c r="F22" s="104"/>
      <c r="G22" s="104"/>
    </row>
    <row r="23" spans="2:7" x14ac:dyDescent="0.15">
      <c r="B23" s="6"/>
      <c r="C23" s="6">
        <v>2024</v>
      </c>
      <c r="D23" s="6">
        <v>2025</v>
      </c>
      <c r="E23" s="6">
        <v>2026</v>
      </c>
      <c r="F23" s="6">
        <v>2027</v>
      </c>
      <c r="G23" s="6">
        <v>2028</v>
      </c>
    </row>
    <row r="25" spans="2:7" x14ac:dyDescent="0.15">
      <c r="B25" s="204" t="s">
        <v>406</v>
      </c>
      <c r="C25" s="230">
        <f>'Main Page &amp; Assumptions'!$C$26</f>
        <v>0.11</v>
      </c>
      <c r="D25" s="230">
        <f>'Main Page &amp; Assumptions'!$C$26</f>
        <v>0.11</v>
      </c>
      <c r="E25" s="230">
        <f>'Main Page &amp; Assumptions'!$C$26</f>
        <v>0.11</v>
      </c>
      <c r="F25" s="230">
        <f>'Main Page &amp; Assumptions'!$C$26</f>
        <v>0.11</v>
      </c>
      <c r="G25" s="232">
        <f>'Main Page &amp; Assumptions'!$C$26</f>
        <v>0.11</v>
      </c>
    </row>
    <row r="27" spans="2:7" x14ac:dyDescent="0.15">
      <c r="B27" t="s">
        <v>355</v>
      </c>
      <c r="C27" s="108">
        <f>'Individual Cash Flow'!I49</f>
        <v>75.513147939306776</v>
      </c>
      <c r="D27" s="108">
        <f>'Individual Cash Flow'!J49</f>
        <v>77.329014851382354</v>
      </c>
      <c r="E27" s="108">
        <f>'Individual Cash Flow'!K49</f>
        <v>77.9269594077291</v>
      </c>
      <c r="F27" s="108">
        <f>'Individual Cash Flow'!L49</f>
        <v>77.326472806999334</v>
      </c>
      <c r="G27" s="108">
        <f>'Individual Cash Flow'!M49</f>
        <v>76.356535697350921</v>
      </c>
    </row>
    <row r="28" spans="2:7" x14ac:dyDescent="0.15">
      <c r="B28" t="s">
        <v>404</v>
      </c>
      <c r="C28">
        <v>1</v>
      </c>
      <c r="D28">
        <v>2</v>
      </c>
      <c r="E28">
        <v>3</v>
      </c>
      <c r="F28">
        <v>4</v>
      </c>
      <c r="G28">
        <v>5</v>
      </c>
    </row>
    <row r="30" spans="2:7" ht="14" thickBot="1" x14ac:dyDescent="0.2">
      <c r="B30" s="83" t="s">
        <v>424</v>
      </c>
      <c r="C30" s="166">
        <f>C27/(1+C25)^C28</f>
        <v>68.029863008384481</v>
      </c>
      <c r="D30" s="166">
        <f>D27/(1+D25)^D28</f>
        <v>62.76196319404459</v>
      </c>
      <c r="E30" s="166">
        <f>E27/(1+E25)^E28</f>
        <v>56.979521089920517</v>
      </c>
      <c r="F30" s="166">
        <f>F27/(1+F25)^F28</f>
        <v>50.93734275935153</v>
      </c>
      <c r="G30" s="166">
        <f>G27/(1+G25)^G28</f>
        <v>45.313887515543641</v>
      </c>
    </row>
    <row r="31" spans="2:7" ht="14" thickTop="1" x14ac:dyDescent="0.15"/>
    <row r="32" spans="2:7" x14ac:dyDescent="0.15">
      <c r="B32" t="s">
        <v>407</v>
      </c>
      <c r="C32" s="108">
        <f>SUM(C30:G30)</f>
        <v>284.02257756724475</v>
      </c>
    </row>
    <row r="33" spans="2:3" x14ac:dyDescent="0.15">
      <c r="B33" t="s">
        <v>410</v>
      </c>
      <c r="C33" s="228">
        <f>CHOOSE('Main Page &amp; Assumptions'!D5,'Main Page &amp; Assumptions'!C33,'Main Page &amp; Assumptions'!C32,'Main Page &amp; Assumptions'!C34)</f>
        <v>7.7</v>
      </c>
    </row>
    <row r="34" spans="2:3" x14ac:dyDescent="0.15">
      <c r="B34" t="s">
        <v>411</v>
      </c>
      <c r="C34" s="108">
        <f>'Individual Cash Flow'!I37*C33</f>
        <v>1107.7593788804204</v>
      </c>
    </row>
    <row r="35" spans="2:3" x14ac:dyDescent="0.15">
      <c r="B35" t="s">
        <v>412</v>
      </c>
      <c r="C35" s="108">
        <f>C34/(1+C25)^G28</f>
        <v>657.40127456590949</v>
      </c>
    </row>
    <row r="37" spans="2:3" x14ac:dyDescent="0.15">
      <c r="B37" s="53" t="s">
        <v>426</v>
      </c>
      <c r="C37" s="164">
        <f>C35+C32</f>
        <v>941.42385213315424</v>
      </c>
    </row>
    <row r="38" spans="2:3" x14ac:dyDescent="0.15">
      <c r="B38" t="s">
        <v>127</v>
      </c>
      <c r="C38" s="108">
        <f>'Main Page &amp; Assumptions'!D44*('Individual Cash Flow'!H37/('Individual Cash Flow'!H11+'Individual Cash Flow'!H37))</f>
        <v>207.57556190928648</v>
      </c>
    </row>
    <row r="39" spans="2:3" ht="14" thickBot="1" x14ac:dyDescent="0.2">
      <c r="B39" s="83" t="s">
        <v>416</v>
      </c>
      <c r="C39" s="166">
        <f>C37-C38</f>
        <v>733.84829022386771</v>
      </c>
    </row>
    <row r="40" spans="2:3" ht="14" thickTop="1" x14ac:dyDescent="0.15"/>
  </sheetData>
  <mergeCells count="1">
    <mergeCell ref="I3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1944-8C25-B84C-88CF-993F2AA7F29F}">
  <dimension ref="A1:T38"/>
  <sheetViews>
    <sheetView showGridLines="0" zoomScale="125" workbookViewId="0"/>
  </sheetViews>
  <sheetFormatPr baseColWidth="10" defaultRowHeight="13" x14ac:dyDescent="0.15"/>
  <cols>
    <col min="1" max="1" width="10.83203125" customWidth="1"/>
    <col min="2" max="2" width="26.33203125" customWidth="1"/>
    <col min="3" max="3" width="20.33203125" bestFit="1" customWidth="1"/>
  </cols>
  <sheetData>
    <row r="1" spans="1:15" x14ac:dyDescent="0.15">
      <c r="A1" s="3" t="str">
        <f>HYPERLINK("#'Table of Contents'!A1", "&lt;---------")</f>
        <v>&lt;---------</v>
      </c>
    </row>
    <row r="3" spans="1:15" ht="16" x14ac:dyDescent="0.15">
      <c r="B3" s="199" t="s">
        <v>403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</row>
    <row r="4" spans="1:15" x14ac:dyDescent="0.15">
      <c r="B4" s="13"/>
      <c r="C4" s="282" t="s">
        <v>156</v>
      </c>
      <c r="D4" s="282"/>
      <c r="E4" s="282"/>
      <c r="F4" s="282"/>
      <c r="G4" s="282"/>
      <c r="H4" s="282"/>
      <c r="I4" s="281" t="s">
        <v>157</v>
      </c>
      <c r="J4" s="265"/>
      <c r="K4" s="265"/>
      <c r="L4" s="265"/>
      <c r="M4" s="266"/>
    </row>
    <row r="5" spans="1:15" x14ac:dyDescent="0.15">
      <c r="B5" s="6"/>
      <c r="C5" s="200">
        <v>43465</v>
      </c>
      <c r="D5" s="200">
        <v>43830</v>
      </c>
      <c r="E5" s="200">
        <v>44196</v>
      </c>
      <c r="F5" s="200">
        <v>44561</v>
      </c>
      <c r="G5" s="200">
        <v>44926</v>
      </c>
      <c r="H5" s="200">
        <v>45291</v>
      </c>
      <c r="I5" s="211">
        <v>45657</v>
      </c>
      <c r="J5" s="200">
        <v>46022</v>
      </c>
      <c r="K5" s="200">
        <v>46387</v>
      </c>
      <c r="L5" s="200">
        <v>46752</v>
      </c>
      <c r="M5" s="212">
        <v>47118</v>
      </c>
      <c r="N5" s="2"/>
      <c r="O5" s="2"/>
    </row>
    <row r="6" spans="1:15" x14ac:dyDescent="0.15">
      <c r="C6" s="203"/>
      <c r="D6" s="203"/>
      <c r="E6" s="203"/>
      <c r="F6" s="203"/>
      <c r="G6" s="203"/>
      <c r="H6" s="203"/>
      <c r="I6" s="213"/>
      <c r="J6" s="203"/>
      <c r="K6" s="203"/>
      <c r="L6" s="203"/>
      <c r="M6" s="214"/>
      <c r="N6" s="2"/>
      <c r="O6" s="2"/>
    </row>
    <row r="7" spans="1:15" x14ac:dyDescent="0.15">
      <c r="B7" s="205" t="s">
        <v>406</v>
      </c>
      <c r="C7" s="285">
        <f>'Main Page &amp; Assumptions'!D28</f>
        <v>0.125</v>
      </c>
      <c r="D7" s="285">
        <f>C7</f>
        <v>0.125</v>
      </c>
      <c r="E7" s="285">
        <f t="shared" ref="E7:M7" si="0">D7</f>
        <v>0.125</v>
      </c>
      <c r="F7" s="285">
        <f t="shared" si="0"/>
        <v>0.125</v>
      </c>
      <c r="G7" s="285">
        <f t="shared" si="0"/>
        <v>0.125</v>
      </c>
      <c r="H7" s="285">
        <f t="shared" si="0"/>
        <v>0.125</v>
      </c>
      <c r="I7" s="286">
        <f t="shared" si="0"/>
        <v>0.125</v>
      </c>
      <c r="J7" s="285">
        <f t="shared" si="0"/>
        <v>0.125</v>
      </c>
      <c r="K7" s="285">
        <f t="shared" si="0"/>
        <v>0.125</v>
      </c>
      <c r="L7" s="285">
        <f t="shared" si="0"/>
        <v>0.125</v>
      </c>
      <c r="M7" s="287">
        <f t="shared" si="0"/>
        <v>0.125</v>
      </c>
      <c r="N7" s="2"/>
      <c r="O7" s="2"/>
    </row>
    <row r="8" spans="1:15" x14ac:dyDescent="0.15">
      <c r="C8" s="203"/>
      <c r="D8" s="203"/>
      <c r="E8" s="203"/>
      <c r="F8" s="203"/>
      <c r="G8" s="203"/>
      <c r="H8" s="203"/>
      <c r="I8" s="213"/>
      <c r="J8" s="203"/>
      <c r="K8" s="203"/>
      <c r="L8" s="203"/>
      <c r="M8" s="214"/>
      <c r="N8" s="2"/>
      <c r="O8" s="2"/>
    </row>
    <row r="9" spans="1:15" x14ac:dyDescent="0.15">
      <c r="B9" s="53" t="s">
        <v>350</v>
      </c>
      <c r="C9" s="164">
        <f>'SLCA Financials (memo)'!D140</f>
        <v>369.7</v>
      </c>
      <c r="D9" s="164">
        <f>'SLCA Financials (memo)'!E140</f>
        <v>239.2</v>
      </c>
      <c r="E9" s="164">
        <f>'SLCA Financials (memo)'!F140</f>
        <v>161.69999999999999</v>
      </c>
      <c r="F9" s="164">
        <f>'SLCA Financials (memo)'!G140</f>
        <v>201</v>
      </c>
      <c r="G9" s="164">
        <f>'SLCA Financials (memo)'!H140</f>
        <v>327.7</v>
      </c>
      <c r="H9" s="164">
        <f>'SLCA Financials (memo)'!I140</f>
        <v>412.6</v>
      </c>
      <c r="I9" s="215">
        <f>'SLCA Financials (memo)'!J140</f>
        <v>343.01306168054498</v>
      </c>
      <c r="J9" s="164">
        <f>'SLCA Financials (memo)'!K140</f>
        <v>367.3638758120037</v>
      </c>
      <c r="K9" s="164">
        <f>'SLCA Financials (memo)'!L140</f>
        <v>389.18232241512328</v>
      </c>
      <c r="L9" s="164">
        <f>'SLCA Financials (memo)'!M140</f>
        <v>390.59470244127988</v>
      </c>
      <c r="M9" s="216">
        <f>'SLCA Financials (memo)'!N140</f>
        <v>408.32031661420183</v>
      </c>
      <c r="N9" s="108"/>
      <c r="O9" s="108"/>
    </row>
    <row r="10" spans="1:15" x14ac:dyDescent="0.15">
      <c r="I10" s="60"/>
      <c r="M10" s="61"/>
    </row>
    <row r="11" spans="1:15" x14ac:dyDescent="0.15">
      <c r="B11" t="s">
        <v>185</v>
      </c>
      <c r="C11" s="163">
        <f>'SLCA Financials (memo)'!D41</f>
        <v>148.80000000000001</v>
      </c>
      <c r="D11" s="163">
        <f>'SLCA Financials (memo)'!E41</f>
        <v>179.4</v>
      </c>
      <c r="E11" s="163">
        <f>'SLCA Financials (memo)'!F41</f>
        <v>155.6</v>
      </c>
      <c r="F11" s="163">
        <f>'SLCA Financials (memo)'!G41</f>
        <v>161.1</v>
      </c>
      <c r="G11" s="163">
        <f>'SLCA Financials (memo)'!H41</f>
        <v>140.19999999999999</v>
      </c>
      <c r="H11" s="163">
        <f>'SLCA Financials (memo)'!I41</f>
        <v>137.30000000000001</v>
      </c>
      <c r="I11" s="217">
        <f>'SLCA Financials (memo)'!J41</f>
        <v>146.23333333333335</v>
      </c>
      <c r="J11" s="218">
        <f>'SLCA Financials (memo)'!K41</f>
        <v>146.23333333333335</v>
      </c>
      <c r="K11" s="218">
        <f>'SLCA Financials (memo)'!L41</f>
        <v>146.23333333333335</v>
      </c>
      <c r="L11" s="218">
        <f>'SLCA Financials (memo)'!M41</f>
        <v>146.23333333333335</v>
      </c>
      <c r="M11" s="219">
        <f>'SLCA Financials (memo)'!N41</f>
        <v>146.23333333333335</v>
      </c>
    </row>
    <row r="12" spans="1:15" x14ac:dyDescent="0.15">
      <c r="I12" s="60"/>
      <c r="M12" s="61"/>
    </row>
    <row r="13" spans="1:15" x14ac:dyDescent="0.15">
      <c r="B13" t="s">
        <v>349</v>
      </c>
      <c r="C13" s="108">
        <f>C9-C11</f>
        <v>220.89999999999998</v>
      </c>
      <c r="D13" s="108">
        <f t="shared" ref="D13:M13" si="1">D9-D11</f>
        <v>59.799999999999983</v>
      </c>
      <c r="E13" s="108">
        <f t="shared" si="1"/>
        <v>6.0999999999999943</v>
      </c>
      <c r="F13" s="108">
        <f t="shared" si="1"/>
        <v>39.900000000000006</v>
      </c>
      <c r="G13" s="108">
        <f t="shared" si="1"/>
        <v>187.5</v>
      </c>
      <c r="H13" s="108">
        <f t="shared" si="1"/>
        <v>275.3</v>
      </c>
      <c r="I13" s="156">
        <f t="shared" si="1"/>
        <v>196.77972834721163</v>
      </c>
      <c r="J13" s="108">
        <f t="shared" si="1"/>
        <v>221.13054247867035</v>
      </c>
      <c r="K13" s="108">
        <f t="shared" si="1"/>
        <v>242.94898908178993</v>
      </c>
      <c r="L13" s="108">
        <f t="shared" si="1"/>
        <v>244.36136910794653</v>
      </c>
      <c r="M13" s="143">
        <f t="shared" si="1"/>
        <v>262.08698328086848</v>
      </c>
      <c r="N13" s="108"/>
      <c r="O13" s="108"/>
    </row>
    <row r="14" spans="1:15" x14ac:dyDescent="0.15">
      <c r="I14" s="60"/>
      <c r="M14" s="61"/>
    </row>
    <row r="15" spans="1:15" x14ac:dyDescent="0.15">
      <c r="B15" t="s">
        <v>353</v>
      </c>
      <c r="C15" s="108">
        <f>C13*('SLCA Financials (memo)'!D28)</f>
        <v>58.538499999999999</v>
      </c>
      <c r="D15" s="108">
        <f>D13*('SLCA Financials (memo)'!E28)</f>
        <v>15.846999999999996</v>
      </c>
      <c r="E15" s="108">
        <f>E13*('SLCA Financials (memo)'!F28)</f>
        <v>1.6164999999999985</v>
      </c>
      <c r="F15" s="108">
        <f>F13*('SLCA Financials (memo)'!G28)</f>
        <v>10.573500000000003</v>
      </c>
      <c r="G15" s="108">
        <f>G13*('SLCA Financials (memo)'!H28)</f>
        <v>49.6875</v>
      </c>
      <c r="H15" s="108">
        <f>H13*('SLCA Financials (memo)'!I28)</f>
        <v>72.95450000000001</v>
      </c>
      <c r="I15" s="156">
        <f>I13*('SLCA Financials (memo)'!J28)</f>
        <v>52.146628012011085</v>
      </c>
      <c r="J15" s="108">
        <f>J13*('SLCA Financials (memo)'!K28)</f>
        <v>58.599593756847646</v>
      </c>
      <c r="K15" s="108">
        <f>K13*('SLCA Financials (memo)'!L28)</f>
        <v>64.381482106674341</v>
      </c>
      <c r="L15" s="108">
        <f>L13*('SLCA Financials (memo)'!M28)</f>
        <v>64.755762813605827</v>
      </c>
      <c r="M15" s="143">
        <f>M13*('SLCA Financials (memo)'!N28)</f>
        <v>69.453050569430147</v>
      </c>
    </row>
    <row r="16" spans="1:15" x14ac:dyDescent="0.15">
      <c r="B16" t="s">
        <v>360</v>
      </c>
      <c r="C16" s="108">
        <f>C11</f>
        <v>148.80000000000001</v>
      </c>
      <c r="D16" s="108">
        <f t="shared" ref="D16:M16" si="2">D11</f>
        <v>179.4</v>
      </c>
      <c r="E16" s="108">
        <f t="shared" si="2"/>
        <v>155.6</v>
      </c>
      <c r="F16" s="108">
        <f t="shared" si="2"/>
        <v>161.1</v>
      </c>
      <c r="G16" s="108">
        <f t="shared" si="2"/>
        <v>140.19999999999999</v>
      </c>
      <c r="H16" s="108">
        <f t="shared" si="2"/>
        <v>137.30000000000001</v>
      </c>
      <c r="I16" s="156">
        <f t="shared" si="2"/>
        <v>146.23333333333335</v>
      </c>
      <c r="J16" s="108">
        <f t="shared" si="2"/>
        <v>146.23333333333335</v>
      </c>
      <c r="K16" s="108">
        <f t="shared" si="2"/>
        <v>146.23333333333335</v>
      </c>
      <c r="L16" s="108">
        <f t="shared" si="2"/>
        <v>146.23333333333335</v>
      </c>
      <c r="M16" s="143">
        <f t="shared" si="2"/>
        <v>146.23333333333335</v>
      </c>
    </row>
    <row r="17" spans="2:20" x14ac:dyDescent="0.15">
      <c r="B17" t="s">
        <v>354</v>
      </c>
      <c r="C17" s="1">
        <f>'SLCA Financials (memo)'!D121*-1</f>
        <v>349.86099999999999</v>
      </c>
      <c r="D17" s="1">
        <f>'SLCA Financials (memo)'!E121*-1</f>
        <v>122.289</v>
      </c>
      <c r="E17" s="1">
        <f>'SLCA Financials (memo)'!F121*-1</f>
        <v>34.917000000000002</v>
      </c>
      <c r="F17" s="1">
        <f>'SLCA Financials (memo)'!G121*-1</f>
        <v>30.516999999999999</v>
      </c>
      <c r="G17" s="1">
        <f>'SLCA Financials (memo)'!H121*-1</f>
        <v>53.561999999999998</v>
      </c>
      <c r="H17" s="1">
        <f>'SLCA Financials (memo)'!I121*-1</f>
        <v>65.47</v>
      </c>
      <c r="I17" s="58">
        <f>'SLCA Financials (memo)'!J121*-1</f>
        <v>80.231204696399999</v>
      </c>
      <c r="J17" s="1">
        <f>'SLCA Financials (memo)'!K121*-1</f>
        <v>82.890942965066174</v>
      </c>
      <c r="K17" s="1">
        <f>'SLCA Financials (memo)'!L121*-1</f>
        <v>85.54789809426984</v>
      </c>
      <c r="L17" s="1">
        <f>'SLCA Financials (memo)'!M121*-1</f>
        <v>88.393221184885235</v>
      </c>
      <c r="M17" s="59">
        <f>'SLCA Financials (memo)'!N121*-1</f>
        <v>91.414883973480855</v>
      </c>
    </row>
    <row r="18" spans="2:20" x14ac:dyDescent="0.15">
      <c r="B18" s="70" t="s">
        <v>356</v>
      </c>
      <c r="C18" s="1">
        <f>'SLCA Financials (memo)'!D115</f>
        <v>149.76900000000003</v>
      </c>
      <c r="D18" s="1">
        <f>'SLCA Financials (memo)'!E115</f>
        <v>33.01599999999997</v>
      </c>
      <c r="E18" s="1">
        <f>'SLCA Financials (memo)'!F115</f>
        <v>187.28200000000001</v>
      </c>
      <c r="F18" s="1">
        <f>'SLCA Financials (memo)'!G115</f>
        <v>148.97799999999998</v>
      </c>
      <c r="G18" s="1">
        <f>'SLCA Financials (memo)'!H115</f>
        <v>124.10199999999999</v>
      </c>
      <c r="H18" s="1">
        <f>'SLCA Financials (memo)'!I115</f>
        <v>185.47899999999998</v>
      </c>
      <c r="I18" s="58">
        <f>'SLCA Financials (memo)'!J115</f>
        <v>159.33274848090133</v>
      </c>
      <c r="J18" s="1">
        <f>'SLCA Financials (memo)'!K115</f>
        <v>166.59141396215</v>
      </c>
      <c r="K18" s="1">
        <f>'SLCA Financials (memo)'!L115</f>
        <v>170.16954427556476</v>
      </c>
      <c r="L18" s="1">
        <f>'SLCA Financials (memo)'!M115</f>
        <v>175.69247581842041</v>
      </c>
      <c r="M18" s="59">
        <f>'SLCA Financials (memo)'!N115</f>
        <v>181.75032649446192</v>
      </c>
    </row>
    <row r="19" spans="2:20" x14ac:dyDescent="0.15">
      <c r="B19" t="s">
        <v>357</v>
      </c>
      <c r="C19" s="65">
        <f>'SLCA Financials (memo)'!D116</f>
        <v>135.15600000000001</v>
      </c>
      <c r="D19" s="65">
        <f>'SLCA Financials (memo)'!E116</f>
        <v>83.298000000000002</v>
      </c>
      <c r="E19" s="65">
        <f>'SLCA Financials (memo)'!F116</f>
        <v>-75.171000000000006</v>
      </c>
      <c r="F19" s="65">
        <f>'SLCA Financials (memo)'!G116</f>
        <v>30.387</v>
      </c>
      <c r="G19" s="65">
        <f>'SLCA Financials (memo)'!H116</f>
        <v>5.9809999999999999</v>
      </c>
      <c r="H19" s="65">
        <f>'SLCA Financials (memo)'!I116</f>
        <v>-64.144000000000005</v>
      </c>
      <c r="I19" s="64">
        <f>'SLCA Financials (memo)'!J116</f>
        <v>26.146251519098655</v>
      </c>
      <c r="J19" s="65">
        <f>'SLCA Financials (memo)'!K116</f>
        <v>-7.2586654812486699</v>
      </c>
      <c r="K19" s="65">
        <f>'SLCA Financials (memo)'!L116</f>
        <v>-3.5781303134147606</v>
      </c>
      <c r="L19" s="65">
        <f>'SLCA Financials (memo)'!M116</f>
        <v>-5.5229315428556447</v>
      </c>
      <c r="M19" s="66">
        <f>'SLCA Financials (memo)'!N116</f>
        <v>-6.057850676041511</v>
      </c>
    </row>
    <row r="20" spans="2:20" x14ac:dyDescent="0.15">
      <c r="I20" s="60"/>
      <c r="M20" s="61"/>
    </row>
    <row r="21" spans="2:20" x14ac:dyDescent="0.15">
      <c r="B21" s="49" t="s">
        <v>355</v>
      </c>
      <c r="C21" s="202"/>
      <c r="D21" s="202">
        <f>D13-D15+D16-D17-D19</f>
        <v>17.766000000000005</v>
      </c>
      <c r="E21" s="202">
        <f t="shared" ref="E21:M21" si="3">E13-E15+E16-E17-E19</f>
        <v>200.33749999999998</v>
      </c>
      <c r="F21" s="202">
        <f t="shared" si="3"/>
        <v>129.52250000000001</v>
      </c>
      <c r="G21" s="202">
        <f t="shared" si="3"/>
        <v>218.46949999999998</v>
      </c>
      <c r="H21" s="202">
        <f t="shared" si="3"/>
        <v>338.31950000000006</v>
      </c>
      <c r="I21" s="220">
        <f t="shared" si="3"/>
        <v>184.48897745303523</v>
      </c>
      <c r="J21" s="202">
        <f t="shared" si="3"/>
        <v>233.13200457133854</v>
      </c>
      <c r="K21" s="202">
        <f t="shared" si="3"/>
        <v>242.83107252759385</v>
      </c>
      <c r="L21" s="202">
        <f t="shared" si="3"/>
        <v>242.96864998564445</v>
      </c>
      <c r="M21" s="221">
        <f t="shared" si="3"/>
        <v>253.51023274733231</v>
      </c>
    </row>
    <row r="22" spans="2:20" x14ac:dyDescent="0.15">
      <c r="I22" s="60"/>
      <c r="M22" s="61"/>
      <c r="P22" s="161"/>
      <c r="Q22" s="161"/>
      <c r="R22" s="161"/>
      <c r="S22" s="161"/>
      <c r="T22" s="161"/>
    </row>
    <row r="23" spans="2:20" x14ac:dyDescent="0.15">
      <c r="B23" t="s">
        <v>404</v>
      </c>
      <c r="I23" s="60">
        <v>1</v>
      </c>
      <c r="J23">
        <v>2</v>
      </c>
      <c r="K23">
        <v>3</v>
      </c>
      <c r="L23">
        <v>4</v>
      </c>
      <c r="M23" s="61">
        <v>5</v>
      </c>
    </row>
    <row r="24" spans="2:20" ht="14" thickBot="1" x14ac:dyDescent="0.2">
      <c r="B24" s="83" t="s">
        <v>405</v>
      </c>
      <c r="C24" s="83"/>
      <c r="D24" s="83"/>
      <c r="E24" s="83"/>
      <c r="F24" s="83"/>
      <c r="G24" s="83"/>
      <c r="H24" s="83"/>
      <c r="I24" s="223">
        <f>I21/(1+I7)^I23</f>
        <v>163.99020218047576</v>
      </c>
      <c r="J24" s="166">
        <f t="shared" ref="J24:M24" si="4">J21/(1+J7)^J23</f>
        <v>184.20306534031687</v>
      </c>
      <c r="K24" s="166">
        <f t="shared" si="4"/>
        <v>170.54802350360501</v>
      </c>
      <c r="L24" s="166">
        <f t="shared" si="4"/>
        <v>151.68413204407858</v>
      </c>
      <c r="M24" s="222">
        <f t="shared" si="4"/>
        <v>140.68016912504166</v>
      </c>
    </row>
    <row r="25" spans="2:20" ht="14" thickTop="1" x14ac:dyDescent="0.15">
      <c r="O25" s="2"/>
    </row>
    <row r="26" spans="2:20" x14ac:dyDescent="0.15">
      <c r="O26" s="109"/>
    </row>
    <row r="27" spans="2:20" x14ac:dyDescent="0.15">
      <c r="B27" t="s">
        <v>407</v>
      </c>
      <c r="C27" s="108">
        <f>SUM(I24:M24)</f>
        <v>811.10559219351785</v>
      </c>
      <c r="O27" s="109"/>
    </row>
    <row r="28" spans="2:20" x14ac:dyDescent="0.15">
      <c r="B28" t="s">
        <v>410</v>
      </c>
      <c r="C28" s="229">
        <f>CHOOSE('Main Page &amp; Assumptions'!$D$5,'Main Page &amp; Assumptions'!$D$37,'Main Page &amp; Assumptions'!$D$36,'Main Page &amp; Assumptions'!$D$38)</f>
        <v>4.5</v>
      </c>
      <c r="O28" s="23"/>
      <c r="P28" s="201"/>
    </row>
    <row r="29" spans="2:20" x14ac:dyDescent="0.15">
      <c r="B29" t="s">
        <v>411</v>
      </c>
      <c r="C29" s="108">
        <f>C28*M9</f>
        <v>1837.4414247639083</v>
      </c>
      <c r="O29" s="23"/>
      <c r="P29" s="161"/>
    </row>
    <row r="30" spans="2:20" x14ac:dyDescent="0.15">
      <c r="B30" t="s">
        <v>412</v>
      </c>
      <c r="C30" s="108">
        <f>C29/(1+M7)^M23</f>
        <v>1019.6494539562693</v>
      </c>
      <c r="O30" s="108"/>
      <c r="P30" s="161"/>
    </row>
    <row r="31" spans="2:20" x14ac:dyDescent="0.15">
      <c r="P31" s="161"/>
    </row>
    <row r="32" spans="2:20" x14ac:dyDescent="0.15">
      <c r="B32" s="53" t="s">
        <v>414</v>
      </c>
      <c r="C32" s="108">
        <f>C30+C27</f>
        <v>1830.7550461497872</v>
      </c>
      <c r="P32" s="161"/>
    </row>
    <row r="33" spans="2:17" x14ac:dyDescent="0.15">
      <c r="B33" t="s">
        <v>415</v>
      </c>
      <c r="C33" s="108">
        <f>'Main Page &amp; Assumptions'!D44</f>
        <v>622</v>
      </c>
      <c r="P33" s="161"/>
    </row>
    <row r="34" spans="2:17" x14ac:dyDescent="0.15">
      <c r="B34" s="53" t="s">
        <v>416</v>
      </c>
      <c r="C34" s="108">
        <f>C32-C33</f>
        <v>1208.7550461497872</v>
      </c>
      <c r="O34" s="108"/>
      <c r="P34" s="161"/>
    </row>
    <row r="35" spans="2:17" x14ac:dyDescent="0.15">
      <c r="B35" t="s">
        <v>199</v>
      </c>
      <c r="C35" s="1">
        <v>79</v>
      </c>
      <c r="P35" s="161"/>
    </row>
    <row r="36" spans="2:17" ht="14" thickBot="1" x14ac:dyDescent="0.2">
      <c r="B36" s="83" t="s">
        <v>417</v>
      </c>
      <c r="C36" s="248">
        <f>C34/C35</f>
        <v>15.300696786706167</v>
      </c>
      <c r="P36" s="161"/>
    </row>
    <row r="37" spans="2:17" ht="14" thickTop="1" x14ac:dyDescent="0.15">
      <c r="P37" s="161"/>
    </row>
    <row r="38" spans="2:17" x14ac:dyDescent="0.15">
      <c r="P38" s="161"/>
      <c r="Q38" s="1"/>
    </row>
  </sheetData>
  <mergeCells count="2">
    <mergeCell ref="C4:H4"/>
    <mergeCell ref="I4:M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D670-F1EE-2449-8196-E7F2BA190E98}">
  <dimension ref="A1:I32"/>
  <sheetViews>
    <sheetView showGridLines="0" workbookViewId="0">
      <selection activeCell="C42" sqref="C42"/>
    </sheetView>
  </sheetViews>
  <sheetFormatPr baseColWidth="10" defaultColWidth="25.5" defaultRowHeight="13" x14ac:dyDescent="0.15"/>
  <sheetData>
    <row r="1" spans="1:9" x14ac:dyDescent="0.15">
      <c r="A1" s="3" t="str">
        <f>HYPERLINK("#'Table of Contents'!A1", "&lt;---------")</f>
        <v>&lt;---------</v>
      </c>
    </row>
    <row r="3" spans="1:9" ht="18" x14ac:dyDescent="0.15">
      <c r="B3" s="165" t="s">
        <v>468</v>
      </c>
      <c r="C3" s="165"/>
      <c r="D3" s="165"/>
      <c r="E3" s="165"/>
      <c r="F3" s="165"/>
      <c r="G3" s="165"/>
      <c r="H3" s="165"/>
      <c r="I3" s="165"/>
    </row>
    <row r="4" spans="1:9" x14ac:dyDescent="0.15">
      <c r="B4" s="6" t="s">
        <v>430</v>
      </c>
      <c r="C4" s="6" t="s">
        <v>413</v>
      </c>
      <c r="D4" s="6" t="s">
        <v>431</v>
      </c>
      <c r="E4" s="6" t="s">
        <v>469</v>
      </c>
      <c r="F4" s="6" t="s">
        <v>350</v>
      </c>
      <c r="G4" s="6" t="s">
        <v>432</v>
      </c>
      <c r="H4" s="6" t="s">
        <v>433</v>
      </c>
      <c r="I4" s="6" t="s">
        <v>177</v>
      </c>
    </row>
    <row r="5" spans="1:9" x14ac:dyDescent="0.15">
      <c r="B5" t="s">
        <v>438</v>
      </c>
      <c r="C5">
        <v>2622.61</v>
      </c>
      <c r="D5" t="s">
        <v>435</v>
      </c>
      <c r="E5">
        <f t="shared" ref="E5:E10" si="0">C5/F5</f>
        <v>13.231471671459563</v>
      </c>
      <c r="F5">
        <v>198.21</v>
      </c>
      <c r="G5" t="s">
        <v>439</v>
      </c>
      <c r="H5" t="s">
        <v>440</v>
      </c>
      <c r="I5">
        <v>376.92</v>
      </c>
    </row>
    <row r="6" spans="1:9" x14ac:dyDescent="0.15">
      <c r="B6" t="s">
        <v>441</v>
      </c>
      <c r="C6">
        <v>1337.06</v>
      </c>
      <c r="D6" t="s">
        <v>435</v>
      </c>
      <c r="E6">
        <f t="shared" si="0"/>
        <v>10.214362108479754</v>
      </c>
      <c r="F6">
        <v>130.9</v>
      </c>
      <c r="G6" t="s">
        <v>442</v>
      </c>
      <c r="H6" t="s">
        <v>443</v>
      </c>
      <c r="I6">
        <v>1823</v>
      </c>
    </row>
    <row r="7" spans="1:9" x14ac:dyDescent="0.15">
      <c r="B7" t="s">
        <v>444</v>
      </c>
      <c r="C7">
        <v>1064.77</v>
      </c>
      <c r="D7" t="s">
        <v>435</v>
      </c>
      <c r="E7">
        <f t="shared" si="0"/>
        <v>11.765414364640884</v>
      </c>
      <c r="F7">
        <v>90.5</v>
      </c>
      <c r="G7" t="s">
        <v>445</v>
      </c>
      <c r="H7" t="s">
        <v>446</v>
      </c>
      <c r="I7">
        <v>489.76</v>
      </c>
    </row>
    <row r="8" spans="1:9" x14ac:dyDescent="0.15">
      <c r="B8" t="s">
        <v>459</v>
      </c>
      <c r="C8">
        <v>1636.25</v>
      </c>
      <c r="D8" t="s">
        <v>435</v>
      </c>
      <c r="E8">
        <f t="shared" si="0"/>
        <v>10.30838530838531</v>
      </c>
      <c r="F8">
        <v>158.72999999999999</v>
      </c>
      <c r="G8" t="s">
        <v>460</v>
      </c>
      <c r="H8" t="s">
        <v>461</v>
      </c>
      <c r="I8">
        <v>869.25</v>
      </c>
    </row>
    <row r="9" spans="1:9" x14ac:dyDescent="0.15">
      <c r="B9" t="s">
        <v>462</v>
      </c>
      <c r="C9">
        <v>1957.36</v>
      </c>
      <c r="D9" t="s">
        <v>435</v>
      </c>
      <c r="E9">
        <f t="shared" si="0"/>
        <v>9.1124767225325876</v>
      </c>
      <c r="F9">
        <v>214.8</v>
      </c>
      <c r="G9" t="s">
        <v>463</v>
      </c>
      <c r="H9" t="s">
        <v>464</v>
      </c>
      <c r="I9">
        <v>1292.0999999999999</v>
      </c>
    </row>
    <row r="10" spans="1:9" x14ac:dyDescent="0.15">
      <c r="B10" t="s">
        <v>465</v>
      </c>
      <c r="C10">
        <v>944.73</v>
      </c>
      <c r="D10" t="s">
        <v>435</v>
      </c>
      <c r="E10">
        <f t="shared" si="0"/>
        <v>13.048756906077347</v>
      </c>
      <c r="F10">
        <v>72.400000000000006</v>
      </c>
      <c r="G10" t="s">
        <v>466</v>
      </c>
      <c r="H10" t="s">
        <v>467</v>
      </c>
      <c r="I10">
        <v>1559.89</v>
      </c>
    </row>
    <row r="15" spans="1:9" x14ac:dyDescent="0.15">
      <c r="B15" s="6" t="s">
        <v>470</v>
      </c>
      <c r="C15" s="6"/>
      <c r="D15" s="6"/>
      <c r="E15" s="6"/>
      <c r="F15" s="6"/>
      <c r="G15" s="6"/>
      <c r="H15" s="6"/>
      <c r="I15" s="6"/>
    </row>
    <row r="16" spans="1:9" x14ac:dyDescent="0.15">
      <c r="B16" t="s">
        <v>450</v>
      </c>
      <c r="C16">
        <v>1324.09</v>
      </c>
      <c r="D16" t="s">
        <v>435</v>
      </c>
      <c r="E16">
        <f>C16/F16</f>
        <v>49.222676579925647</v>
      </c>
      <c r="F16">
        <v>26.9</v>
      </c>
      <c r="G16" t="s">
        <v>451</v>
      </c>
      <c r="H16" t="s">
        <v>452</v>
      </c>
      <c r="I16">
        <v>1943.1</v>
      </c>
    </row>
    <row r="17" spans="2:9" x14ac:dyDescent="0.15">
      <c r="B17" t="s">
        <v>447</v>
      </c>
      <c r="C17">
        <v>40045.47</v>
      </c>
      <c r="D17" t="s">
        <v>435</v>
      </c>
      <c r="E17">
        <f>C17/F17</f>
        <v>19.206460431654676</v>
      </c>
      <c r="F17">
        <v>2085</v>
      </c>
      <c r="G17" t="s">
        <v>448</v>
      </c>
      <c r="H17" t="s">
        <v>449</v>
      </c>
      <c r="I17">
        <v>6688</v>
      </c>
    </row>
    <row r="18" spans="2:9" x14ac:dyDescent="0.15">
      <c r="B18" t="s">
        <v>434</v>
      </c>
      <c r="C18">
        <v>43248.99</v>
      </c>
      <c r="D18" t="s">
        <v>435</v>
      </c>
      <c r="E18">
        <f>C18/F18</f>
        <v>18.412444122780876</v>
      </c>
      <c r="F18">
        <v>2348.9</v>
      </c>
      <c r="G18" t="s">
        <v>436</v>
      </c>
      <c r="H18" t="s">
        <v>437</v>
      </c>
      <c r="I18">
        <v>8115.8</v>
      </c>
    </row>
    <row r="19" spans="2:9" x14ac:dyDescent="0.15">
      <c r="B19" t="s">
        <v>453</v>
      </c>
      <c r="C19">
        <v>3745.7</v>
      </c>
      <c r="D19" t="s">
        <v>435</v>
      </c>
      <c r="E19">
        <f t="shared" ref="E19:E20" si="1">C19/F19</f>
        <v>18.506422924901184</v>
      </c>
      <c r="F19">
        <v>202.4</v>
      </c>
      <c r="G19" t="s">
        <v>454</v>
      </c>
      <c r="H19" t="s">
        <v>455</v>
      </c>
      <c r="I19">
        <v>1160.3</v>
      </c>
    </row>
    <row r="20" spans="2:9" x14ac:dyDescent="0.15">
      <c r="B20" t="s">
        <v>456</v>
      </c>
      <c r="C20">
        <v>3228.34</v>
      </c>
      <c r="D20" t="s">
        <v>435</v>
      </c>
      <c r="E20">
        <f t="shared" si="1"/>
        <v>18.461371304397552</v>
      </c>
      <c r="F20">
        <v>174.87</v>
      </c>
      <c r="G20" t="s">
        <v>457</v>
      </c>
      <c r="H20" t="s">
        <v>458</v>
      </c>
      <c r="I20">
        <v>1106.0999999999999</v>
      </c>
    </row>
    <row r="22" spans="2:9" ht="18" x14ac:dyDescent="0.15">
      <c r="B22" s="165" t="s">
        <v>471</v>
      </c>
      <c r="C22" s="165"/>
      <c r="D22" s="165"/>
      <c r="E22" s="165"/>
      <c r="F22" s="165"/>
      <c r="G22" s="165"/>
      <c r="H22" s="165"/>
      <c r="I22" s="165"/>
    </row>
    <row r="23" spans="2:9" x14ac:dyDescent="0.15">
      <c r="B23" s="6" t="s">
        <v>430</v>
      </c>
      <c r="C23" s="6" t="s">
        <v>413</v>
      </c>
      <c r="D23" s="6" t="s">
        <v>431</v>
      </c>
      <c r="E23" s="6" t="s">
        <v>469</v>
      </c>
      <c r="F23" s="6" t="s">
        <v>350</v>
      </c>
      <c r="G23" s="6" t="s">
        <v>432</v>
      </c>
      <c r="H23" s="6" t="s">
        <v>433</v>
      </c>
      <c r="I23" s="6" t="s">
        <v>177</v>
      </c>
    </row>
    <row r="24" spans="2:9" x14ac:dyDescent="0.15">
      <c r="B24" t="s">
        <v>472</v>
      </c>
      <c r="C24">
        <v>333.72</v>
      </c>
      <c r="D24" t="s">
        <v>435</v>
      </c>
      <c r="E24">
        <f>C24/F24</f>
        <v>5.7787012987012991</v>
      </c>
      <c r="F24">
        <v>57.75</v>
      </c>
      <c r="G24" t="s">
        <v>473</v>
      </c>
      <c r="H24" t="s">
        <v>474</v>
      </c>
      <c r="I24">
        <v>424.82</v>
      </c>
    </row>
    <row r="25" spans="2:9" x14ac:dyDescent="0.15">
      <c r="B25" t="s">
        <v>475</v>
      </c>
      <c r="C25">
        <v>234.77</v>
      </c>
      <c r="D25" t="s">
        <v>435</v>
      </c>
      <c r="E25">
        <f t="shared" ref="E25:E27" si="2">C25/F25</f>
        <v>5.9798777381558841</v>
      </c>
      <c r="F25">
        <v>39.26</v>
      </c>
      <c r="G25" t="s">
        <v>476</v>
      </c>
      <c r="H25" t="s">
        <v>477</v>
      </c>
      <c r="I25">
        <v>386.99</v>
      </c>
    </row>
    <row r="26" spans="2:9" x14ac:dyDescent="0.15">
      <c r="B26" t="s">
        <v>478</v>
      </c>
      <c r="C26">
        <v>2842.02</v>
      </c>
      <c r="D26" t="s">
        <v>435</v>
      </c>
      <c r="E26">
        <f t="shared" si="2"/>
        <v>11.221305326331583</v>
      </c>
      <c r="F26">
        <v>253.27</v>
      </c>
      <c r="G26" t="s">
        <v>479</v>
      </c>
      <c r="H26" t="s">
        <v>480</v>
      </c>
      <c r="I26">
        <v>1430.51</v>
      </c>
    </row>
    <row r="27" spans="2:9" x14ac:dyDescent="0.15">
      <c r="B27" t="s">
        <v>484</v>
      </c>
      <c r="C27">
        <v>5197.99</v>
      </c>
      <c r="D27" t="s">
        <v>435</v>
      </c>
      <c r="E27">
        <f t="shared" si="2"/>
        <v>7.8824305471308982</v>
      </c>
      <c r="F27">
        <v>659.44</v>
      </c>
      <c r="G27" t="s">
        <v>485</v>
      </c>
      <c r="H27" t="s">
        <v>486</v>
      </c>
      <c r="I27">
        <v>4195.91</v>
      </c>
    </row>
    <row r="30" spans="2:9" x14ac:dyDescent="0.15">
      <c r="B30" s="6" t="s">
        <v>470</v>
      </c>
      <c r="C30" s="6"/>
      <c r="D30" s="6"/>
      <c r="E30" s="6"/>
      <c r="F30" s="6"/>
      <c r="G30" s="6"/>
      <c r="H30" s="6"/>
      <c r="I30" s="6"/>
    </row>
    <row r="31" spans="2:9" x14ac:dyDescent="0.15">
      <c r="B31" t="s">
        <v>481</v>
      </c>
      <c r="C31">
        <v>2395.85</v>
      </c>
      <c r="D31" t="s">
        <v>435</v>
      </c>
      <c r="E31">
        <f>C31/F31</f>
        <v>18.05463451394122</v>
      </c>
      <c r="F31">
        <v>132.69999999999999</v>
      </c>
      <c r="G31" t="s">
        <v>482</v>
      </c>
      <c r="H31" t="s">
        <v>483</v>
      </c>
      <c r="I31">
        <v>1787.3</v>
      </c>
    </row>
    <row r="32" spans="2:9" x14ac:dyDescent="0.15">
      <c r="B32" t="s">
        <v>487</v>
      </c>
      <c r="C32">
        <v>2727.46</v>
      </c>
      <c r="D32" t="s">
        <v>435</v>
      </c>
      <c r="E32">
        <f>C32/F32</f>
        <v>24.585000901388138</v>
      </c>
      <c r="F32">
        <v>110.94</v>
      </c>
      <c r="G32" t="s">
        <v>488</v>
      </c>
      <c r="H32" t="s">
        <v>489</v>
      </c>
      <c r="I32">
        <v>1067.8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0E7A-CBA2-E24A-9E8A-3F2073A4C561}">
  <dimension ref="B2:E37"/>
  <sheetViews>
    <sheetView showGridLines="0" zoomScale="132" workbookViewId="0">
      <selection activeCell="E30" sqref="E30"/>
    </sheetView>
  </sheetViews>
  <sheetFormatPr baseColWidth="10" defaultRowHeight="13" x14ac:dyDescent="0.15"/>
  <cols>
    <col min="1" max="1" width="5" customWidth="1"/>
    <col min="2" max="2" width="19" customWidth="1"/>
    <col min="3" max="5" width="34.1640625" customWidth="1"/>
  </cols>
  <sheetData>
    <row r="2" spans="2:5" ht="16" x14ac:dyDescent="0.15">
      <c r="B2" s="104" t="s">
        <v>329</v>
      </c>
      <c r="C2" s="104"/>
      <c r="D2" s="104"/>
      <c r="E2" s="104"/>
    </row>
    <row r="3" spans="2:5" x14ac:dyDescent="0.15">
      <c r="B3" s="6" t="s">
        <v>258</v>
      </c>
      <c r="C3" s="6" t="s">
        <v>328</v>
      </c>
      <c r="D3" s="6" t="s">
        <v>259</v>
      </c>
      <c r="E3" s="6" t="s">
        <v>260</v>
      </c>
    </row>
    <row r="4" spans="2:5" x14ac:dyDescent="0.15">
      <c r="B4" s="105" t="s">
        <v>261</v>
      </c>
      <c r="C4" s="105" t="s">
        <v>262</v>
      </c>
      <c r="D4" s="105" t="s">
        <v>263</v>
      </c>
      <c r="E4" s="105" t="s">
        <v>264</v>
      </c>
    </row>
    <row r="5" spans="2:5" x14ac:dyDescent="0.15">
      <c r="B5" s="105" t="s">
        <v>265</v>
      </c>
      <c r="C5" s="105" t="s">
        <v>262</v>
      </c>
      <c r="D5" s="105" t="s">
        <v>263</v>
      </c>
      <c r="E5" s="105" t="s">
        <v>264</v>
      </c>
    </row>
    <row r="6" spans="2:5" x14ac:dyDescent="0.15">
      <c r="B6" s="106" t="s">
        <v>266</v>
      </c>
      <c r="C6" s="106" t="s">
        <v>267</v>
      </c>
      <c r="D6" s="106" t="s">
        <v>268</v>
      </c>
      <c r="E6" s="106" t="s">
        <v>269</v>
      </c>
    </row>
    <row r="7" spans="2:5" x14ac:dyDescent="0.15">
      <c r="B7" s="106" t="s">
        <v>270</v>
      </c>
      <c r="C7" s="106" t="s">
        <v>271</v>
      </c>
      <c r="D7" s="106" t="s">
        <v>268</v>
      </c>
      <c r="E7" s="106" t="s">
        <v>272</v>
      </c>
    </row>
    <row r="8" spans="2:5" x14ac:dyDescent="0.15">
      <c r="B8" s="106" t="s">
        <v>273</v>
      </c>
      <c r="C8" s="106" t="s">
        <v>274</v>
      </c>
      <c r="D8" s="106" t="s">
        <v>268</v>
      </c>
      <c r="E8" s="106" t="s">
        <v>275</v>
      </c>
    </row>
    <row r="9" spans="2:5" x14ac:dyDescent="0.15">
      <c r="B9" t="s">
        <v>276</v>
      </c>
      <c r="C9" t="s">
        <v>277</v>
      </c>
      <c r="D9" t="s">
        <v>278</v>
      </c>
      <c r="E9" t="s">
        <v>279</v>
      </c>
    </row>
    <row r="10" spans="2:5" x14ac:dyDescent="0.15">
      <c r="B10" t="s">
        <v>280</v>
      </c>
      <c r="C10" t="s">
        <v>277</v>
      </c>
      <c r="D10" t="s">
        <v>278</v>
      </c>
      <c r="E10" t="s">
        <v>279</v>
      </c>
    </row>
    <row r="11" spans="2:5" x14ac:dyDescent="0.15">
      <c r="B11" s="106" t="s">
        <v>281</v>
      </c>
      <c r="C11" s="106" t="s">
        <v>282</v>
      </c>
      <c r="D11" s="106" t="s">
        <v>268</v>
      </c>
      <c r="E11" s="106" t="s">
        <v>283</v>
      </c>
    </row>
    <row r="12" spans="2:5" x14ac:dyDescent="0.15">
      <c r="B12" s="106" t="s">
        <v>284</v>
      </c>
      <c r="C12" s="106" t="s">
        <v>285</v>
      </c>
      <c r="D12" s="106" t="s">
        <v>268</v>
      </c>
      <c r="E12" s="106" t="s">
        <v>275</v>
      </c>
    </row>
    <row r="13" spans="2:5" x14ac:dyDescent="0.15">
      <c r="B13" s="106" t="s">
        <v>286</v>
      </c>
      <c r="C13" s="106" t="s">
        <v>287</v>
      </c>
      <c r="D13" s="106" t="s">
        <v>268</v>
      </c>
      <c r="E13" s="106" t="s">
        <v>275</v>
      </c>
    </row>
    <row r="14" spans="2:5" x14ac:dyDescent="0.15">
      <c r="B14" s="106" t="s">
        <v>288</v>
      </c>
      <c r="C14" s="106" t="s">
        <v>289</v>
      </c>
      <c r="D14" s="106" t="s">
        <v>268</v>
      </c>
      <c r="E14" s="106" t="s">
        <v>275</v>
      </c>
    </row>
    <row r="15" spans="2:5" x14ac:dyDescent="0.15">
      <c r="B15" s="106" t="s">
        <v>290</v>
      </c>
      <c r="C15" s="106" t="s">
        <v>291</v>
      </c>
      <c r="D15" s="106" t="s">
        <v>268</v>
      </c>
      <c r="E15" s="106" t="s">
        <v>292</v>
      </c>
    </row>
    <row r="16" spans="2:5" x14ac:dyDescent="0.15">
      <c r="B16" s="106" t="s">
        <v>293</v>
      </c>
      <c r="C16" s="106" t="s">
        <v>294</v>
      </c>
      <c r="D16" s="106" t="s">
        <v>268</v>
      </c>
      <c r="E16" s="106" t="s">
        <v>295</v>
      </c>
    </row>
    <row r="17" spans="2:5" x14ac:dyDescent="0.15">
      <c r="B17" s="106" t="s">
        <v>296</v>
      </c>
      <c r="C17" s="106" t="s">
        <v>297</v>
      </c>
      <c r="D17" s="106" t="s">
        <v>268</v>
      </c>
      <c r="E17" s="106" t="s">
        <v>275</v>
      </c>
    </row>
    <row r="18" spans="2:5" x14ac:dyDescent="0.15">
      <c r="B18" s="106" t="s">
        <v>298</v>
      </c>
      <c r="C18" s="106" t="s">
        <v>299</v>
      </c>
      <c r="D18" s="106" t="s">
        <v>268</v>
      </c>
      <c r="E18" s="106" t="s">
        <v>300</v>
      </c>
    </row>
    <row r="19" spans="2:5" x14ac:dyDescent="0.15">
      <c r="B19" s="106" t="s">
        <v>301</v>
      </c>
      <c r="C19" s="106" t="s">
        <v>302</v>
      </c>
      <c r="D19" s="106" t="s">
        <v>268</v>
      </c>
      <c r="E19" s="106" t="s">
        <v>303</v>
      </c>
    </row>
    <row r="20" spans="2:5" x14ac:dyDescent="0.15">
      <c r="B20" t="s">
        <v>304</v>
      </c>
      <c r="C20" t="s">
        <v>305</v>
      </c>
      <c r="D20" t="s">
        <v>278</v>
      </c>
      <c r="E20" t="s">
        <v>306</v>
      </c>
    </row>
    <row r="21" spans="2:5" x14ac:dyDescent="0.15">
      <c r="B21" t="s">
        <v>307</v>
      </c>
      <c r="C21" t="s">
        <v>308</v>
      </c>
      <c r="D21" t="s">
        <v>309</v>
      </c>
      <c r="E21" t="s">
        <v>310</v>
      </c>
    </row>
    <row r="22" spans="2:5" x14ac:dyDescent="0.15">
      <c r="B22" s="106" t="s">
        <v>311</v>
      </c>
      <c r="C22" s="106" t="s">
        <v>312</v>
      </c>
      <c r="D22" s="106" t="s">
        <v>268</v>
      </c>
      <c r="E22" s="106" t="s">
        <v>313</v>
      </c>
    </row>
    <row r="23" spans="2:5" x14ac:dyDescent="0.15">
      <c r="B23" s="106" t="s">
        <v>314</v>
      </c>
      <c r="C23" s="106" t="s">
        <v>271</v>
      </c>
      <c r="D23" s="106" t="s">
        <v>268</v>
      </c>
      <c r="E23" s="106" t="s">
        <v>272</v>
      </c>
    </row>
    <row r="24" spans="2:5" x14ac:dyDescent="0.15">
      <c r="B24" s="106" t="s">
        <v>315</v>
      </c>
      <c r="C24" s="106" t="s">
        <v>271</v>
      </c>
      <c r="D24" s="106" t="s">
        <v>268</v>
      </c>
      <c r="E24" s="106" t="s">
        <v>316</v>
      </c>
    </row>
    <row r="25" spans="2:5" x14ac:dyDescent="0.15">
      <c r="B25" s="106" t="s">
        <v>317</v>
      </c>
      <c r="C25" s="106" t="s">
        <v>318</v>
      </c>
      <c r="D25" s="106" t="s">
        <v>268</v>
      </c>
      <c r="E25" s="106" t="s">
        <v>319</v>
      </c>
    </row>
    <row r="26" spans="2:5" x14ac:dyDescent="0.15">
      <c r="B26" s="106" t="s">
        <v>320</v>
      </c>
      <c r="C26" s="106" t="s">
        <v>321</v>
      </c>
      <c r="D26" s="106" t="s">
        <v>268</v>
      </c>
      <c r="E26" s="106" t="s">
        <v>322</v>
      </c>
    </row>
    <row r="27" spans="2:5" x14ac:dyDescent="0.15">
      <c r="B27" s="106" t="s">
        <v>323</v>
      </c>
      <c r="C27" s="106" t="s">
        <v>299</v>
      </c>
      <c r="D27" s="106" t="s">
        <v>268</v>
      </c>
      <c r="E27" s="106" t="s">
        <v>300</v>
      </c>
    </row>
    <row r="28" spans="2:5" x14ac:dyDescent="0.15">
      <c r="B28" s="106" t="s">
        <v>324</v>
      </c>
      <c r="C28" s="106" t="s">
        <v>325</v>
      </c>
      <c r="D28" s="106" t="s">
        <v>268</v>
      </c>
      <c r="E28" s="106" t="s">
        <v>326</v>
      </c>
    </row>
    <row r="29" spans="2:5" x14ac:dyDescent="0.15">
      <c r="B29" s="106" t="s">
        <v>327</v>
      </c>
      <c r="C29" s="106" t="s">
        <v>325</v>
      </c>
      <c r="D29" s="106" t="s">
        <v>268</v>
      </c>
      <c r="E29" s="106" t="s">
        <v>326</v>
      </c>
    </row>
    <row r="34" spans="3:4" x14ac:dyDescent="0.15">
      <c r="C34" s="284"/>
      <c r="D34" s="284"/>
    </row>
    <row r="35" spans="3:4" x14ac:dyDescent="0.15">
      <c r="C35" s="284"/>
      <c r="D35" s="284"/>
    </row>
    <row r="36" spans="3:4" x14ac:dyDescent="0.15">
      <c r="C36" s="284"/>
      <c r="D36" s="284"/>
    </row>
    <row r="37" spans="3:4" x14ac:dyDescent="0.15">
      <c r="C37" s="284"/>
      <c r="D37" s="284"/>
    </row>
  </sheetData>
  <mergeCells count="1">
    <mergeCell ref="C34:D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6758-429F-3E4B-9481-60C0D5C58AA2}">
  <dimension ref="A1:M164"/>
  <sheetViews>
    <sheetView zoomScale="117" workbookViewId="0">
      <selection activeCell="M37" sqref="M37"/>
    </sheetView>
  </sheetViews>
  <sheetFormatPr baseColWidth="10" defaultRowHeight="13" x14ac:dyDescent="0.15"/>
  <cols>
    <col min="1" max="1" width="43" customWidth="1"/>
    <col min="2" max="2" width="9.1640625" customWidth="1"/>
    <col min="3" max="3" width="9.83203125" customWidth="1"/>
    <col min="4" max="6" width="9.1640625" customWidth="1"/>
    <col min="7" max="7" width="9.83203125" customWidth="1"/>
  </cols>
  <sheetData>
    <row r="1" spans="1:13" x14ac:dyDescent="0.15">
      <c r="A1" t="s">
        <v>9</v>
      </c>
    </row>
    <row r="2" spans="1:13" x14ac:dyDescent="0.15">
      <c r="A2" t="s">
        <v>10</v>
      </c>
      <c r="M2" t="s">
        <v>10</v>
      </c>
    </row>
    <row r="3" spans="1:13" x14ac:dyDescent="0.15">
      <c r="A3" t="s">
        <v>11</v>
      </c>
      <c r="B3" s="2">
        <v>43465</v>
      </c>
      <c r="C3" s="2">
        <v>43830</v>
      </c>
      <c r="D3" s="2">
        <v>44196</v>
      </c>
      <c r="E3" s="2">
        <v>44561</v>
      </c>
      <c r="F3" s="2">
        <v>44926</v>
      </c>
      <c r="G3" s="2">
        <v>45291</v>
      </c>
      <c r="M3" t="s">
        <v>11</v>
      </c>
    </row>
    <row r="4" spans="1:13" x14ac:dyDescent="0.15">
      <c r="A4" t="s">
        <v>12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M4" t="s">
        <v>12</v>
      </c>
    </row>
    <row r="5" spans="1:13" x14ac:dyDescent="0.15">
      <c r="A5" t="s">
        <v>14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M5" t="s">
        <v>14</v>
      </c>
    </row>
    <row r="6" spans="1:13" x14ac:dyDescent="0.15">
      <c r="A6" t="s">
        <v>16</v>
      </c>
      <c r="B6">
        <v>1577.298</v>
      </c>
      <c r="C6">
        <v>1474.4770000000001</v>
      </c>
      <c r="D6">
        <v>845.88499999999999</v>
      </c>
      <c r="E6">
        <v>1103.8789999999999</v>
      </c>
      <c r="F6">
        <v>1525.1469999999999</v>
      </c>
      <c r="G6">
        <v>1552.0219999999999</v>
      </c>
      <c r="M6" t="s">
        <v>16</v>
      </c>
    </row>
    <row r="7" spans="1:13" x14ac:dyDescent="0.15">
      <c r="A7" t="s">
        <v>17</v>
      </c>
      <c r="B7">
        <v>1163.1289999999999</v>
      </c>
      <c r="C7">
        <v>1133.2929999999999</v>
      </c>
      <c r="D7">
        <v>548.52200000000005</v>
      </c>
      <c r="E7">
        <v>761.798</v>
      </c>
      <c r="F7">
        <v>1031.6130000000001</v>
      </c>
      <c r="G7">
        <v>982.97900000000004</v>
      </c>
      <c r="M7" t="s">
        <v>178</v>
      </c>
    </row>
    <row r="8" spans="1:13" x14ac:dyDescent="0.15">
      <c r="A8" t="s">
        <v>18</v>
      </c>
      <c r="B8">
        <v>414.16899999999998</v>
      </c>
      <c r="C8">
        <v>341.18400000000003</v>
      </c>
      <c r="D8">
        <v>297.363</v>
      </c>
      <c r="E8">
        <v>342.08100000000002</v>
      </c>
      <c r="F8">
        <v>493.53399999999999</v>
      </c>
      <c r="G8">
        <v>569.04300000000001</v>
      </c>
      <c r="M8" t="s">
        <v>18</v>
      </c>
    </row>
    <row r="9" spans="1:13" x14ac:dyDescent="0.15">
      <c r="A9" t="s">
        <v>19</v>
      </c>
      <c r="B9">
        <v>146.971</v>
      </c>
      <c r="C9">
        <v>150.84800000000001</v>
      </c>
      <c r="D9">
        <v>150.71899999999999</v>
      </c>
      <c r="E9">
        <v>152.81299999999999</v>
      </c>
      <c r="F9">
        <v>182.41399999999999</v>
      </c>
      <c r="G9">
        <v>156.44499999999999</v>
      </c>
      <c r="M9" t="s">
        <v>180</v>
      </c>
    </row>
    <row r="10" spans="1:13" x14ac:dyDescent="0.15">
      <c r="A10" t="s">
        <v>20</v>
      </c>
      <c r="M10" t="s">
        <v>182</v>
      </c>
    </row>
    <row r="11" spans="1:13" x14ac:dyDescent="0.15">
      <c r="A11" t="s">
        <v>21</v>
      </c>
      <c r="B11">
        <v>148.80000000000001</v>
      </c>
      <c r="C11">
        <v>179.4</v>
      </c>
      <c r="D11">
        <v>155.6</v>
      </c>
      <c r="E11">
        <v>161.1</v>
      </c>
      <c r="F11">
        <v>140.19999999999999</v>
      </c>
      <c r="G11">
        <v>137.30000000000001</v>
      </c>
      <c r="M11" t="s">
        <v>184</v>
      </c>
    </row>
    <row r="12" spans="1:13" x14ac:dyDescent="0.15">
      <c r="A12" t="s">
        <v>22</v>
      </c>
      <c r="M12" t="s">
        <v>253</v>
      </c>
    </row>
    <row r="13" spans="1:13" x14ac:dyDescent="0.15">
      <c r="A13" t="s">
        <v>23</v>
      </c>
      <c r="B13">
        <v>281.89999999999998</v>
      </c>
      <c r="C13">
        <v>363.8</v>
      </c>
      <c r="D13">
        <v>110.7</v>
      </c>
      <c r="E13">
        <v>0.2</v>
      </c>
      <c r="F13">
        <v>0</v>
      </c>
      <c r="G13">
        <v>8.5</v>
      </c>
      <c r="M13" t="s">
        <v>186</v>
      </c>
    </row>
    <row r="14" spans="1:13" x14ac:dyDescent="0.15">
      <c r="A14" t="s">
        <v>24</v>
      </c>
      <c r="M14" t="s">
        <v>187</v>
      </c>
    </row>
    <row r="15" spans="1:13" x14ac:dyDescent="0.15">
      <c r="A15" t="s">
        <v>25</v>
      </c>
      <c r="B15">
        <v>1740.8</v>
      </c>
      <c r="C15">
        <v>1827.4</v>
      </c>
      <c r="D15">
        <v>965.5</v>
      </c>
      <c r="E15">
        <v>1075.9000000000001</v>
      </c>
      <c r="F15">
        <v>1354.2</v>
      </c>
      <c r="G15">
        <v>1285.2</v>
      </c>
      <c r="M15" t="s">
        <v>25</v>
      </c>
    </row>
    <row r="16" spans="1:13" x14ac:dyDescent="0.15">
      <c r="A16" t="s">
        <v>26</v>
      </c>
      <c r="B16">
        <v>-163.53299999999999</v>
      </c>
      <c r="C16">
        <v>-352.95499999999998</v>
      </c>
      <c r="D16">
        <v>-119.61199999999999</v>
      </c>
      <c r="E16">
        <v>27.934999999999999</v>
      </c>
      <c r="F16">
        <v>170.95400000000001</v>
      </c>
      <c r="G16">
        <v>266.839</v>
      </c>
      <c r="M16" t="s">
        <v>26</v>
      </c>
    </row>
    <row r="17" spans="1:13" x14ac:dyDescent="0.15">
      <c r="A17" t="s">
        <v>27</v>
      </c>
      <c r="B17">
        <v>-70.599999999999994</v>
      </c>
      <c r="C17">
        <v>-95.5</v>
      </c>
      <c r="D17">
        <v>-79.900000000000006</v>
      </c>
      <c r="E17">
        <v>-71.2</v>
      </c>
      <c r="F17">
        <v>-77.599999999999994</v>
      </c>
      <c r="G17">
        <v>-101.7</v>
      </c>
      <c r="M17" t="s">
        <v>190</v>
      </c>
    </row>
    <row r="18" spans="1:13" x14ac:dyDescent="0.15">
      <c r="A18" t="s">
        <v>28</v>
      </c>
      <c r="D18">
        <v>0.3</v>
      </c>
      <c r="G18">
        <v>16.8</v>
      </c>
      <c r="M18" t="s">
        <v>192</v>
      </c>
    </row>
    <row r="19" spans="1:13" x14ac:dyDescent="0.15">
      <c r="A19" t="s">
        <v>29</v>
      </c>
      <c r="B19">
        <v>4.0999999999999996</v>
      </c>
      <c r="C19">
        <v>19.5</v>
      </c>
      <c r="D19">
        <v>24</v>
      </c>
      <c r="E19">
        <v>6.1</v>
      </c>
      <c r="F19">
        <v>10.6</v>
      </c>
      <c r="G19">
        <v>13.6</v>
      </c>
      <c r="M19" t="s">
        <v>193</v>
      </c>
    </row>
    <row r="20" spans="1:13" x14ac:dyDescent="0.15">
      <c r="A20" t="s">
        <v>30</v>
      </c>
      <c r="B20">
        <v>-229.953</v>
      </c>
      <c r="C20">
        <v>-428.90800000000002</v>
      </c>
      <c r="D20">
        <v>-175.14699999999999</v>
      </c>
      <c r="E20">
        <v>-37.076000000000001</v>
      </c>
      <c r="F20">
        <v>103.999</v>
      </c>
      <c r="G20">
        <v>195.56899999999999</v>
      </c>
      <c r="M20" t="s">
        <v>30</v>
      </c>
    </row>
    <row r="21" spans="1:13" x14ac:dyDescent="0.15">
      <c r="A21" t="s">
        <v>31</v>
      </c>
      <c r="B21">
        <v>-29.132000000000001</v>
      </c>
      <c r="C21">
        <v>-99.150999999999996</v>
      </c>
      <c r="D21">
        <v>-37.707000000000001</v>
      </c>
      <c r="E21">
        <v>-2.7549999999999999</v>
      </c>
      <c r="F21">
        <v>26.158999999999999</v>
      </c>
      <c r="G21">
        <v>49.08</v>
      </c>
      <c r="M21" t="s">
        <v>196</v>
      </c>
    </row>
    <row r="22" spans="1:13" x14ac:dyDescent="0.15">
      <c r="A22" t="s">
        <v>32</v>
      </c>
      <c r="B22">
        <v>-200.80799999999999</v>
      </c>
      <c r="C22">
        <v>-329.08199999999999</v>
      </c>
      <c r="D22">
        <v>-114.09399999999999</v>
      </c>
      <c r="E22">
        <v>-33.761000000000003</v>
      </c>
      <c r="F22">
        <v>78.176000000000002</v>
      </c>
      <c r="G22">
        <v>146.92500000000001</v>
      </c>
      <c r="M22" t="s">
        <v>32</v>
      </c>
    </row>
    <row r="23" spans="1:13" x14ac:dyDescent="0.15">
      <c r="A23" t="s">
        <v>33</v>
      </c>
      <c r="M23" t="s">
        <v>33</v>
      </c>
    </row>
    <row r="24" spans="1:13" x14ac:dyDescent="0.15">
      <c r="A24" t="s">
        <v>34</v>
      </c>
      <c r="B24">
        <v>-2.63</v>
      </c>
      <c r="C24">
        <v>-4.49</v>
      </c>
      <c r="D24">
        <v>-1.85</v>
      </c>
      <c r="E24">
        <v>-0.45</v>
      </c>
      <c r="F24">
        <v>1.04</v>
      </c>
      <c r="G24">
        <v>1.91</v>
      </c>
      <c r="M24" t="s">
        <v>34</v>
      </c>
    </row>
    <row r="25" spans="1:13" x14ac:dyDescent="0.15">
      <c r="A25" t="s">
        <v>35</v>
      </c>
      <c r="B25">
        <v>-2.63</v>
      </c>
      <c r="C25">
        <v>-4.49</v>
      </c>
      <c r="D25">
        <v>-1.55</v>
      </c>
      <c r="E25">
        <v>-0.45</v>
      </c>
      <c r="F25">
        <v>1.04</v>
      </c>
      <c r="G25">
        <v>1.91</v>
      </c>
      <c r="M25" t="s">
        <v>35</v>
      </c>
    </row>
    <row r="26" spans="1:13" x14ac:dyDescent="0.15">
      <c r="A26" t="s">
        <v>36</v>
      </c>
      <c r="B26">
        <v>0.64</v>
      </c>
      <c r="C26">
        <v>-0.83</v>
      </c>
      <c r="D26">
        <v>-0.75</v>
      </c>
      <c r="E26">
        <v>-0.35</v>
      </c>
      <c r="F26">
        <v>1.2</v>
      </c>
      <c r="G26">
        <v>1.83</v>
      </c>
      <c r="M26" t="s">
        <v>36</v>
      </c>
    </row>
    <row r="27" spans="1:13" x14ac:dyDescent="0.15">
      <c r="A27" t="s">
        <v>37</v>
      </c>
      <c r="B27">
        <v>76</v>
      </c>
      <c r="C27">
        <v>73</v>
      </c>
      <c r="D27">
        <v>74</v>
      </c>
      <c r="E27">
        <v>74</v>
      </c>
      <c r="F27">
        <v>76</v>
      </c>
      <c r="G27">
        <v>77</v>
      </c>
      <c r="M27" t="s">
        <v>37</v>
      </c>
    </row>
    <row r="28" spans="1:13" x14ac:dyDescent="0.15">
      <c r="A28" t="s">
        <v>38</v>
      </c>
      <c r="B28">
        <v>-2.63</v>
      </c>
      <c r="C28">
        <v>-4.49</v>
      </c>
      <c r="D28">
        <v>-1.85</v>
      </c>
      <c r="E28">
        <v>-0.45</v>
      </c>
      <c r="F28">
        <v>1.01</v>
      </c>
      <c r="G28">
        <v>1.87</v>
      </c>
      <c r="M28" t="s">
        <v>38</v>
      </c>
    </row>
    <row r="29" spans="1:13" x14ac:dyDescent="0.15">
      <c r="A29" t="s">
        <v>39</v>
      </c>
      <c r="B29">
        <v>-2.63</v>
      </c>
      <c r="C29">
        <v>-4.49</v>
      </c>
      <c r="D29">
        <v>-1.55</v>
      </c>
      <c r="E29">
        <v>-0.45</v>
      </c>
      <c r="F29">
        <v>1.01</v>
      </c>
      <c r="G29">
        <v>1.87</v>
      </c>
      <c r="M29" t="s">
        <v>39</v>
      </c>
    </row>
    <row r="30" spans="1:13" x14ac:dyDescent="0.15">
      <c r="A30" t="s">
        <v>40</v>
      </c>
      <c r="B30">
        <v>0.64</v>
      </c>
      <c r="C30">
        <v>-0.83</v>
      </c>
      <c r="D30">
        <v>-0.75</v>
      </c>
      <c r="E30">
        <v>-0.35</v>
      </c>
      <c r="F30">
        <v>1.17</v>
      </c>
      <c r="G30">
        <v>1.79</v>
      </c>
      <c r="M30" t="s">
        <v>40</v>
      </c>
    </row>
    <row r="31" spans="1:13" x14ac:dyDescent="0.15">
      <c r="A31" t="s">
        <v>41</v>
      </c>
      <c r="B31">
        <v>76</v>
      </c>
      <c r="C31">
        <v>73</v>
      </c>
      <c r="D31">
        <v>74</v>
      </c>
      <c r="E31">
        <v>74</v>
      </c>
      <c r="F31">
        <v>78</v>
      </c>
      <c r="G31">
        <v>79</v>
      </c>
      <c r="M31" t="s">
        <v>41</v>
      </c>
    </row>
    <row r="32" spans="1:13" x14ac:dyDescent="0.15">
      <c r="A32" t="s">
        <v>42</v>
      </c>
      <c r="B32">
        <v>0.25</v>
      </c>
      <c r="C32">
        <v>0.25</v>
      </c>
      <c r="M32" t="s">
        <v>42</v>
      </c>
    </row>
    <row r="33" spans="1:13" x14ac:dyDescent="0.15">
      <c r="A33" t="s">
        <v>43</v>
      </c>
      <c r="B33">
        <v>2812</v>
      </c>
      <c r="C33">
        <v>2177</v>
      </c>
      <c r="D33">
        <v>1613</v>
      </c>
      <c r="E33">
        <v>1863</v>
      </c>
      <c r="F33">
        <v>2013</v>
      </c>
      <c r="G33">
        <v>1873</v>
      </c>
      <c r="M33" t="s">
        <v>43</v>
      </c>
    </row>
    <row r="36" spans="1:13" x14ac:dyDescent="0.15">
      <c r="A36" t="s">
        <v>9</v>
      </c>
      <c r="M36" t="s">
        <v>254</v>
      </c>
    </row>
    <row r="37" spans="1:13" x14ac:dyDescent="0.15">
      <c r="A37" t="s">
        <v>44</v>
      </c>
      <c r="M37" t="s">
        <v>44</v>
      </c>
    </row>
    <row r="38" spans="1:13" x14ac:dyDescent="0.15">
      <c r="A38" t="s">
        <v>11</v>
      </c>
      <c r="B38" s="2">
        <v>43465</v>
      </c>
      <c r="C38" s="2">
        <v>43830</v>
      </c>
      <c r="D38" s="2">
        <v>44196</v>
      </c>
      <c r="E38" s="2">
        <v>44561</v>
      </c>
      <c r="F38" s="2">
        <v>44926</v>
      </c>
      <c r="G38" s="2">
        <v>45291</v>
      </c>
      <c r="M38" t="s">
        <v>11</v>
      </c>
    </row>
    <row r="39" spans="1:13" x14ac:dyDescent="0.15">
      <c r="A39" t="s">
        <v>12</v>
      </c>
      <c r="B39" t="s">
        <v>13</v>
      </c>
      <c r="C39" t="s">
        <v>13</v>
      </c>
      <c r="D39" t="s">
        <v>13</v>
      </c>
      <c r="E39" t="s">
        <v>13</v>
      </c>
      <c r="F39" t="s">
        <v>13</v>
      </c>
      <c r="G39" t="s">
        <v>13</v>
      </c>
      <c r="M39" t="s">
        <v>12</v>
      </c>
    </row>
    <row r="40" spans="1:13" x14ac:dyDescent="0.15">
      <c r="A40" t="s">
        <v>14</v>
      </c>
      <c r="B40" t="s">
        <v>15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  <c r="M40" t="s">
        <v>14</v>
      </c>
    </row>
    <row r="41" spans="1:13" x14ac:dyDescent="0.15">
      <c r="A41" t="s">
        <v>45</v>
      </c>
      <c r="B41">
        <v>202.49799999999999</v>
      </c>
      <c r="C41">
        <v>185.74</v>
      </c>
      <c r="D41">
        <v>150.91999999999999</v>
      </c>
      <c r="E41">
        <v>239.42500000000001</v>
      </c>
      <c r="F41">
        <v>280.84500000000003</v>
      </c>
      <c r="G41">
        <v>245.71600000000001</v>
      </c>
      <c r="M41" t="s">
        <v>202</v>
      </c>
    </row>
    <row r="42" spans="1:13" x14ac:dyDescent="0.15">
      <c r="A42" t="s">
        <v>46</v>
      </c>
      <c r="B42">
        <v>202.49799999999999</v>
      </c>
      <c r="C42">
        <v>185.74</v>
      </c>
      <c r="D42">
        <v>150.91999999999999</v>
      </c>
      <c r="E42">
        <v>239.42500000000001</v>
      </c>
      <c r="F42">
        <v>280.84500000000003</v>
      </c>
      <c r="G42">
        <v>245.71600000000001</v>
      </c>
      <c r="M42" t="s">
        <v>46</v>
      </c>
    </row>
    <row r="43" spans="1:13" x14ac:dyDescent="0.15">
      <c r="A43" t="s">
        <v>47</v>
      </c>
      <c r="B43">
        <v>217.68600000000001</v>
      </c>
      <c r="C43">
        <v>182.71299999999999</v>
      </c>
      <c r="D43">
        <v>207.56200000000001</v>
      </c>
      <c r="E43">
        <v>202.75899999999999</v>
      </c>
      <c r="F43">
        <v>208.631</v>
      </c>
      <c r="G43">
        <v>185.917</v>
      </c>
      <c r="M43" t="s">
        <v>47</v>
      </c>
    </row>
    <row r="44" spans="1:13" x14ac:dyDescent="0.15">
      <c r="A44" t="s">
        <v>48</v>
      </c>
      <c r="B44">
        <v>162.08699999999999</v>
      </c>
      <c r="C44">
        <v>124.432</v>
      </c>
      <c r="D44">
        <v>104.684</v>
      </c>
      <c r="E44">
        <v>115.71299999999999</v>
      </c>
      <c r="F44">
        <v>147.626</v>
      </c>
      <c r="G44">
        <v>149.429</v>
      </c>
      <c r="M44" t="s">
        <v>48</v>
      </c>
    </row>
    <row r="45" spans="1:13" x14ac:dyDescent="0.15">
      <c r="A45" t="s">
        <v>49</v>
      </c>
      <c r="B45">
        <v>18</v>
      </c>
      <c r="C45">
        <v>16.2</v>
      </c>
      <c r="D45">
        <v>23.1</v>
      </c>
      <c r="E45">
        <v>18</v>
      </c>
      <c r="F45">
        <v>20.2</v>
      </c>
      <c r="G45">
        <v>19.7</v>
      </c>
      <c r="M45" t="s">
        <v>49</v>
      </c>
    </row>
    <row r="46" spans="1:13" x14ac:dyDescent="0.15">
      <c r="A46" t="s">
        <v>50</v>
      </c>
      <c r="M46" t="s">
        <v>50</v>
      </c>
    </row>
    <row r="47" spans="1:13" x14ac:dyDescent="0.15">
      <c r="A47" t="s">
        <v>51</v>
      </c>
      <c r="B47">
        <v>600.23699999999997</v>
      </c>
      <c r="C47">
        <v>509.04</v>
      </c>
      <c r="D47">
        <v>486.31299999999999</v>
      </c>
      <c r="E47">
        <v>575.91499999999996</v>
      </c>
      <c r="F47">
        <v>657.28399999999999</v>
      </c>
      <c r="G47">
        <v>600.74400000000003</v>
      </c>
      <c r="M47" t="s">
        <v>51</v>
      </c>
    </row>
    <row r="48" spans="1:13" x14ac:dyDescent="0.15">
      <c r="A48" t="s">
        <v>52</v>
      </c>
      <c r="B48">
        <v>2326.1</v>
      </c>
      <c r="C48">
        <v>2277.3000000000002</v>
      </c>
      <c r="D48">
        <v>2245</v>
      </c>
      <c r="E48">
        <v>2286.1999999999998</v>
      </c>
      <c r="F48">
        <v>2321.1</v>
      </c>
      <c r="G48">
        <v>2377.6</v>
      </c>
      <c r="M48" t="s">
        <v>207</v>
      </c>
    </row>
    <row r="49" spans="1:13" x14ac:dyDescent="0.15">
      <c r="A49" t="s">
        <v>53</v>
      </c>
      <c r="B49">
        <v>-499.82299999999998</v>
      </c>
      <c r="C49">
        <v>-706.61</v>
      </c>
      <c r="D49">
        <v>-839.40200000000004</v>
      </c>
      <c r="E49">
        <v>-985.29499999999996</v>
      </c>
      <c r="F49">
        <v>-1099.922</v>
      </c>
      <c r="G49">
        <v>-1211.26</v>
      </c>
      <c r="M49" t="s">
        <v>209</v>
      </c>
    </row>
    <row r="50" spans="1:13" x14ac:dyDescent="0.15">
      <c r="A50" t="s">
        <v>54</v>
      </c>
      <c r="B50">
        <v>1826.3</v>
      </c>
      <c r="C50">
        <v>1570.7</v>
      </c>
      <c r="D50">
        <v>1405.6</v>
      </c>
      <c r="E50">
        <v>1300.9000000000001</v>
      </c>
      <c r="F50">
        <v>1221.2</v>
      </c>
      <c r="G50">
        <v>1166.3</v>
      </c>
      <c r="M50" t="s">
        <v>54</v>
      </c>
    </row>
    <row r="51" spans="1:13" x14ac:dyDescent="0.15">
      <c r="A51" t="s">
        <v>55</v>
      </c>
      <c r="B51">
        <v>261.33999999999997</v>
      </c>
      <c r="C51">
        <v>273.524</v>
      </c>
      <c r="D51">
        <v>185.649</v>
      </c>
      <c r="E51">
        <v>185.649</v>
      </c>
      <c r="F51">
        <v>185.649</v>
      </c>
      <c r="G51">
        <v>185.649</v>
      </c>
      <c r="M51" t="s">
        <v>55</v>
      </c>
    </row>
    <row r="52" spans="1:13" x14ac:dyDescent="0.15">
      <c r="A52" t="s">
        <v>56</v>
      </c>
      <c r="B52">
        <v>194.626</v>
      </c>
      <c r="C52">
        <v>183.815</v>
      </c>
      <c r="D52">
        <v>159.58199999999999</v>
      </c>
      <c r="E52">
        <v>150.054</v>
      </c>
      <c r="F52">
        <v>140.809</v>
      </c>
      <c r="G52">
        <v>131.38399999999999</v>
      </c>
      <c r="M52" t="s">
        <v>56</v>
      </c>
    </row>
    <row r="53" spans="1:13" x14ac:dyDescent="0.15">
      <c r="A53" t="s">
        <v>57</v>
      </c>
      <c r="M53" t="s">
        <v>57</v>
      </c>
    </row>
    <row r="54" spans="1:13" x14ac:dyDescent="0.15">
      <c r="A54" t="s">
        <v>58</v>
      </c>
      <c r="M54" t="s">
        <v>58</v>
      </c>
    </row>
    <row r="55" spans="1:13" x14ac:dyDescent="0.15">
      <c r="A55" t="s">
        <v>59</v>
      </c>
      <c r="B55">
        <v>18.3</v>
      </c>
      <c r="C55">
        <v>16.2</v>
      </c>
      <c r="D55">
        <v>9.8000000000000007</v>
      </c>
      <c r="E55">
        <v>7.1</v>
      </c>
      <c r="F55">
        <v>9.6</v>
      </c>
      <c r="G55">
        <v>12.5</v>
      </c>
      <c r="M55" t="s">
        <v>59</v>
      </c>
    </row>
    <row r="56" spans="1:13" x14ac:dyDescent="0.15">
      <c r="A56" t="s">
        <v>60</v>
      </c>
      <c r="M56" t="s">
        <v>60</v>
      </c>
    </row>
    <row r="57" spans="1:13" x14ac:dyDescent="0.15">
      <c r="A57" t="s">
        <v>61</v>
      </c>
      <c r="B57">
        <v>2900.84</v>
      </c>
      <c r="C57">
        <v>2553.2339999999999</v>
      </c>
      <c r="D57">
        <v>2246.9470000000001</v>
      </c>
      <c r="E57">
        <v>2219.6</v>
      </c>
      <c r="F57">
        <v>2214.58</v>
      </c>
      <c r="G57">
        <v>2096.5929999999998</v>
      </c>
      <c r="M57" t="s">
        <v>61</v>
      </c>
    </row>
    <row r="58" spans="1:13" x14ac:dyDescent="0.15">
      <c r="A58" t="s">
        <v>62</v>
      </c>
      <c r="B58">
        <v>178.804</v>
      </c>
      <c r="C58">
        <v>181.029</v>
      </c>
      <c r="D58">
        <v>90.563999999999993</v>
      </c>
      <c r="E58">
        <v>134.494</v>
      </c>
      <c r="F58">
        <v>182.55500000000001</v>
      </c>
      <c r="G58">
        <v>123.667</v>
      </c>
      <c r="M58" t="s">
        <v>62</v>
      </c>
    </row>
    <row r="59" spans="1:13" x14ac:dyDescent="0.15">
      <c r="A59" t="s">
        <v>63</v>
      </c>
      <c r="C59">
        <v>26.6</v>
      </c>
      <c r="D59">
        <v>4.8</v>
      </c>
      <c r="M59" t="s">
        <v>63</v>
      </c>
    </row>
    <row r="60" spans="1:13" x14ac:dyDescent="0.15">
      <c r="A60" t="s">
        <v>64</v>
      </c>
      <c r="B60">
        <v>37.6</v>
      </c>
      <c r="C60">
        <v>94.2</v>
      </c>
      <c r="D60">
        <v>44</v>
      </c>
      <c r="E60">
        <v>47.6</v>
      </c>
      <c r="F60">
        <v>51.1</v>
      </c>
      <c r="G60">
        <v>40.6</v>
      </c>
      <c r="M60" t="s">
        <v>64</v>
      </c>
    </row>
    <row r="61" spans="1:13" x14ac:dyDescent="0.15">
      <c r="A61" t="s">
        <v>65</v>
      </c>
      <c r="B61">
        <v>13.3</v>
      </c>
      <c r="C61">
        <v>18.5</v>
      </c>
      <c r="D61">
        <v>42</v>
      </c>
      <c r="E61">
        <v>18.3</v>
      </c>
      <c r="F61">
        <v>19.5</v>
      </c>
      <c r="G61">
        <v>16.399999999999999</v>
      </c>
      <c r="M61" t="s">
        <v>255</v>
      </c>
    </row>
    <row r="62" spans="1:13" x14ac:dyDescent="0.15">
      <c r="A62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M62" t="s">
        <v>66</v>
      </c>
    </row>
    <row r="63" spans="1:13" x14ac:dyDescent="0.15">
      <c r="A63" t="s">
        <v>67</v>
      </c>
      <c r="B63">
        <v>31.6</v>
      </c>
      <c r="C63">
        <v>15.1</v>
      </c>
      <c r="D63">
        <v>13.5</v>
      </c>
      <c r="E63">
        <v>5.4</v>
      </c>
      <c r="F63">
        <v>18.7</v>
      </c>
      <c r="G63">
        <v>5.3</v>
      </c>
      <c r="M63" t="s">
        <v>67</v>
      </c>
    </row>
    <row r="64" spans="1:13" x14ac:dyDescent="0.15">
      <c r="A64" t="s">
        <v>68</v>
      </c>
      <c r="B64">
        <v>261.339</v>
      </c>
      <c r="C64">
        <v>335.39800000000002</v>
      </c>
      <c r="D64">
        <v>194.89500000000001</v>
      </c>
      <c r="E64">
        <v>205.87100000000001</v>
      </c>
      <c r="F64">
        <v>271.95</v>
      </c>
      <c r="G64">
        <v>185.85</v>
      </c>
      <c r="M64" t="s">
        <v>68</v>
      </c>
    </row>
    <row r="65" spans="1:13" x14ac:dyDescent="0.15">
      <c r="A65" t="s">
        <v>69</v>
      </c>
      <c r="B65">
        <v>1246.4000000000001</v>
      </c>
      <c r="C65">
        <v>1214</v>
      </c>
      <c r="D65">
        <v>1197.4000000000001</v>
      </c>
      <c r="E65">
        <v>1190.5999999999999</v>
      </c>
      <c r="F65">
        <v>1035.3</v>
      </c>
      <c r="G65">
        <v>821.7</v>
      </c>
      <c r="M65" t="s">
        <v>220</v>
      </c>
    </row>
    <row r="66" spans="1:13" x14ac:dyDescent="0.15">
      <c r="A66" t="s">
        <v>70</v>
      </c>
      <c r="C66">
        <v>0</v>
      </c>
      <c r="D66">
        <v>0.3</v>
      </c>
      <c r="E66">
        <v>2.5</v>
      </c>
      <c r="F66">
        <v>2.2000000000000002</v>
      </c>
      <c r="G66">
        <v>2</v>
      </c>
      <c r="M66" t="s">
        <v>223</v>
      </c>
    </row>
    <row r="67" spans="1:13" x14ac:dyDescent="0.15">
      <c r="A67" t="s">
        <v>71</v>
      </c>
      <c r="B67">
        <v>1246.4280000000001</v>
      </c>
      <c r="C67">
        <v>1213.9849999999999</v>
      </c>
      <c r="D67">
        <v>1197.6600000000001</v>
      </c>
      <c r="E67">
        <v>1193.135</v>
      </c>
      <c r="F67">
        <v>1037.4580000000001</v>
      </c>
      <c r="G67">
        <v>823.67</v>
      </c>
      <c r="M67" t="s">
        <v>71</v>
      </c>
    </row>
    <row r="68" spans="1:13" x14ac:dyDescent="0.15">
      <c r="A68" t="s">
        <v>72</v>
      </c>
      <c r="B68">
        <v>137.239</v>
      </c>
      <c r="C68">
        <v>38.585000000000001</v>
      </c>
      <c r="D68">
        <v>49.386000000000003</v>
      </c>
      <c r="E68">
        <v>44.774000000000001</v>
      </c>
      <c r="F68">
        <v>64.635999999999996</v>
      </c>
      <c r="G68">
        <v>100.458</v>
      </c>
      <c r="M68" t="s">
        <v>72</v>
      </c>
    </row>
    <row r="69" spans="1:13" x14ac:dyDescent="0.15">
      <c r="A69" t="s">
        <v>73</v>
      </c>
      <c r="B69">
        <v>203.5</v>
      </c>
      <c r="C69">
        <v>248.7</v>
      </c>
      <c r="D69">
        <v>178.2</v>
      </c>
      <c r="E69">
        <v>161.69999999999999</v>
      </c>
      <c r="F69">
        <v>135.80000000000001</v>
      </c>
      <c r="G69">
        <v>131.1</v>
      </c>
      <c r="M69" t="s">
        <v>73</v>
      </c>
    </row>
    <row r="70" spans="1:13" x14ac:dyDescent="0.15">
      <c r="A70" t="s">
        <v>74</v>
      </c>
      <c r="B70">
        <v>7.484</v>
      </c>
      <c r="C70">
        <v>11.363</v>
      </c>
      <c r="D70">
        <v>11.531000000000001</v>
      </c>
      <c r="E70">
        <v>9.8680000000000003</v>
      </c>
      <c r="F70">
        <v>8.0090000000000003</v>
      </c>
      <c r="G70">
        <v>6.2190000000000003</v>
      </c>
      <c r="M70" t="s">
        <v>74</v>
      </c>
    </row>
    <row r="71" spans="1:13" x14ac:dyDescent="0.15">
      <c r="A71" t="s">
        <v>75</v>
      </c>
      <c r="B71">
        <v>1856.02</v>
      </c>
      <c r="C71">
        <v>1848.0170000000001</v>
      </c>
      <c r="D71">
        <v>1631.6869999999999</v>
      </c>
      <c r="E71">
        <v>1615.385</v>
      </c>
      <c r="F71">
        <v>1517.895</v>
      </c>
      <c r="G71">
        <v>1247.2850000000001</v>
      </c>
      <c r="M71" t="s">
        <v>75</v>
      </c>
    </row>
    <row r="72" spans="1:13" x14ac:dyDescent="0.15">
      <c r="A72" t="s">
        <v>76</v>
      </c>
      <c r="M72" t="s">
        <v>76</v>
      </c>
    </row>
    <row r="73" spans="1:13" x14ac:dyDescent="0.15">
      <c r="A73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M73" t="s">
        <v>77</v>
      </c>
    </row>
    <row r="74" spans="1:13" x14ac:dyDescent="0.15">
      <c r="A74" t="s">
        <v>78</v>
      </c>
      <c r="M74" t="s">
        <v>78</v>
      </c>
    </row>
    <row r="75" spans="1:13" x14ac:dyDescent="0.15">
      <c r="A75" t="s">
        <v>79</v>
      </c>
      <c r="B75">
        <v>0.8</v>
      </c>
      <c r="C75">
        <v>0.8</v>
      </c>
      <c r="D75">
        <v>0.8</v>
      </c>
      <c r="E75">
        <v>0.8</v>
      </c>
      <c r="F75">
        <v>0.9</v>
      </c>
      <c r="G75">
        <v>0.9</v>
      </c>
      <c r="M75" t="s">
        <v>79</v>
      </c>
    </row>
    <row r="76" spans="1:13" x14ac:dyDescent="0.15">
      <c r="A76" t="s">
        <v>80</v>
      </c>
      <c r="B76">
        <v>1169.383</v>
      </c>
      <c r="C76">
        <v>1185.116</v>
      </c>
      <c r="D76">
        <v>1200.0229999999999</v>
      </c>
      <c r="E76">
        <v>1218.575</v>
      </c>
      <c r="F76">
        <v>1234.8340000000001</v>
      </c>
      <c r="G76">
        <v>1249.46</v>
      </c>
      <c r="M76" t="s">
        <v>80</v>
      </c>
    </row>
    <row r="77" spans="1:13" x14ac:dyDescent="0.15">
      <c r="A77" t="s">
        <v>81</v>
      </c>
      <c r="B77">
        <v>67.853999999999999</v>
      </c>
      <c r="C77">
        <v>-279.95600000000002</v>
      </c>
      <c r="D77">
        <v>-395.49599999999998</v>
      </c>
      <c r="E77">
        <v>-429.26</v>
      </c>
      <c r="F77">
        <v>-351.084</v>
      </c>
      <c r="G77">
        <v>-204.15899999999999</v>
      </c>
      <c r="M77" t="s">
        <v>81</v>
      </c>
    </row>
    <row r="78" spans="1:13" x14ac:dyDescent="0.15">
      <c r="A78" t="s">
        <v>82</v>
      </c>
      <c r="B78">
        <v>-178.215</v>
      </c>
      <c r="C78">
        <v>-180.91200000000001</v>
      </c>
      <c r="D78">
        <v>-181.61500000000001</v>
      </c>
      <c r="E78">
        <v>-186.29400000000001</v>
      </c>
      <c r="F78">
        <v>-186.196</v>
      </c>
      <c r="G78">
        <v>-196.745</v>
      </c>
      <c r="M78" t="s">
        <v>82</v>
      </c>
    </row>
    <row r="79" spans="1:13" x14ac:dyDescent="0.15">
      <c r="A79" t="s">
        <v>83</v>
      </c>
      <c r="M79" t="s">
        <v>83</v>
      </c>
    </row>
    <row r="80" spans="1:13" x14ac:dyDescent="0.15">
      <c r="A80" t="s">
        <v>84</v>
      </c>
      <c r="M80" t="s">
        <v>84</v>
      </c>
    </row>
    <row r="81" spans="1:13" x14ac:dyDescent="0.15">
      <c r="A81" t="s">
        <v>85</v>
      </c>
      <c r="B81">
        <v>-15.02</v>
      </c>
      <c r="C81">
        <v>-19.853999999999999</v>
      </c>
      <c r="D81">
        <v>-8.4789999999999992</v>
      </c>
      <c r="E81">
        <v>0.34899999999999998</v>
      </c>
      <c r="F81">
        <v>-1.7230000000000001</v>
      </c>
      <c r="G81">
        <v>-0.125</v>
      </c>
      <c r="M81" t="s">
        <v>85</v>
      </c>
    </row>
    <row r="82" spans="1:13" x14ac:dyDescent="0.15">
      <c r="A82" t="s">
        <v>86</v>
      </c>
      <c r="B82">
        <v>1044.82</v>
      </c>
      <c r="C82">
        <v>705.21699999999998</v>
      </c>
      <c r="D82">
        <v>615.26</v>
      </c>
      <c r="E82">
        <v>604.21500000000003</v>
      </c>
      <c r="F82">
        <v>696.68499999999995</v>
      </c>
      <c r="G82">
        <v>849.30799999999999</v>
      </c>
      <c r="M82" t="s">
        <v>86</v>
      </c>
    </row>
    <row r="83" spans="1:13" x14ac:dyDescent="0.15">
      <c r="A83" t="s">
        <v>87</v>
      </c>
      <c r="B83">
        <v>2900.84</v>
      </c>
      <c r="C83">
        <v>2553.2339999999999</v>
      </c>
      <c r="D83">
        <v>2246.9470000000001</v>
      </c>
      <c r="E83">
        <v>2219.6</v>
      </c>
      <c r="F83">
        <v>2214.58</v>
      </c>
      <c r="G83">
        <v>2096.5929999999998</v>
      </c>
      <c r="M83" t="s">
        <v>87</v>
      </c>
    </row>
    <row r="84" spans="1:13" x14ac:dyDescent="0.15">
      <c r="A84" t="s">
        <v>88</v>
      </c>
      <c r="B84">
        <v>73</v>
      </c>
      <c r="C84">
        <v>74</v>
      </c>
      <c r="D84">
        <v>74</v>
      </c>
      <c r="E84">
        <v>75</v>
      </c>
      <c r="F84">
        <v>76</v>
      </c>
      <c r="G84">
        <v>77</v>
      </c>
      <c r="M84" t="s">
        <v>88</v>
      </c>
    </row>
    <row r="87" spans="1:13" x14ac:dyDescent="0.15">
      <c r="A87" t="s">
        <v>9</v>
      </c>
      <c r="M87" t="s">
        <v>254</v>
      </c>
    </row>
    <row r="88" spans="1:13" x14ac:dyDescent="0.15">
      <c r="A88" t="s">
        <v>89</v>
      </c>
      <c r="M88" t="s">
        <v>89</v>
      </c>
    </row>
    <row r="89" spans="1:13" x14ac:dyDescent="0.15">
      <c r="A89" t="s">
        <v>11</v>
      </c>
      <c r="B89" s="2">
        <v>43465</v>
      </c>
      <c r="C89" s="2">
        <v>43830</v>
      </c>
      <c r="D89" s="2">
        <v>44196</v>
      </c>
      <c r="E89" s="2">
        <v>44561</v>
      </c>
      <c r="F89" s="2">
        <v>44926</v>
      </c>
      <c r="G89" s="2">
        <v>45291</v>
      </c>
      <c r="M89" t="s">
        <v>11</v>
      </c>
    </row>
    <row r="90" spans="1:13" x14ac:dyDescent="0.15">
      <c r="A90" t="s">
        <v>12</v>
      </c>
      <c r="B90" t="s">
        <v>13</v>
      </c>
      <c r="C90" t="s">
        <v>13</v>
      </c>
      <c r="D90" t="s">
        <v>13</v>
      </c>
      <c r="E90" t="s">
        <v>13</v>
      </c>
      <c r="F90" t="s">
        <v>13</v>
      </c>
      <c r="G90" t="s">
        <v>13</v>
      </c>
      <c r="M90" t="s">
        <v>12</v>
      </c>
    </row>
    <row r="91" spans="1:13" x14ac:dyDescent="0.15">
      <c r="A91" t="s">
        <v>14</v>
      </c>
      <c r="B91" t="s">
        <v>15</v>
      </c>
      <c r="C91" t="s">
        <v>15</v>
      </c>
      <c r="D91" t="s">
        <v>15</v>
      </c>
      <c r="E91" t="s">
        <v>15</v>
      </c>
      <c r="F91" t="s">
        <v>15</v>
      </c>
      <c r="G91" t="s">
        <v>15</v>
      </c>
      <c r="M91" t="s">
        <v>14</v>
      </c>
    </row>
    <row r="92" spans="1:13" x14ac:dyDescent="0.15">
      <c r="A92" t="s">
        <v>32</v>
      </c>
      <c r="B92">
        <v>-200.821</v>
      </c>
      <c r="C92">
        <v>-329.75700000000001</v>
      </c>
      <c r="D92">
        <v>-115.122</v>
      </c>
      <c r="E92">
        <v>-34.320999999999998</v>
      </c>
      <c r="F92">
        <v>77.84</v>
      </c>
      <c r="G92">
        <v>146.489</v>
      </c>
      <c r="M92" t="s">
        <v>32</v>
      </c>
    </row>
    <row r="93" spans="1:13" x14ac:dyDescent="0.15">
      <c r="A93" t="s">
        <v>90</v>
      </c>
      <c r="B93">
        <v>135.15600000000001</v>
      </c>
      <c r="C93">
        <v>83.298000000000002</v>
      </c>
      <c r="D93">
        <v>-75.171000000000006</v>
      </c>
      <c r="E93">
        <v>30.387</v>
      </c>
      <c r="F93">
        <v>5.9809999999999999</v>
      </c>
      <c r="G93">
        <v>-64.144000000000005</v>
      </c>
      <c r="M93" t="s">
        <v>90</v>
      </c>
    </row>
    <row r="94" spans="1:13" x14ac:dyDescent="0.15">
      <c r="A94" t="s">
        <v>91</v>
      </c>
      <c r="B94">
        <v>310.70600000000002</v>
      </c>
      <c r="C94">
        <v>144.04599999999999</v>
      </c>
      <c r="D94">
        <v>-10.534000000000001</v>
      </c>
      <c r="E94">
        <v>169.34700000000001</v>
      </c>
      <c r="F94">
        <v>262.71600000000001</v>
      </c>
      <c r="G94">
        <v>263.86799999999999</v>
      </c>
      <c r="M94" t="s">
        <v>91</v>
      </c>
    </row>
    <row r="95" spans="1:13" x14ac:dyDescent="0.15">
      <c r="A95" t="s">
        <v>92</v>
      </c>
      <c r="B95">
        <v>-349.86099999999999</v>
      </c>
      <c r="C95">
        <v>-122.289</v>
      </c>
      <c r="D95">
        <v>-34.917000000000002</v>
      </c>
      <c r="E95">
        <v>-30.516999999999999</v>
      </c>
      <c r="F95">
        <v>-53.561999999999998</v>
      </c>
      <c r="G95">
        <v>-65.47</v>
      </c>
      <c r="M95" t="s">
        <v>92</v>
      </c>
    </row>
    <row r="96" spans="1:13" x14ac:dyDescent="0.15">
      <c r="A96" t="s">
        <v>93</v>
      </c>
      <c r="M96" t="s">
        <v>93</v>
      </c>
    </row>
    <row r="97" spans="1:13" x14ac:dyDescent="0.15">
      <c r="A97" t="s">
        <v>94</v>
      </c>
      <c r="M97" t="s">
        <v>94</v>
      </c>
    </row>
    <row r="98" spans="1:13" x14ac:dyDescent="0.15">
      <c r="A98" t="s">
        <v>95</v>
      </c>
      <c r="B98">
        <v>26.231000000000002</v>
      </c>
      <c r="C98">
        <v>1.8959999999999999</v>
      </c>
      <c r="D98">
        <v>7.3529999999999998</v>
      </c>
      <c r="E98">
        <v>0.66100000000000003</v>
      </c>
      <c r="F98">
        <v>2.609</v>
      </c>
      <c r="G98">
        <v>20.748999999999999</v>
      </c>
      <c r="M98" t="s">
        <v>95</v>
      </c>
    </row>
    <row r="99" spans="1:13" x14ac:dyDescent="0.15">
      <c r="A99" t="s">
        <v>96</v>
      </c>
      <c r="B99">
        <v>-743.24900000000002</v>
      </c>
      <c r="C99">
        <v>0</v>
      </c>
      <c r="D99">
        <v>0</v>
      </c>
      <c r="M99" t="s">
        <v>96</v>
      </c>
    </row>
    <row r="100" spans="1:13" x14ac:dyDescent="0.15">
      <c r="A100" t="s">
        <v>97</v>
      </c>
      <c r="B100">
        <v>0</v>
      </c>
      <c r="M100" t="s">
        <v>97</v>
      </c>
    </row>
    <row r="101" spans="1:13" x14ac:dyDescent="0.15">
      <c r="A101" t="s">
        <v>98</v>
      </c>
      <c r="B101">
        <v>-717.01800000000003</v>
      </c>
      <c r="C101">
        <v>1.8959999999999999</v>
      </c>
      <c r="D101">
        <v>7.3529999999999998</v>
      </c>
      <c r="E101">
        <v>0.66100000000000003</v>
      </c>
      <c r="F101">
        <v>2.609</v>
      </c>
      <c r="G101">
        <v>20.748999999999999</v>
      </c>
      <c r="M101" t="s">
        <v>98</v>
      </c>
    </row>
    <row r="102" spans="1:13" x14ac:dyDescent="0.15">
      <c r="A102" t="s">
        <v>99</v>
      </c>
      <c r="B102">
        <v>-1066.8789999999999</v>
      </c>
      <c r="C102">
        <v>-120.393</v>
      </c>
      <c r="D102">
        <v>-27.564</v>
      </c>
      <c r="E102">
        <v>-29.856000000000002</v>
      </c>
      <c r="F102">
        <v>-50.953000000000003</v>
      </c>
      <c r="G102">
        <v>-44.720999999999997</v>
      </c>
      <c r="M102" t="s">
        <v>99</v>
      </c>
    </row>
    <row r="103" spans="1:13" x14ac:dyDescent="0.15">
      <c r="A103" t="s">
        <v>100</v>
      </c>
      <c r="E103">
        <v>-6.3979999999999997</v>
      </c>
      <c r="F103">
        <v>-7.2370000000000001</v>
      </c>
      <c r="G103">
        <v>-8.8629999999999995</v>
      </c>
      <c r="M103" t="s">
        <v>100</v>
      </c>
    </row>
    <row r="104" spans="1:13" x14ac:dyDescent="0.15">
      <c r="A104" t="s">
        <v>101</v>
      </c>
      <c r="B104">
        <v>778.01099999999997</v>
      </c>
      <c r="C104">
        <v>-23.507999999999999</v>
      </c>
      <c r="D104">
        <v>8.9700000000000006</v>
      </c>
      <c r="E104">
        <v>-44.939</v>
      </c>
      <c r="F104">
        <v>-166.65799999999999</v>
      </c>
      <c r="G104">
        <v>-200.70099999999999</v>
      </c>
      <c r="M104" t="s">
        <v>101</v>
      </c>
    </row>
    <row r="105" spans="1:13" x14ac:dyDescent="0.15">
      <c r="A105" t="s">
        <v>102</v>
      </c>
      <c r="B105">
        <v>-148.40799999999999</v>
      </c>
      <c r="C105">
        <v>0.128</v>
      </c>
      <c r="D105">
        <v>0</v>
      </c>
      <c r="E105">
        <v>0.105</v>
      </c>
      <c r="F105">
        <v>0.95499999999999996</v>
      </c>
      <c r="G105">
        <v>0</v>
      </c>
      <c r="M105" t="s">
        <v>102</v>
      </c>
    </row>
    <row r="106" spans="1:13" x14ac:dyDescent="0.15">
      <c r="A106" t="s">
        <v>103</v>
      </c>
      <c r="B106">
        <v>-19.911999999999999</v>
      </c>
      <c r="C106">
        <v>-18.591999999999999</v>
      </c>
      <c r="D106">
        <v>-6.1849999999999996</v>
      </c>
      <c r="E106">
        <v>-2.5999999999999999E-2</v>
      </c>
      <c r="F106">
        <v>-0.16400000000000001</v>
      </c>
      <c r="G106">
        <v>-2.3E-2</v>
      </c>
      <c r="M106" t="s">
        <v>103</v>
      </c>
    </row>
    <row r="107" spans="1:13" x14ac:dyDescent="0.15">
      <c r="A107" t="s">
        <v>104</v>
      </c>
      <c r="B107">
        <v>574.10400000000004</v>
      </c>
      <c r="C107">
        <v>-40.411000000000001</v>
      </c>
      <c r="D107">
        <v>3.278</v>
      </c>
      <c r="E107">
        <v>-50.985999999999997</v>
      </c>
      <c r="F107">
        <v>-170.34299999999999</v>
      </c>
      <c r="G107">
        <v>-254.27600000000001</v>
      </c>
      <c r="M107" t="s">
        <v>104</v>
      </c>
    </row>
    <row r="108" spans="1:13" x14ac:dyDescent="0.15">
      <c r="A108" t="s">
        <v>105</v>
      </c>
      <c r="M108" t="s">
        <v>105</v>
      </c>
    </row>
    <row r="109" spans="1:13" x14ac:dyDescent="0.15">
      <c r="A109" t="s">
        <v>106</v>
      </c>
      <c r="B109">
        <v>-182.06899999999999</v>
      </c>
      <c r="C109">
        <v>-16.757999999999999</v>
      </c>
      <c r="D109">
        <v>-34.82</v>
      </c>
      <c r="E109">
        <v>88.504999999999995</v>
      </c>
      <c r="F109">
        <v>41.42</v>
      </c>
      <c r="G109">
        <v>-35.128999999999998</v>
      </c>
      <c r="M109" t="s">
        <v>106</v>
      </c>
    </row>
    <row r="110" spans="1:13" x14ac:dyDescent="0.15">
      <c r="A110" t="s">
        <v>107</v>
      </c>
      <c r="B110">
        <v>384.56700000000001</v>
      </c>
      <c r="C110">
        <v>202.49799999999999</v>
      </c>
      <c r="D110">
        <v>185.74</v>
      </c>
      <c r="E110">
        <v>150.91999999999999</v>
      </c>
      <c r="F110">
        <v>239.42500000000001</v>
      </c>
      <c r="G110">
        <v>280.84500000000003</v>
      </c>
      <c r="M110" t="s">
        <v>107</v>
      </c>
    </row>
    <row r="111" spans="1:13" x14ac:dyDescent="0.15">
      <c r="A111" t="s">
        <v>108</v>
      </c>
      <c r="B111">
        <v>202.49799999999999</v>
      </c>
      <c r="C111">
        <v>185.74</v>
      </c>
      <c r="D111">
        <v>150.91999999999999</v>
      </c>
      <c r="E111">
        <v>239.42500000000001</v>
      </c>
      <c r="F111">
        <v>280.84500000000003</v>
      </c>
      <c r="G111">
        <v>245.71600000000001</v>
      </c>
      <c r="M111" t="s">
        <v>108</v>
      </c>
    </row>
    <row r="114" spans="1:13" x14ac:dyDescent="0.15">
      <c r="A114" t="s">
        <v>9</v>
      </c>
      <c r="M114" t="s">
        <v>254</v>
      </c>
    </row>
    <row r="115" spans="1:13" x14ac:dyDescent="0.15">
      <c r="A115" t="s">
        <v>109</v>
      </c>
      <c r="M115" t="s">
        <v>109</v>
      </c>
    </row>
    <row r="116" spans="1:13" x14ac:dyDescent="0.15">
      <c r="A116" t="s">
        <v>11</v>
      </c>
      <c r="B116" s="2">
        <v>43465</v>
      </c>
      <c r="C116" s="2">
        <v>43830</v>
      </c>
      <c r="D116" s="2">
        <v>44196</v>
      </c>
      <c r="E116" s="2">
        <v>44561</v>
      </c>
      <c r="F116" s="2">
        <v>44926</v>
      </c>
      <c r="G116" s="2">
        <v>45291</v>
      </c>
      <c r="M116" t="s">
        <v>11</v>
      </c>
    </row>
    <row r="117" spans="1:13" x14ac:dyDescent="0.15">
      <c r="A117" t="s">
        <v>12</v>
      </c>
      <c r="M117" t="s">
        <v>12</v>
      </c>
    </row>
    <row r="118" spans="1:13" x14ac:dyDescent="0.15">
      <c r="A118" t="s">
        <v>14</v>
      </c>
      <c r="M118" t="s">
        <v>14</v>
      </c>
    </row>
    <row r="119" spans="1:13" x14ac:dyDescent="0.15">
      <c r="A119" t="s">
        <v>110</v>
      </c>
      <c r="M119" t="s">
        <v>110</v>
      </c>
    </row>
    <row r="120" spans="1:13" x14ac:dyDescent="0.15">
      <c r="A120" t="s">
        <v>111</v>
      </c>
      <c r="B120">
        <v>26.26</v>
      </c>
      <c r="C120">
        <v>23.14</v>
      </c>
      <c r="D120">
        <v>35.15</v>
      </c>
      <c r="E120">
        <v>30.99</v>
      </c>
      <c r="F120">
        <v>32.36</v>
      </c>
      <c r="G120">
        <v>36.659999999999997</v>
      </c>
      <c r="M120" t="s">
        <v>111</v>
      </c>
    </row>
    <row r="121" spans="1:13" x14ac:dyDescent="0.15">
      <c r="A121" t="s">
        <v>112</v>
      </c>
      <c r="B121">
        <v>-10.37</v>
      </c>
      <c r="C121">
        <v>-23.94</v>
      </c>
      <c r="D121">
        <v>-14.14</v>
      </c>
      <c r="E121">
        <v>2.5299999999999998</v>
      </c>
      <c r="F121">
        <v>11.21</v>
      </c>
      <c r="G121">
        <v>17.190000000000001</v>
      </c>
      <c r="M121" t="s">
        <v>112</v>
      </c>
    </row>
    <row r="122" spans="1:13" x14ac:dyDescent="0.15">
      <c r="A122" t="s">
        <v>113</v>
      </c>
      <c r="B122">
        <v>-14.58</v>
      </c>
      <c r="C122">
        <v>-29.09</v>
      </c>
      <c r="D122">
        <v>-20.71</v>
      </c>
      <c r="E122">
        <v>-3.36</v>
      </c>
      <c r="F122">
        <v>6.82</v>
      </c>
      <c r="G122">
        <v>12.6</v>
      </c>
      <c r="M122" t="s">
        <v>113</v>
      </c>
    </row>
    <row r="123" spans="1:13" x14ac:dyDescent="0.15">
      <c r="A123" t="s">
        <v>114</v>
      </c>
      <c r="F123">
        <v>25.15</v>
      </c>
      <c r="G123">
        <v>25.1</v>
      </c>
      <c r="M123" t="s">
        <v>114</v>
      </c>
    </row>
    <row r="124" spans="1:13" x14ac:dyDescent="0.15">
      <c r="A124" t="s">
        <v>115</v>
      </c>
      <c r="B124">
        <v>-12.73</v>
      </c>
      <c r="C124">
        <v>-22.32</v>
      </c>
      <c r="D124">
        <v>-16.13</v>
      </c>
      <c r="E124">
        <v>-3.06</v>
      </c>
      <c r="F124">
        <v>5.13</v>
      </c>
      <c r="G124">
        <v>9.4700000000000006</v>
      </c>
      <c r="M124" t="s">
        <v>115</v>
      </c>
    </row>
    <row r="125" spans="1:13" x14ac:dyDescent="0.15">
      <c r="A125" t="s">
        <v>116</v>
      </c>
      <c r="B125">
        <v>220.9</v>
      </c>
      <c r="C125">
        <v>59.7</v>
      </c>
      <c r="D125">
        <v>6.1</v>
      </c>
      <c r="E125">
        <v>39.799999999999997</v>
      </c>
      <c r="F125">
        <v>187.6</v>
      </c>
      <c r="G125">
        <v>275.39999999999998</v>
      </c>
      <c r="M125" t="s">
        <v>116</v>
      </c>
    </row>
    <row r="126" spans="1:13" x14ac:dyDescent="0.15">
      <c r="A126" t="s">
        <v>117</v>
      </c>
      <c r="B126">
        <v>369.7</v>
      </c>
      <c r="C126">
        <v>239.2</v>
      </c>
      <c r="D126">
        <v>161.69999999999999</v>
      </c>
      <c r="E126">
        <v>201</v>
      </c>
      <c r="F126">
        <v>327.7</v>
      </c>
      <c r="G126">
        <v>412.6</v>
      </c>
      <c r="M126" t="s">
        <v>117</v>
      </c>
    </row>
    <row r="127" spans="1:13" x14ac:dyDescent="0.15">
      <c r="A127" t="s">
        <v>118</v>
      </c>
      <c r="B127">
        <v>-0.9</v>
      </c>
      <c r="C127">
        <v>-11.8</v>
      </c>
      <c r="D127">
        <v>4.3</v>
      </c>
      <c r="E127">
        <v>17.100000000000001</v>
      </c>
      <c r="F127">
        <v>20.399999999999999</v>
      </c>
      <c r="G127">
        <v>26.6</v>
      </c>
      <c r="M127" t="s">
        <v>118</v>
      </c>
    </row>
    <row r="128" spans="1:13" x14ac:dyDescent="0.15">
      <c r="A128" t="s">
        <v>119</v>
      </c>
      <c r="M128" t="s">
        <v>119</v>
      </c>
    </row>
    <row r="129" spans="1:13" x14ac:dyDescent="0.15">
      <c r="A129" t="s">
        <v>120</v>
      </c>
      <c r="B129">
        <v>4</v>
      </c>
      <c r="C129">
        <v>-6.4</v>
      </c>
      <c r="D129">
        <v>-9</v>
      </c>
      <c r="E129">
        <v>-4.3</v>
      </c>
      <c r="F129">
        <v>13.4</v>
      </c>
      <c r="G129">
        <v>18.100000000000001</v>
      </c>
      <c r="M129" t="s">
        <v>120</v>
      </c>
    </row>
    <row r="130" spans="1:13" x14ac:dyDescent="0.15">
      <c r="A130" t="s">
        <v>121</v>
      </c>
      <c r="B130">
        <v>2.2000000000000002</v>
      </c>
      <c r="C130">
        <v>-2.7</v>
      </c>
      <c r="D130">
        <v>-3</v>
      </c>
      <c r="E130">
        <v>-1.5</v>
      </c>
      <c r="F130">
        <v>5</v>
      </c>
      <c r="G130">
        <v>8.8000000000000007</v>
      </c>
      <c r="M130" t="s">
        <v>121</v>
      </c>
    </row>
    <row r="131" spans="1:13" x14ac:dyDescent="0.15">
      <c r="A131" t="s">
        <v>122</v>
      </c>
      <c r="B131">
        <v>1.8</v>
      </c>
      <c r="C131">
        <v>-2</v>
      </c>
      <c r="D131">
        <v>-2.4</v>
      </c>
      <c r="E131">
        <v>-1.2</v>
      </c>
      <c r="F131">
        <v>4</v>
      </c>
      <c r="G131">
        <v>7</v>
      </c>
      <c r="M131" t="s">
        <v>122</v>
      </c>
    </row>
    <row r="132" spans="1:13" x14ac:dyDescent="0.15">
      <c r="A132" t="s">
        <v>123</v>
      </c>
      <c r="M132" t="s">
        <v>123</v>
      </c>
    </row>
    <row r="133" spans="1:13" x14ac:dyDescent="0.15">
      <c r="A133" t="s">
        <v>124</v>
      </c>
      <c r="B133">
        <v>438.2</v>
      </c>
      <c r="C133">
        <v>384.6</v>
      </c>
      <c r="D133">
        <v>381.6</v>
      </c>
      <c r="E133">
        <v>460.2</v>
      </c>
      <c r="F133">
        <v>509.7</v>
      </c>
      <c r="G133">
        <v>451.3</v>
      </c>
      <c r="M133" t="s">
        <v>124</v>
      </c>
    </row>
    <row r="134" spans="1:13" x14ac:dyDescent="0.15">
      <c r="A134" t="s">
        <v>125</v>
      </c>
      <c r="B134">
        <v>1.68</v>
      </c>
      <c r="C134">
        <v>1.1499999999999999</v>
      </c>
      <c r="D134">
        <v>1.96</v>
      </c>
      <c r="E134">
        <v>2.2400000000000002</v>
      </c>
      <c r="F134">
        <v>1.87</v>
      </c>
      <c r="G134">
        <v>2.4300000000000002</v>
      </c>
      <c r="M134" t="s">
        <v>125</v>
      </c>
    </row>
    <row r="135" spans="1:13" x14ac:dyDescent="0.15">
      <c r="A135" t="s">
        <v>126</v>
      </c>
      <c r="B135">
        <v>2.2999999999999998</v>
      </c>
      <c r="C135">
        <v>1.52</v>
      </c>
      <c r="D135">
        <v>2.5</v>
      </c>
      <c r="E135">
        <v>2.8</v>
      </c>
      <c r="F135">
        <v>2.42</v>
      </c>
      <c r="G135">
        <v>3.23</v>
      </c>
      <c r="M135" t="s">
        <v>126</v>
      </c>
    </row>
    <row r="136" spans="1:13" x14ac:dyDescent="0.15">
      <c r="A136" t="s">
        <v>127</v>
      </c>
      <c r="B136">
        <v>1064.7</v>
      </c>
      <c r="C136">
        <v>1058.0999999999999</v>
      </c>
      <c r="D136">
        <v>1100.3</v>
      </c>
      <c r="E136">
        <v>981.9</v>
      </c>
      <c r="F136">
        <v>784.2</v>
      </c>
      <c r="G136">
        <v>600.5</v>
      </c>
      <c r="M136" t="s">
        <v>127</v>
      </c>
    </row>
    <row r="137" spans="1:13" x14ac:dyDescent="0.15">
      <c r="A137" t="s">
        <v>128</v>
      </c>
      <c r="B137">
        <v>100</v>
      </c>
      <c r="C137">
        <v>100</v>
      </c>
      <c r="D137">
        <v>100</v>
      </c>
      <c r="E137">
        <v>100</v>
      </c>
      <c r="F137">
        <v>100</v>
      </c>
      <c r="G137">
        <v>97</v>
      </c>
      <c r="M137" t="s">
        <v>128</v>
      </c>
    </row>
    <row r="138" spans="1:13" x14ac:dyDescent="0.15">
      <c r="A138" t="s">
        <v>129</v>
      </c>
      <c r="B138">
        <v>54.2</v>
      </c>
      <c r="C138">
        <v>62.9</v>
      </c>
      <c r="D138">
        <v>65.599999999999994</v>
      </c>
      <c r="E138">
        <v>66</v>
      </c>
      <c r="F138">
        <v>59.6</v>
      </c>
      <c r="G138">
        <v>49.1</v>
      </c>
      <c r="M138" t="s">
        <v>129</v>
      </c>
    </row>
    <row r="139" spans="1:13" x14ac:dyDescent="0.15">
      <c r="A139" t="s">
        <v>130</v>
      </c>
      <c r="B139">
        <v>99.9</v>
      </c>
      <c r="C139">
        <v>145.80000000000001</v>
      </c>
      <c r="D139">
        <v>170.1</v>
      </c>
      <c r="E139">
        <v>157.80000000000001</v>
      </c>
      <c r="F139">
        <v>108.6</v>
      </c>
      <c r="G139">
        <v>68</v>
      </c>
      <c r="M139" t="s">
        <v>130</v>
      </c>
    </row>
    <row r="140" spans="1:13" x14ac:dyDescent="0.15">
      <c r="A140" t="s">
        <v>131</v>
      </c>
      <c r="M140" t="s">
        <v>131</v>
      </c>
    </row>
    <row r="141" spans="1:13" x14ac:dyDescent="0.15">
      <c r="A141" t="s">
        <v>132</v>
      </c>
      <c r="B141">
        <v>54.2</v>
      </c>
      <c r="C141">
        <v>62.9</v>
      </c>
      <c r="D141">
        <v>65.599999999999994</v>
      </c>
      <c r="E141">
        <v>66</v>
      </c>
      <c r="F141">
        <v>59.6</v>
      </c>
      <c r="G141">
        <v>49.1</v>
      </c>
      <c r="M141" t="s">
        <v>132</v>
      </c>
    </row>
    <row r="142" spans="1:13" x14ac:dyDescent="0.15">
      <c r="A142" t="s">
        <v>133</v>
      </c>
      <c r="B142">
        <v>43</v>
      </c>
      <c r="C142">
        <v>47.5</v>
      </c>
      <c r="D142">
        <v>53.3</v>
      </c>
      <c r="E142">
        <v>53.8</v>
      </c>
      <c r="F142">
        <v>46.8</v>
      </c>
      <c r="G142">
        <v>39.299999999999997</v>
      </c>
      <c r="M142" t="s">
        <v>133</v>
      </c>
    </row>
    <row r="143" spans="1:13" x14ac:dyDescent="0.15">
      <c r="A143" t="s">
        <v>134</v>
      </c>
      <c r="M143" t="s">
        <v>134</v>
      </c>
    </row>
    <row r="144" spans="1:13" x14ac:dyDescent="0.15">
      <c r="A144" t="s">
        <v>135</v>
      </c>
      <c r="B144">
        <v>2.8</v>
      </c>
      <c r="C144">
        <v>3.6</v>
      </c>
      <c r="D144">
        <v>3.7</v>
      </c>
      <c r="E144">
        <v>3.7</v>
      </c>
      <c r="F144">
        <v>3.2</v>
      </c>
      <c r="G144">
        <v>2.5</v>
      </c>
      <c r="M144" t="s">
        <v>135</v>
      </c>
    </row>
    <row r="145" spans="1:13" x14ac:dyDescent="0.15">
      <c r="A145" t="s">
        <v>136</v>
      </c>
      <c r="M145" t="s">
        <v>136</v>
      </c>
    </row>
    <row r="146" spans="1:13" x14ac:dyDescent="0.15">
      <c r="A146" t="s">
        <v>137</v>
      </c>
      <c r="B146">
        <v>51</v>
      </c>
      <c r="C146">
        <v>40</v>
      </c>
      <c r="D146">
        <v>68</v>
      </c>
      <c r="E146">
        <v>55</v>
      </c>
      <c r="F146">
        <v>52</v>
      </c>
      <c r="G146">
        <v>55</v>
      </c>
      <c r="M146" t="s">
        <v>137</v>
      </c>
    </row>
    <row r="147" spans="1:13" x14ac:dyDescent="0.15">
      <c r="A147" t="s">
        <v>138</v>
      </c>
      <c r="M147" t="s">
        <v>138</v>
      </c>
    </row>
    <row r="148" spans="1:13" x14ac:dyDescent="0.15">
      <c r="A148" t="s">
        <v>139</v>
      </c>
      <c r="B148">
        <v>56</v>
      </c>
      <c r="C148">
        <v>58</v>
      </c>
      <c r="D148">
        <v>59</v>
      </c>
      <c r="E148">
        <v>64</v>
      </c>
      <c r="F148">
        <v>65</v>
      </c>
      <c r="G148">
        <v>46</v>
      </c>
      <c r="M148" t="s">
        <v>139</v>
      </c>
    </row>
    <row r="149" spans="1:13" x14ac:dyDescent="0.15">
      <c r="A149" t="s">
        <v>140</v>
      </c>
      <c r="M149" t="s">
        <v>140</v>
      </c>
    </row>
    <row r="150" spans="1:13" x14ac:dyDescent="0.15">
      <c r="A150" t="s">
        <v>141</v>
      </c>
      <c r="B150">
        <v>0.54400000000000004</v>
      </c>
      <c r="C150">
        <v>0.57699999999999996</v>
      </c>
      <c r="D150">
        <v>0.376</v>
      </c>
      <c r="E150">
        <v>0.497</v>
      </c>
      <c r="F150">
        <v>0.68899999999999995</v>
      </c>
      <c r="G150">
        <v>0.74</v>
      </c>
      <c r="M150" t="s">
        <v>141</v>
      </c>
    </row>
    <row r="151" spans="1:13" x14ac:dyDescent="0.15">
      <c r="A151" t="s">
        <v>142</v>
      </c>
      <c r="M151" t="s">
        <v>142</v>
      </c>
    </row>
    <row r="152" spans="1:13" x14ac:dyDescent="0.15">
      <c r="A152" t="s">
        <v>143</v>
      </c>
      <c r="B152">
        <v>7.2</v>
      </c>
      <c r="C152">
        <v>9.1</v>
      </c>
      <c r="D152">
        <v>5.3</v>
      </c>
      <c r="E152">
        <v>6.6</v>
      </c>
      <c r="F152">
        <v>7</v>
      </c>
      <c r="G152">
        <v>6.6</v>
      </c>
      <c r="M152" t="s">
        <v>143</v>
      </c>
    </row>
    <row r="153" spans="1:13" x14ac:dyDescent="0.15">
      <c r="A153" t="s">
        <v>144</v>
      </c>
      <c r="B153">
        <v>6.5</v>
      </c>
      <c r="C153">
        <v>6.3</v>
      </c>
      <c r="D153">
        <v>6.2</v>
      </c>
      <c r="E153">
        <v>5.7</v>
      </c>
      <c r="F153">
        <v>5.7</v>
      </c>
      <c r="G153">
        <v>8</v>
      </c>
      <c r="M153" t="s">
        <v>144</v>
      </c>
    </row>
    <row r="154" spans="1:13" x14ac:dyDescent="0.15">
      <c r="A154" t="s">
        <v>145</v>
      </c>
      <c r="B154">
        <v>9.6999999999999993</v>
      </c>
      <c r="C154">
        <v>11.9</v>
      </c>
      <c r="D154">
        <v>8.1</v>
      </c>
      <c r="E154">
        <v>9.5</v>
      </c>
      <c r="F154">
        <v>10.3</v>
      </c>
      <c r="G154">
        <v>10.4</v>
      </c>
      <c r="M154" t="s">
        <v>145</v>
      </c>
    </row>
    <row r="155" spans="1:13" x14ac:dyDescent="0.15">
      <c r="A155" t="s">
        <v>146</v>
      </c>
      <c r="B155">
        <v>4.7</v>
      </c>
      <c r="C155">
        <v>8.5</v>
      </c>
      <c r="D155">
        <v>2.9</v>
      </c>
      <c r="E155">
        <v>3</v>
      </c>
      <c r="F155">
        <v>4</v>
      </c>
      <c r="G155">
        <v>3.7</v>
      </c>
      <c r="M155" t="s">
        <v>146</v>
      </c>
    </row>
    <row r="156" spans="1:13" x14ac:dyDescent="0.15">
      <c r="A156" t="s">
        <v>147</v>
      </c>
      <c r="B156">
        <v>7.8</v>
      </c>
      <c r="C156">
        <v>7.9</v>
      </c>
      <c r="D156">
        <v>5.6</v>
      </c>
      <c r="E156">
        <v>4.5999999999999996</v>
      </c>
      <c r="F156">
        <v>5.4</v>
      </c>
      <c r="G156">
        <v>6.3</v>
      </c>
      <c r="M156" t="s">
        <v>147</v>
      </c>
    </row>
    <row r="157" spans="1:13" x14ac:dyDescent="0.15">
      <c r="A157" t="s">
        <v>148</v>
      </c>
      <c r="B157">
        <v>0.9</v>
      </c>
      <c r="C157">
        <v>0.9</v>
      </c>
      <c r="D157">
        <v>0.6</v>
      </c>
      <c r="E157">
        <v>0.8</v>
      </c>
      <c r="F157">
        <v>1.2</v>
      </c>
      <c r="G157">
        <v>1.3</v>
      </c>
      <c r="M157" t="s">
        <v>148</v>
      </c>
    </row>
    <row r="158" spans="1:13" x14ac:dyDescent="0.15">
      <c r="A158" t="s">
        <v>149</v>
      </c>
      <c r="M158" t="s">
        <v>149</v>
      </c>
    </row>
    <row r="159" spans="1:13" x14ac:dyDescent="0.15">
      <c r="A159" t="s">
        <v>150</v>
      </c>
      <c r="B159">
        <v>-39.155000000000001</v>
      </c>
      <c r="C159">
        <v>21.757000000000001</v>
      </c>
      <c r="D159">
        <v>-45.451000000000001</v>
      </c>
      <c r="E159">
        <v>138.83000000000001</v>
      </c>
      <c r="F159">
        <v>209.154</v>
      </c>
      <c r="G159">
        <v>198.398</v>
      </c>
      <c r="M159" t="s">
        <v>150</v>
      </c>
    </row>
    <row r="160" spans="1:13" x14ac:dyDescent="0.15">
      <c r="A160" t="s">
        <v>151</v>
      </c>
      <c r="B160">
        <v>-0.51</v>
      </c>
      <c r="C160">
        <v>0.3</v>
      </c>
      <c r="D160">
        <v>-0.62</v>
      </c>
      <c r="E160">
        <v>1.86</v>
      </c>
      <c r="F160">
        <v>2.71</v>
      </c>
      <c r="G160">
        <v>2.5299999999999998</v>
      </c>
      <c r="M160" t="s">
        <v>151</v>
      </c>
    </row>
    <row r="161" spans="1:13" x14ac:dyDescent="0.15">
      <c r="A161" t="s">
        <v>152</v>
      </c>
      <c r="B161">
        <v>14.28</v>
      </c>
      <c r="C161">
        <v>9.58</v>
      </c>
      <c r="D161">
        <v>8.32</v>
      </c>
      <c r="E161">
        <v>8.0500000000000007</v>
      </c>
      <c r="F161">
        <v>9.1999999999999993</v>
      </c>
      <c r="G161">
        <v>11</v>
      </c>
      <c r="M161" t="s">
        <v>152</v>
      </c>
    </row>
    <row r="162" spans="1:13" x14ac:dyDescent="0.15">
      <c r="A162" t="s">
        <v>153</v>
      </c>
      <c r="B162">
        <v>588.9</v>
      </c>
      <c r="C162">
        <v>247.9</v>
      </c>
      <c r="D162">
        <v>270</v>
      </c>
      <c r="E162">
        <v>268.5</v>
      </c>
      <c r="F162">
        <v>370.2</v>
      </c>
      <c r="G162">
        <v>532.29999999999995</v>
      </c>
      <c r="M162" t="s">
        <v>153</v>
      </c>
    </row>
    <row r="163" spans="1:13" x14ac:dyDescent="0.15">
      <c r="A163" t="s">
        <v>154</v>
      </c>
      <c r="B163">
        <v>8.0500000000000007</v>
      </c>
      <c r="C163">
        <v>3.3679999999999999</v>
      </c>
      <c r="D163">
        <v>3.65</v>
      </c>
      <c r="E163">
        <v>3.5790000000000002</v>
      </c>
      <c r="F163">
        <v>4.8879999999999999</v>
      </c>
      <c r="G163">
        <v>6.8949999999999996</v>
      </c>
      <c r="M163" t="s">
        <v>154</v>
      </c>
    </row>
    <row r="164" spans="1:13" x14ac:dyDescent="0.15">
      <c r="A164" t="s">
        <v>155</v>
      </c>
      <c r="M164" t="s">
        <v>155</v>
      </c>
    </row>
  </sheetData>
  <sortState xmlns:xlrd2="http://schemas.microsoft.com/office/spreadsheetml/2017/richdata2" columnSort="1" ref="B1:G167">
    <sortCondition ref="B3:G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Table of Contents</vt:lpstr>
      <vt:lpstr>Main Page &amp; Assumptions</vt:lpstr>
      <vt:lpstr>Summary</vt:lpstr>
      <vt:lpstr>Revenue Build</vt:lpstr>
      <vt:lpstr>ISP Carve Out Costs</vt:lpstr>
      <vt:lpstr>SLCA Financials (memo)</vt:lpstr>
      <vt:lpstr>Individual Cash Flow</vt:lpstr>
      <vt:lpstr>Carveout DCFs</vt:lpstr>
      <vt:lpstr>Standalone DCF</vt:lpstr>
      <vt:lpstr>Public Comps</vt:lpstr>
      <vt:lpstr>Site By Site Assignments</vt:lpstr>
      <vt:lpstr>SLCA Raw</vt:lpstr>
      <vt:lpstr>'SLCA Raw'!_90346E10___AllReports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Hassan</cp:lastModifiedBy>
  <dcterms:created xsi:type="dcterms:W3CDTF">2026-09-17T19:33:15Z</dcterms:created>
  <dcterms:modified xsi:type="dcterms:W3CDTF">2026-09-26T20:43:37Z</dcterms:modified>
</cp:coreProperties>
</file>